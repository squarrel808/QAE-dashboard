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SPX_All" sheetId="2" r:id="rId2"/>
    <sheet name="SPX_1d_top100" sheetId="3" r:id="rId3"/>
    <sheet name="SPX_1d_bottom100" sheetId="4" r:id="rId4"/>
    <sheet name="SPX_10d_top100" sheetId="5" r:id="rId5"/>
    <sheet name="SPX_10d_bottom100" sheetId="6" r:id="rId6"/>
    <sheet name="SPX_Sectors" sheetId="7" r:id="rId7"/>
    <sheet name="SHSZ300_All" sheetId="8" r:id="rId8"/>
    <sheet name="SHSZ300_1d_top100" sheetId="9" r:id="rId9"/>
    <sheet name="SHSZ300_1d_bottom100" sheetId="10" r:id="rId10"/>
    <sheet name="SHSZ300_10d_top100" sheetId="11" r:id="rId11"/>
    <sheet name="SHSZ300_10d_bottom100" sheetId="12" r:id="rId12"/>
    <sheet name="SHSZ300_Sectors" sheetId="13" r:id="rId13"/>
    <sheet name="SXXP_All" sheetId="14" r:id="rId14"/>
    <sheet name="SXXP_1d_top100" sheetId="15" r:id="rId15"/>
    <sheet name="SXXP_1d_bottom100" sheetId="16" r:id="rId16"/>
    <sheet name="SXXP_10d_top100" sheetId="17" r:id="rId17"/>
    <sheet name="SXXP_10d_bottom100" sheetId="18" r:id="rId18"/>
    <sheet name="SXXP_Sectors" sheetId="19" r:id="rId19"/>
    <sheet name="AI_Stages" sheetId="20" r:id="rId20"/>
    <sheet name="AI_All_73" sheetId="21" r:id="rId21"/>
    <sheet name="AI_Daily_Levels" sheetId="22" r:id="rId22"/>
    <sheet name="Date_Audit" sheetId="23" r:id="rId23"/>
    <sheet name="News_Sources" sheetId="24" r:id="rId24"/>
  </sheets>
  <definedNames>
    <definedName name="_xlnm._FilterDatabase" localSheetId="20" hidden="1">AI_All_73!$A$1:$P$74</definedName>
    <definedName name="_xlnm._FilterDatabase" localSheetId="21" hidden="1">AI_Daily_Levels!$A$1:$M$66</definedName>
    <definedName name="_xlnm._FilterDatabase" localSheetId="19" hidden="1">AI_Stages!$A$1:$H$13</definedName>
    <definedName name="_xlnm._FilterDatabase" localSheetId="22" hidden="1">Date_Audit!$A$1:$D$25</definedName>
    <definedName name="_xlnm._FilterDatabase" localSheetId="23" hidden="1">News_Sources!$A$1:$C$10</definedName>
    <definedName name="_xlnm._FilterDatabase" localSheetId="0" hidden="1">README!$A$1:$B$12</definedName>
    <definedName name="_xlnm._FilterDatabase" localSheetId="11" hidden="1">SHSZ300_10d_bottom100!$A$1:$G$101</definedName>
    <definedName name="_xlnm._FilterDatabase" localSheetId="10" hidden="1">SHSZ300_10d_top100!$A$1:$G$101</definedName>
    <definedName name="_xlnm._FilterDatabase" localSheetId="9" hidden="1">SHSZ300_1d_bottom100!$A$1:$G$101</definedName>
    <definedName name="_xlnm._FilterDatabase" localSheetId="8" hidden="1">SHSZ300_1d_top100!$A$1:$G$101</definedName>
    <definedName name="_xlnm._FilterDatabase" localSheetId="7" hidden="1">SHSZ300_All!$A$1:$K$301</definedName>
    <definedName name="_xlnm._FilterDatabase" localSheetId="12" hidden="1">SHSZ300_Sectors!$A$1:$F$12</definedName>
    <definedName name="_xlnm._FilterDatabase" localSheetId="5" hidden="1">SPX_10d_bottom100!$A$1:$G$101</definedName>
    <definedName name="_xlnm._FilterDatabase" localSheetId="4" hidden="1">SPX_10d_top100!$A$1:$G$101</definedName>
    <definedName name="_xlnm._FilterDatabase" localSheetId="3" hidden="1">SPX_1d_bottom100!$A$1:$G$101</definedName>
    <definedName name="_xlnm._FilterDatabase" localSheetId="2" hidden="1">SPX_1d_top100!$A$1:$G$101</definedName>
    <definedName name="_xlnm._FilterDatabase" localSheetId="1" hidden="1">SPX_All!$A$1:$K$504</definedName>
    <definedName name="_xlnm._FilterDatabase" localSheetId="6" hidden="1">SPX_Sectors!$A$1:$F$12</definedName>
    <definedName name="_xlnm._FilterDatabase" localSheetId="17" hidden="1">SXXP_10d_bottom100!$A$1:$G$101</definedName>
    <definedName name="_xlnm._FilterDatabase" localSheetId="16" hidden="1">SXXP_10d_top100!$A$1:$G$101</definedName>
    <definedName name="_xlnm._FilterDatabase" localSheetId="15" hidden="1">SXXP_1d_bottom100!$A$1:$G$101</definedName>
    <definedName name="_xlnm._FilterDatabase" localSheetId="14" hidden="1">SXXP_1d_top100!$A$1:$G$101</definedName>
    <definedName name="_xlnm._FilterDatabase" localSheetId="13" hidden="1">SXXP_All!$A$1:$K$601</definedName>
    <definedName name="_xlnm._FilterDatabase" localSheetId="18" hidden="1">SXXP_Sectors!$A$1:$F$12</definedName>
  </definedNames>
  <calcPr calcId="124519" fullCalcOnLoad="1"/>
</workbook>
</file>

<file path=xl/sharedStrings.xml><?xml version="1.0" encoding="utf-8"?>
<sst xmlns="http://schemas.openxmlformats.org/spreadsheetml/2006/main" count="10038" uniqueCount="3162">
  <si>
    <t>항목</t>
  </si>
  <si>
    <t>내용</t>
  </si>
  <si>
    <t>작성일</t>
  </si>
  <si>
    <t>2026-09-07</t>
  </si>
  <si>
    <t>가격 기준일</t>
  </si>
  <si>
    <t>2026-09-04</t>
  </si>
  <si>
    <t>신규 원본</t>
  </si>
  <si>
    <t>Bquant_All_19_Raw_Refreshed12시 (5).xlsb</t>
  </si>
  <si>
    <t>1</t>
  </si>
  <si>
    <t>작성일은 2026-09-07, 가격 기준일은 2026-09-04다. 신규 파일의 9월 5~7일 가격은 해당 4개 분석 지수에서 전 행 대비 변화가 없어 신규 거래일로 취급하지 않았다. 1D=9/3→9/4, 10거래일=8/21→9/4, AI 1주=8/28→9/4, 1개월=8/4→9/4, 3개월=6/4→9/4. 연율화하지 않았다.</t>
  </si>
  <si>
    <t>2</t>
  </si>
  <si>
    <t>종목 수익률은 제공 가격의 기말/기초−1이며 배당을 별도로 더하지 않았다. 종목 비교는 현지통화 기준이다. 현재 제공 구성종목을 과거에도 적용하므로 공식 과거 구성종목 지수나 편입·편출을 반영한 백테스트가 아니다.</t>
  </si>
  <si>
    <t>3</t>
  </si>
  <si>
    <t>시장·섹터의 시총가중 수익률은 전일 전체 시총을 가중치로 계산한 참고치다. 유동주식 비율, 상한, 공식 지수 제수와 환산통화를 반영하지 않아 공식 지수 수익률과 다르다. 특히 STOXX 600의 시총 원천 통화가 혼합돼 있어 섹터 가중 결과는 근사치다. 보고서의 공식 지수 종가는 기사와 분리해 표시했다.</t>
  </si>
  <si>
    <t>4</t>
  </si>
  <si>
    <t>AI는 기존 S&amp;P 500 확장 분류(Core + Adjacent) 73개를 유지했다. APH는 3개월 구간의 가격 조정 불연속 후보로 수익률 산출에서 제외해 유효 72개, 12개 단계다. 분류 자체에는 APH의 역할을 남겼다. 외부 비상장기업·비구성종목을 임의로 추가하지 않았다.</t>
  </si>
  <si>
    <t>5</t>
  </si>
  <si>
    <t>AI 단계 수익률은 종목의 일일 단순수익률을 동일가중한 뒤 일별 복리 누적했다. 주가 절대값의 평균이 아니다. 표의 1D 기여도는 종목 1D 수익률/그 단계 유효 종목 수이며 합계가 단계 1D 수익률과 일치한다. 여러 기간의 종목 수익률을 단순 평균한 값은 일일 재조정 바스켓 누적수익률과 같지 않으므로 다기간 기여도로 표시하지 않았다.</t>
  </si>
  <si>
    <t>6</t>
  </si>
  <si>
    <t>상승 비율은 가격 상승 종목 수/해당 기간 유효 종목 수다. EPS revision breadth나 애널리스트 추정치 상향 비율이 아니다. 이번 보고서는 주가 로테이션 보고서이며 가격 움직임을 이익 추정치 상향으로 바꾸어 서술하지 않았다.</t>
  </si>
  <si>
    <t>7</t>
  </si>
  <si>
    <t>Top/Bottom 100은 시장마다 각 100개다. 1D 순위를 기본으로 하고 10거래일 순위를 별도로 제공한다. 미수익률을 0으로 채우지 않았다. S&amp;P 500 503개, CSI 300 300개, STOXX 600 600개 모두 1D·10D 계산에 필요한 가격이 있다.</t>
  </si>
  <si>
    <t>8</t>
  </si>
  <si>
    <t>뉴스는 이 작업에서 웹 검색으로 확인했다. 명시된 회사 이벤트 외의 순위·동반 움직임·지속성 평가는 제공 가격에서 도출한 해석이다. 모든 1,403개 종목의 뉴스를 전수 확인한 것은 아니다. API 키를 사용하는 유료 모델 호출은 하지 않았다.</t>
  </si>
  <si>
    <t>Ticker</t>
  </si>
  <si>
    <t>Company</t>
  </si>
  <si>
    <t>Sector</t>
  </si>
  <si>
    <t>Industry</t>
  </si>
  <si>
    <t>Price 2026-08-21</t>
  </si>
  <si>
    <t>Price 2026-09-03</t>
  </si>
  <si>
    <t>Price 2026-09-04</t>
  </si>
  <si>
    <t>1D return</t>
  </si>
  <si>
    <t>10D return</t>
  </si>
  <si>
    <t>10D max drawdown</t>
  </si>
  <si>
    <t>Current market cap (source currency)</t>
  </si>
  <si>
    <t>A UN Equity</t>
  </si>
  <si>
    <t>Agilent Technologies Inc</t>
  </si>
  <si>
    <t>Health Care</t>
  </si>
  <si>
    <t>Pharmaceuticals, Biotechnology &amp; Life Sciences</t>
  </si>
  <si>
    <t>AAPL UW Equity</t>
  </si>
  <si>
    <t>Apple Inc</t>
  </si>
  <si>
    <t>Information Technology</t>
  </si>
  <si>
    <t>Technology Hardware &amp; Equipment</t>
  </si>
  <si>
    <t>ABBV UN Equity</t>
  </si>
  <si>
    <t>AbbVie Inc</t>
  </si>
  <si>
    <t>ABNB UW Equity</t>
  </si>
  <si>
    <t>Airbnb Inc</t>
  </si>
  <si>
    <t>Consumer Discretionary</t>
  </si>
  <si>
    <t>Consumer Services</t>
  </si>
  <si>
    <t>ABT UN Equity</t>
  </si>
  <si>
    <t>Abbott Laboratories</t>
  </si>
  <si>
    <t>Health Care Equipment &amp; Services</t>
  </si>
  <si>
    <t>ACGL UW Equity</t>
  </si>
  <si>
    <t>Arch Capital Group Ltd</t>
  </si>
  <si>
    <t>Financials</t>
  </si>
  <si>
    <t>Insurance</t>
  </si>
  <si>
    <t>ACN UN Equity</t>
  </si>
  <si>
    <t>Accenture PLC</t>
  </si>
  <si>
    <t>Software &amp; Services</t>
  </si>
  <si>
    <t>ADBE UW Equity</t>
  </si>
  <si>
    <t>Adobe Inc</t>
  </si>
  <si>
    <t>ADI UW Equity</t>
  </si>
  <si>
    <t>Analog Devices Inc</t>
  </si>
  <si>
    <t>Semiconductors &amp; Semiconductor Equipment</t>
  </si>
  <si>
    <t>ADM UN Equity</t>
  </si>
  <si>
    <t>Archer-Daniels-Midland Co</t>
  </si>
  <si>
    <t>Consumer Staples</t>
  </si>
  <si>
    <t>Food, Beverage &amp; Tobacco</t>
  </si>
  <si>
    <t>ADP UW Equity</t>
  </si>
  <si>
    <t>Automatic Data Processing Inc</t>
  </si>
  <si>
    <t>Industrials</t>
  </si>
  <si>
    <t>Commercial &amp; Professional Services</t>
  </si>
  <si>
    <t>ADSK UW Equity</t>
  </si>
  <si>
    <t>Autodesk Inc</t>
  </si>
  <si>
    <t>AEE UN Equity</t>
  </si>
  <si>
    <t>Ameren Corp</t>
  </si>
  <si>
    <t>Utilities</t>
  </si>
  <si>
    <t>AEP UW Equity</t>
  </si>
  <si>
    <t>American Electric Power Co Inc</t>
  </si>
  <si>
    <t>AES UN Equity</t>
  </si>
  <si>
    <t>AES Corp/The</t>
  </si>
  <si>
    <t>AFL UN Equity</t>
  </si>
  <si>
    <t>Aflac Inc</t>
  </si>
  <si>
    <t>AIG UN Equity</t>
  </si>
  <si>
    <t>American International Group I</t>
  </si>
  <si>
    <t>AIZ UN Equity</t>
  </si>
  <si>
    <t>Assurant Inc</t>
  </si>
  <si>
    <t>AJG UN Equity</t>
  </si>
  <si>
    <t>Arthur J Gallagher &amp; Co</t>
  </si>
  <si>
    <t>AKAM UW Equity</t>
  </si>
  <si>
    <t>Akamai Technologies Inc</t>
  </si>
  <si>
    <t>ALB UN Equity</t>
  </si>
  <si>
    <t>Albemarle Corp</t>
  </si>
  <si>
    <t>Materials</t>
  </si>
  <si>
    <t>ALGN UW Equity</t>
  </si>
  <si>
    <t>Align Technology Inc</t>
  </si>
  <si>
    <t>ALL UN Equity</t>
  </si>
  <si>
    <t>Allstate Corp/The</t>
  </si>
  <si>
    <t>ALLE UN Equity</t>
  </si>
  <si>
    <t>Allegion plc</t>
  </si>
  <si>
    <t>Capital Goods</t>
  </si>
  <si>
    <t>AMAT UW Equity</t>
  </si>
  <si>
    <t>Applied Materials Inc</t>
  </si>
  <si>
    <t>AMCR UN Equity</t>
  </si>
  <si>
    <t>Amcor PLC</t>
  </si>
  <si>
    <t>AMD UW Equity</t>
  </si>
  <si>
    <t>Advanced Micro Devices Inc</t>
  </si>
  <si>
    <t>AME UN Equity</t>
  </si>
  <si>
    <t>AMETEK Inc</t>
  </si>
  <si>
    <t>AMGN UW Equity</t>
  </si>
  <si>
    <t>Amgen Inc</t>
  </si>
  <si>
    <t>AMP UN Equity</t>
  </si>
  <si>
    <t>Ameriprise Financial Inc</t>
  </si>
  <si>
    <t>Financial Services</t>
  </si>
  <si>
    <t>AMT UN Equity</t>
  </si>
  <si>
    <t>American Tower Corp</t>
  </si>
  <si>
    <t>Real Estate</t>
  </si>
  <si>
    <t>Equity Real Estate Investment Trusts (REITs)</t>
  </si>
  <si>
    <t>AMZN UW Equity</t>
  </si>
  <si>
    <t>Amazon.com Inc</t>
  </si>
  <si>
    <t>Consumer Discretionary Distribution &amp; Retail</t>
  </si>
  <si>
    <t>ANET UN Equity</t>
  </si>
  <si>
    <t>Arista Networks Inc</t>
  </si>
  <si>
    <t>AON UN Equity</t>
  </si>
  <si>
    <t>Aon PLC</t>
  </si>
  <si>
    <t>AOS UN Equity</t>
  </si>
  <si>
    <t>A O Smith Corp</t>
  </si>
  <si>
    <t>APA UW Equity</t>
  </si>
  <si>
    <t>APA Corp</t>
  </si>
  <si>
    <t>Energy</t>
  </si>
  <si>
    <t>APD UN Equity</t>
  </si>
  <si>
    <t>Air Products and Chemicals Inc</t>
  </si>
  <si>
    <t>APH UN Equity</t>
  </si>
  <si>
    <t>Amphenol Corp</t>
  </si>
  <si>
    <t>APO UN Equity</t>
  </si>
  <si>
    <t>Apollo Global Management Inc</t>
  </si>
  <si>
    <t>APP UW Equity</t>
  </si>
  <si>
    <t>AppLovin Corp</t>
  </si>
  <si>
    <t>Communication Services</t>
  </si>
  <si>
    <t>Media &amp; Entertainment</t>
  </si>
  <si>
    <t>APTV UN Equity</t>
  </si>
  <si>
    <t>Aptiv PLC</t>
  </si>
  <si>
    <t>Automobiles &amp; Components</t>
  </si>
  <si>
    <t>ARE UN Equity</t>
  </si>
  <si>
    <t>Alexandria Real Estate Equitie</t>
  </si>
  <si>
    <t>ARES UN Equity</t>
  </si>
  <si>
    <t>Ares Management Corp</t>
  </si>
  <si>
    <t>ATO UN Equity</t>
  </si>
  <si>
    <t>Atmos Energy Corp</t>
  </si>
  <si>
    <t>AVGO UW Equity</t>
  </si>
  <si>
    <t>Broadcom Inc</t>
  </si>
  <si>
    <t>AVY UN Equity</t>
  </si>
  <si>
    <t>Avery Dennison Corp</t>
  </si>
  <si>
    <t>AWK UN Equity</t>
  </si>
  <si>
    <t>American Water Works Co Inc</t>
  </si>
  <si>
    <t>AXON UW Equity</t>
  </si>
  <si>
    <t>Axon Enterprise Inc</t>
  </si>
  <si>
    <t>AXP UN Equity</t>
  </si>
  <si>
    <t>American Express Co</t>
  </si>
  <si>
    <t>AZO UN Equity</t>
  </si>
  <si>
    <t>AutoZone Inc</t>
  </si>
  <si>
    <t>BA UN Equity</t>
  </si>
  <si>
    <t>Boeing Co/The</t>
  </si>
  <si>
    <t>BAC UN Equity</t>
  </si>
  <si>
    <t>Bank of America Corp</t>
  </si>
  <si>
    <t>Banks</t>
  </si>
  <si>
    <t>BALL UN Equity</t>
  </si>
  <si>
    <t>Ball Corp</t>
  </si>
  <si>
    <t>BAX UN Equity</t>
  </si>
  <si>
    <t>Baxter International Inc</t>
  </si>
  <si>
    <t>BBY UN Equity</t>
  </si>
  <si>
    <t>Best Buy Co Inc</t>
  </si>
  <si>
    <t>BDX UN Equity</t>
  </si>
  <si>
    <t>Becton Dickinson &amp; Co</t>
  </si>
  <si>
    <t>BEN UN Equity</t>
  </si>
  <si>
    <t>Franklin Templeton Inc</t>
  </si>
  <si>
    <t>BF/B UN Equity</t>
  </si>
  <si>
    <t>Brown-Forman Corp</t>
  </si>
  <si>
    <t>BG UN Equity</t>
  </si>
  <si>
    <t>Bunge Global SA</t>
  </si>
  <si>
    <t>BIIB UW Equity</t>
  </si>
  <si>
    <t>Biogen Inc</t>
  </si>
  <si>
    <t>BKNG UW Equity</t>
  </si>
  <si>
    <t>Booking Holdings Inc</t>
  </si>
  <si>
    <t>BKR UW Equity</t>
  </si>
  <si>
    <t>Baker Hughes Co</t>
  </si>
  <si>
    <t>BLDR UN Equity</t>
  </si>
  <si>
    <t>Builders FirstSource Inc</t>
  </si>
  <si>
    <t>BLK UN Equity</t>
  </si>
  <si>
    <t>Blackrock Inc</t>
  </si>
  <si>
    <t>BMY UN Equity</t>
  </si>
  <si>
    <t>Bristol-Myers Squibb Co</t>
  </si>
  <si>
    <t>BNY UN Equity</t>
  </si>
  <si>
    <t>Bank of New York Mellon Corp/T</t>
  </si>
  <si>
    <t>BR UN Equity</t>
  </si>
  <si>
    <t>Broadridge Financial Solutions</t>
  </si>
  <si>
    <t>BRK/B UN Equity</t>
  </si>
  <si>
    <t>Berkshire Hathaway Inc</t>
  </si>
  <si>
    <t>BRO UN Equity</t>
  </si>
  <si>
    <t>Brown &amp; Brown Inc</t>
  </si>
  <si>
    <t>BSX UN Equity</t>
  </si>
  <si>
    <t>Boston Scientific Corp</t>
  </si>
  <si>
    <t>BX UN Equity</t>
  </si>
  <si>
    <t>Blackstone Inc</t>
  </si>
  <si>
    <t>BXP UN Equity</t>
  </si>
  <si>
    <t>BXP Inc</t>
  </si>
  <si>
    <t>C UN Equity</t>
  </si>
  <si>
    <t>Citigroup Inc</t>
  </si>
  <si>
    <t>CAH UN Equity</t>
  </si>
  <si>
    <t>Cardinal Health Inc</t>
  </si>
  <si>
    <t>CARR UN Equity</t>
  </si>
  <si>
    <t>Carrier Global Corp</t>
  </si>
  <si>
    <t>CASY UW Equity</t>
  </si>
  <si>
    <t>Casey's General Stores Inc</t>
  </si>
  <si>
    <t>Consumer Staples Distribution &amp; Retail</t>
  </si>
  <si>
    <t>CAT UN Equity</t>
  </si>
  <si>
    <t>Caterpillar Inc</t>
  </si>
  <si>
    <t>CB UN Equity</t>
  </si>
  <si>
    <t>Chubb Ltd</t>
  </si>
  <si>
    <t>CBOE UF Equity</t>
  </si>
  <si>
    <t>Cboe Global Markets Inc</t>
  </si>
  <si>
    <t>CBRE UN Equity</t>
  </si>
  <si>
    <t>CBRE Group Inc</t>
  </si>
  <si>
    <t>Real Estate Management &amp; Development</t>
  </si>
  <si>
    <t>CCI UN Equity</t>
  </si>
  <si>
    <t>Crown Castle Inc</t>
  </si>
  <si>
    <t>CCL UN Equity</t>
  </si>
  <si>
    <t>Carnival Corp Ltd</t>
  </si>
  <si>
    <t>CDNS UW Equity</t>
  </si>
  <si>
    <t>Cadence Design Systems Inc</t>
  </si>
  <si>
    <t>CDW UW Equity</t>
  </si>
  <si>
    <t>CDW Corp/DE</t>
  </si>
  <si>
    <t>CEG UW Equity</t>
  </si>
  <si>
    <t>Constellation Energy Corp</t>
  </si>
  <si>
    <t>CF UN Equity</t>
  </si>
  <si>
    <t>CF Industries Holdings Inc</t>
  </si>
  <si>
    <t>CFG UN Equity</t>
  </si>
  <si>
    <t>Citizens Financial Group Inc</t>
  </si>
  <si>
    <t>CHD UN Equity</t>
  </si>
  <si>
    <t>Church &amp; Dwight Co Inc</t>
  </si>
  <si>
    <t>Household &amp; Personal Products</t>
  </si>
  <si>
    <t>CHRW UW Equity</t>
  </si>
  <si>
    <t>CH Robinson Worldwide Inc</t>
  </si>
  <si>
    <t>Transportation</t>
  </si>
  <si>
    <t>CHTR UW Equity</t>
  </si>
  <si>
    <t>Charter Communications Inc</t>
  </si>
  <si>
    <t>CI UN Equity</t>
  </si>
  <si>
    <t>Cigna Group/The</t>
  </si>
  <si>
    <t>CIEN UN Equity</t>
  </si>
  <si>
    <t>Ciena Corp</t>
  </si>
  <si>
    <t>CINF UW Equity</t>
  </si>
  <si>
    <t>Cincinnati Financial Corp</t>
  </si>
  <si>
    <t>CL UN Equity</t>
  </si>
  <si>
    <t>Colgate-Palmolive Co</t>
  </si>
  <si>
    <t>CLX UN Equity</t>
  </si>
  <si>
    <t>Clorox Co/The</t>
  </si>
  <si>
    <t>CMCSA UW Equity</t>
  </si>
  <si>
    <t>Comcast Corp</t>
  </si>
  <si>
    <t>Telecommunication Services</t>
  </si>
  <si>
    <t>CME UW Equity</t>
  </si>
  <si>
    <t>CME Group Inc</t>
  </si>
  <si>
    <t>CMG UN Equity</t>
  </si>
  <si>
    <t>Chipotle Mexican Grill Inc</t>
  </si>
  <si>
    <t>CMI UN Equity</t>
  </si>
  <si>
    <t>Cummins Inc</t>
  </si>
  <si>
    <t>CMS UN Equity</t>
  </si>
  <si>
    <t>CMS Energy Corp</t>
  </si>
  <si>
    <t>CNC UN Equity</t>
  </si>
  <si>
    <t>Centene Corp</t>
  </si>
  <si>
    <t>CNP UN Equity</t>
  </si>
  <si>
    <t>CenterPoint Energy Inc</t>
  </si>
  <si>
    <t>COF UN Equity</t>
  </si>
  <si>
    <t>Capital One Financial Corp</t>
  </si>
  <si>
    <t>COHR UN Equity</t>
  </si>
  <si>
    <t>Coherent Corp</t>
  </si>
  <si>
    <t>COIN UW Equity</t>
  </si>
  <si>
    <t>Coinbase Global Inc</t>
  </si>
  <si>
    <t>COO UW Equity</t>
  </si>
  <si>
    <t>Cooper Cos Inc/The</t>
  </si>
  <si>
    <t>COP UN Equity</t>
  </si>
  <si>
    <t>ConocoPhillips</t>
  </si>
  <si>
    <t>COR UN Equity</t>
  </si>
  <si>
    <t>Cencora Inc</t>
  </si>
  <si>
    <t>COST UW Equity</t>
  </si>
  <si>
    <t>Costco Wholesale Corp</t>
  </si>
  <si>
    <t>CPAY UN Equity</t>
  </si>
  <si>
    <t>Corpay Inc</t>
  </si>
  <si>
    <t>CPRT UW Equity</t>
  </si>
  <si>
    <t>Copart Inc</t>
  </si>
  <si>
    <t>CPT UN Equity</t>
  </si>
  <si>
    <t>Camden Property Trust</t>
  </si>
  <si>
    <t>CRH UN Equity</t>
  </si>
  <si>
    <t>CRH PLC</t>
  </si>
  <si>
    <t>CRL UN Equity</t>
  </si>
  <si>
    <t>Charles River Laboratories Int</t>
  </si>
  <si>
    <t>CRM UN Equity</t>
  </si>
  <si>
    <t>Salesforce Inc</t>
  </si>
  <si>
    <t>CRWD UW Equity</t>
  </si>
  <si>
    <t>Crowdstrike Holdings Inc</t>
  </si>
  <si>
    <t>CSCO UW Equity</t>
  </si>
  <si>
    <t>Cisco Systems Inc</t>
  </si>
  <si>
    <t>CSGP UW Equity</t>
  </si>
  <si>
    <t>CoStar Group Inc</t>
  </si>
  <si>
    <t>CSX UW Equity</t>
  </si>
  <si>
    <t>CSX Corp</t>
  </si>
  <si>
    <t>CTAS UW Equity</t>
  </si>
  <si>
    <t>Cintas Corp</t>
  </si>
  <si>
    <t>CTSH UW Equity</t>
  </si>
  <si>
    <t>Cognizant Technology Solutions</t>
  </si>
  <si>
    <t>CTVA UN Equity</t>
  </si>
  <si>
    <t>Corteva Inc</t>
  </si>
  <si>
    <t>CVNA UN Equity</t>
  </si>
  <si>
    <t>Carvana Co</t>
  </si>
  <si>
    <t>CVS UN Equity</t>
  </si>
  <si>
    <t>CVS Health Corp</t>
  </si>
  <si>
    <t>CVX UN Equity</t>
  </si>
  <si>
    <t>Chevron Corp</t>
  </si>
  <si>
    <t>D UN Equity</t>
  </si>
  <si>
    <t>Dominion Energy Inc</t>
  </si>
  <si>
    <t>DAL UN Equity</t>
  </si>
  <si>
    <t>Delta Air Lines Inc</t>
  </si>
  <si>
    <t>DASH UW Equity</t>
  </si>
  <si>
    <t>DoorDash Inc</t>
  </si>
  <si>
    <t>DD UN Equity</t>
  </si>
  <si>
    <t>DuPont de Nemours Inc</t>
  </si>
  <si>
    <t>DDOG UW Equity</t>
  </si>
  <si>
    <t>Datadog Inc</t>
  </si>
  <si>
    <t>DE UN Equity</t>
  </si>
  <si>
    <t>Deere &amp; Co</t>
  </si>
  <si>
    <t>DECK UN Equity</t>
  </si>
  <si>
    <t>Deckers Outdoor Corp</t>
  </si>
  <si>
    <t>Consumer Durables &amp; Apparel</t>
  </si>
  <si>
    <t>DELL UN Equity</t>
  </si>
  <si>
    <t>Dell Technologies Inc</t>
  </si>
  <si>
    <t>DG UN Equity</t>
  </si>
  <si>
    <t>Dollar General Corp</t>
  </si>
  <si>
    <t>DGX UN Equity</t>
  </si>
  <si>
    <t>Quest Diagnostics Inc</t>
  </si>
  <si>
    <t>DHI UN Equity</t>
  </si>
  <si>
    <t>DR Horton Inc</t>
  </si>
  <si>
    <t>DHR UN Equity</t>
  </si>
  <si>
    <t>Danaher Corp</t>
  </si>
  <si>
    <t>DIS UN Equity</t>
  </si>
  <si>
    <t>Walt Disney Co/The</t>
  </si>
  <si>
    <t>DLR UN Equity</t>
  </si>
  <si>
    <t>Digital Realty Trust Inc</t>
  </si>
  <si>
    <t>DLTR UW Equity</t>
  </si>
  <si>
    <t>Dollar Tree Inc</t>
  </si>
  <si>
    <t>DOC UN Equity</t>
  </si>
  <si>
    <t>Healthpeak Properties Inc</t>
  </si>
  <si>
    <t>DOV UN Equity</t>
  </si>
  <si>
    <t>Dover Corp</t>
  </si>
  <si>
    <t>DOW UN Equity</t>
  </si>
  <si>
    <t>Dow Inc</t>
  </si>
  <si>
    <t>DPZ UW Equity</t>
  </si>
  <si>
    <t>Domino's Pizza Inc</t>
  </si>
  <si>
    <t>DRI UN Equity</t>
  </si>
  <si>
    <t>Darden Restaurants Inc</t>
  </si>
  <si>
    <t>DTE UN Equity</t>
  </si>
  <si>
    <t>DTE Energy Co</t>
  </si>
  <si>
    <t>DUK UN Equity</t>
  </si>
  <si>
    <t>Duke Energy Corp</t>
  </si>
  <si>
    <t>DVA UN Equity</t>
  </si>
  <si>
    <t>DaVita Inc</t>
  </si>
  <si>
    <t>DVN UN Equity</t>
  </si>
  <si>
    <t>Devon Energy Corp</t>
  </si>
  <si>
    <t>DXCM UW Equity</t>
  </si>
  <si>
    <t>Dexcom Inc</t>
  </si>
  <si>
    <t>EBAY UW Equity</t>
  </si>
  <si>
    <t>eBay Inc</t>
  </si>
  <si>
    <t>ECHO UW Equity</t>
  </si>
  <si>
    <t>EchoStar Corp</t>
  </si>
  <si>
    <t>ECL UN Equity</t>
  </si>
  <si>
    <t>Ecolab Inc</t>
  </si>
  <si>
    <t>ED UN Equity</t>
  </si>
  <si>
    <t>Consolidated Edison Inc</t>
  </si>
  <si>
    <t>EFX UN Equity</t>
  </si>
  <si>
    <t>Equifax Inc</t>
  </si>
  <si>
    <t>EG UN Equity</t>
  </si>
  <si>
    <t>Everest Group Ltd</t>
  </si>
  <si>
    <t>EIX UN Equity</t>
  </si>
  <si>
    <t>Edison International</t>
  </si>
  <si>
    <t>EL UN Equity</t>
  </si>
  <si>
    <t>Estee Lauder Cos Inc/The</t>
  </si>
  <si>
    <t>ELV UN Equity</t>
  </si>
  <si>
    <t>Elevance Health Inc</t>
  </si>
  <si>
    <t>EME UN Equity</t>
  </si>
  <si>
    <t>EMCOR Group Inc</t>
  </si>
  <si>
    <t>EMR UN Equity</t>
  </si>
  <si>
    <t>Emerson Electric Co</t>
  </si>
  <si>
    <t>EOG UN Equity</t>
  </si>
  <si>
    <t>EOG Resources Inc</t>
  </si>
  <si>
    <t>EQIX UW Equity</t>
  </si>
  <si>
    <t>Equinix Inc</t>
  </si>
  <si>
    <t>EQT UN Equity</t>
  </si>
  <si>
    <t>EQT Corp</t>
  </si>
  <si>
    <t>ERIE UW Equity</t>
  </si>
  <si>
    <t>Erie Indemnity Co</t>
  </si>
  <si>
    <t>ES UN Equity</t>
  </si>
  <si>
    <t>Eversource Energy</t>
  </si>
  <si>
    <t>ESS UN Equity</t>
  </si>
  <si>
    <t>Essex Property Trust Inc</t>
  </si>
  <si>
    <t>ETN UN Equity</t>
  </si>
  <si>
    <t>Eaton Corp PLC</t>
  </si>
  <si>
    <t>ETR UN Equity</t>
  </si>
  <si>
    <t>Entergy Corp</t>
  </si>
  <si>
    <t>EVRG UW Equity</t>
  </si>
  <si>
    <t>Evergy Inc</t>
  </si>
  <si>
    <t>EW UN Equity</t>
  </si>
  <si>
    <t>Edwards Lifesciences Corp</t>
  </si>
  <si>
    <t>EXC UW Equity</t>
  </si>
  <si>
    <t>Exelon Corp</t>
  </si>
  <si>
    <t>EXE UW Equity</t>
  </si>
  <si>
    <t>Expand Energy Corp</t>
  </si>
  <si>
    <t>EXPD UN Equity</t>
  </si>
  <si>
    <t>Expeditors International of Wa</t>
  </si>
  <si>
    <t>EXPE UW Equity</t>
  </si>
  <si>
    <t>Expedia Group Inc</t>
  </si>
  <si>
    <t>EXR UN Equity</t>
  </si>
  <si>
    <t>Extra Space Storage Inc</t>
  </si>
  <si>
    <t>F UN Equity</t>
  </si>
  <si>
    <t>Ford Motor Co</t>
  </si>
  <si>
    <t>FANG UW Equity</t>
  </si>
  <si>
    <t>Diamondback Energy Inc</t>
  </si>
  <si>
    <t>FAST UW Equity</t>
  </si>
  <si>
    <t>Fastenal Co</t>
  </si>
  <si>
    <t>FCX UN Equity</t>
  </si>
  <si>
    <t>Freeport-McMoRan Inc</t>
  </si>
  <si>
    <t>FDS UN Equity</t>
  </si>
  <si>
    <t>FactSet Research Systems Inc</t>
  </si>
  <si>
    <t>FDX UN Equity</t>
  </si>
  <si>
    <t>FedEx Corp</t>
  </si>
  <si>
    <t>FDXF UN Equity</t>
  </si>
  <si>
    <t>Fedex Freight Holding Co Inc</t>
  </si>
  <si>
    <t>FE UN Equity</t>
  </si>
  <si>
    <t>FirstEnergy Corp</t>
  </si>
  <si>
    <t>FERG UN Equity</t>
  </si>
  <si>
    <t>Ferguson Enterprises Inc</t>
  </si>
  <si>
    <t>FFIV UW Equity</t>
  </si>
  <si>
    <t>F5 Inc</t>
  </si>
  <si>
    <t>FICO UN Equity</t>
  </si>
  <si>
    <t>Fair Isaac Corp</t>
  </si>
  <si>
    <t>FIS UN Equity</t>
  </si>
  <si>
    <t>Fidelity National Information</t>
  </si>
  <si>
    <t>FISV UW Equity</t>
  </si>
  <si>
    <t>Fiserv Inc</t>
  </si>
  <si>
    <t>FITB UN Equity</t>
  </si>
  <si>
    <t>Fifth Third Bancorp</t>
  </si>
  <si>
    <t>FIX UN Equity</t>
  </si>
  <si>
    <t>Comfort Systems USA Inc</t>
  </si>
  <si>
    <t>FLEX UW Equity</t>
  </si>
  <si>
    <t>Flex Ltd</t>
  </si>
  <si>
    <t>FOX UW Equity</t>
  </si>
  <si>
    <t>Fox Corp</t>
  </si>
  <si>
    <t>FOXA UW Equity</t>
  </si>
  <si>
    <t>FRT UN Equity</t>
  </si>
  <si>
    <t>Federal Realty Investment Trus</t>
  </si>
  <si>
    <t>FSLR UW Equity</t>
  </si>
  <si>
    <t>First Solar Inc</t>
  </si>
  <si>
    <t>FTNT UW Equity</t>
  </si>
  <si>
    <t>Fortinet Inc</t>
  </si>
  <si>
    <t>FTV UN Equity</t>
  </si>
  <si>
    <t>Fortive Corp</t>
  </si>
  <si>
    <t>GD UN Equity</t>
  </si>
  <si>
    <t>General Dynamics Corp</t>
  </si>
  <si>
    <t>GDDY UN Equity</t>
  </si>
  <si>
    <t>GoDaddy Inc</t>
  </si>
  <si>
    <t>GE UN Equity</t>
  </si>
  <si>
    <t>General Electric Co</t>
  </si>
  <si>
    <t>GEHC UW Equity</t>
  </si>
  <si>
    <t>GE HealthCare Technologies Inc</t>
  </si>
  <si>
    <t>GEN UW Equity</t>
  </si>
  <si>
    <t>Gen Digital Inc</t>
  </si>
  <si>
    <t>GEV UN Equity</t>
  </si>
  <si>
    <t>GE Vernova Inc</t>
  </si>
  <si>
    <t>GILD UW Equity</t>
  </si>
  <si>
    <t>Gilead Sciences Inc</t>
  </si>
  <si>
    <t>GIS UN Equity</t>
  </si>
  <si>
    <t>General Mills Inc</t>
  </si>
  <si>
    <t>GL UN Equity</t>
  </si>
  <si>
    <t>Globe Life Inc</t>
  </si>
  <si>
    <t>GLW UN Equity</t>
  </si>
  <si>
    <t>Corning Inc</t>
  </si>
  <si>
    <t>GM UN Equity</t>
  </si>
  <si>
    <t>General Motors Co</t>
  </si>
  <si>
    <t>GNRC UN Equity</t>
  </si>
  <si>
    <t>Generac Holdings Inc</t>
  </si>
  <si>
    <t>GOOG UW Equity</t>
  </si>
  <si>
    <t>Alphabet Inc</t>
  </si>
  <si>
    <t>GOOGL UW Equity</t>
  </si>
  <si>
    <t>GPC UN Equity</t>
  </si>
  <si>
    <t>Genuine Parts Co</t>
  </si>
  <si>
    <t>GPN UN Equity</t>
  </si>
  <si>
    <t>Global Payments Inc</t>
  </si>
  <si>
    <t>GRMN UN Equity</t>
  </si>
  <si>
    <t>Garmin Ltd</t>
  </si>
  <si>
    <t>GS UN Equity</t>
  </si>
  <si>
    <t>Goldman Sachs Group Inc/The</t>
  </si>
  <si>
    <t>GWW UN Equity</t>
  </si>
  <si>
    <t>WW Grainger Inc</t>
  </si>
  <si>
    <t>HAL UN Equity</t>
  </si>
  <si>
    <t>Halliburton Co</t>
  </si>
  <si>
    <t>HAS UW Equity</t>
  </si>
  <si>
    <t>Hasbro Inc</t>
  </si>
  <si>
    <t>HBAN UW Equity</t>
  </si>
  <si>
    <t>Huntington Bancshares Inc/OH</t>
  </si>
  <si>
    <t>HCA UN Equity</t>
  </si>
  <si>
    <t>HCA Healthcare Inc</t>
  </si>
  <si>
    <t>HD UN Equity</t>
  </si>
  <si>
    <t>Home Depot Inc/The</t>
  </si>
  <si>
    <t>HIG UN Equity</t>
  </si>
  <si>
    <t>Hartford Insurance Group Inc/T</t>
  </si>
  <si>
    <t>HII UN Equity</t>
  </si>
  <si>
    <t>Huntington Ingalls Industries</t>
  </si>
  <si>
    <t>HLT UN Equity</t>
  </si>
  <si>
    <t>Hilton Worldwide Holdings Inc</t>
  </si>
  <si>
    <t>HON UW Equity</t>
  </si>
  <si>
    <t>Honeywell International Inc</t>
  </si>
  <si>
    <t>HONA UW Equity</t>
  </si>
  <si>
    <t>Honeywell Aerospace Inc</t>
  </si>
  <si>
    <t>HOOD UW Equity</t>
  </si>
  <si>
    <t>Robinhood Markets Inc</t>
  </si>
  <si>
    <t>HPE UN Equity</t>
  </si>
  <si>
    <t>Hewlett Packard Enterprise Co</t>
  </si>
  <si>
    <t>HPQ UN Equity</t>
  </si>
  <si>
    <t>HP Inc</t>
  </si>
  <si>
    <t>HRL UN Equity</t>
  </si>
  <si>
    <t>Hormel Foods Corp</t>
  </si>
  <si>
    <t>HSIC UW Equity</t>
  </si>
  <si>
    <t>Henry Schein Inc</t>
  </si>
  <si>
    <t>HST UW Equity</t>
  </si>
  <si>
    <t>Host Hotels &amp; Resorts Inc</t>
  </si>
  <si>
    <t>HSY UN Equity</t>
  </si>
  <si>
    <t>Hershey Co/The</t>
  </si>
  <si>
    <t>HUBB UN Equity</t>
  </si>
  <si>
    <t>Hubbell Inc</t>
  </si>
  <si>
    <t>HUM UN Equity</t>
  </si>
  <si>
    <t>Humana Inc</t>
  </si>
  <si>
    <t>HWM UN Equity</t>
  </si>
  <si>
    <t>Howmet Aerospace Inc</t>
  </si>
  <si>
    <t>IBKR UW Equity</t>
  </si>
  <si>
    <t>Interactive Brokers Group Inc</t>
  </si>
  <si>
    <t>IBM UN Equity</t>
  </si>
  <si>
    <t>International Business Machine</t>
  </si>
  <si>
    <t>ICE UN Equity</t>
  </si>
  <si>
    <t>Intercontinental Exchange Inc</t>
  </si>
  <si>
    <t>IDXX UW Equity</t>
  </si>
  <si>
    <t>IDEXX Laboratories Inc</t>
  </si>
  <si>
    <t>IEX UN Equity</t>
  </si>
  <si>
    <t>IDEX Corp</t>
  </si>
  <si>
    <t>IFF UN Equity</t>
  </si>
  <si>
    <t>International Flavors &amp; Fragra</t>
  </si>
  <si>
    <t>INCY UW Equity</t>
  </si>
  <si>
    <t>Incyte Corp</t>
  </si>
  <si>
    <t>INTC UW Equity</t>
  </si>
  <si>
    <t>Intel Corp</t>
  </si>
  <si>
    <t>INTU UW Equity</t>
  </si>
  <si>
    <t>Intuit Inc</t>
  </si>
  <si>
    <t>INVH UN Equity</t>
  </si>
  <si>
    <t>Invitation Homes Inc</t>
  </si>
  <si>
    <t>IP UN Equity</t>
  </si>
  <si>
    <t>International Paper Co</t>
  </si>
  <si>
    <t>IQV UN Equity</t>
  </si>
  <si>
    <t>IQVIA Holdings Inc</t>
  </si>
  <si>
    <t>IR UN Equity</t>
  </si>
  <si>
    <t>Ingersoll Rand Inc</t>
  </si>
  <si>
    <t>IRM UN Equity</t>
  </si>
  <si>
    <t>Iron Mountain Inc</t>
  </si>
  <si>
    <t>ISRG UW Equity</t>
  </si>
  <si>
    <t>Intuitive Surgical Inc</t>
  </si>
  <si>
    <t>IT UN Equity</t>
  </si>
  <si>
    <t>Gartner Inc</t>
  </si>
  <si>
    <t>ITW UN Equity</t>
  </si>
  <si>
    <t>Illinois Tool Works Inc</t>
  </si>
  <si>
    <t>IVZ UN Equity</t>
  </si>
  <si>
    <t>Invesco Ltd</t>
  </si>
  <si>
    <t>J UN Equity</t>
  </si>
  <si>
    <t>Jacobs Solutions Inc</t>
  </si>
  <si>
    <t>JBHT UW Equity</t>
  </si>
  <si>
    <t>JB Hunt Transport Services Inc</t>
  </si>
  <si>
    <t>JBL UN Equity</t>
  </si>
  <si>
    <t>Jabil Inc</t>
  </si>
  <si>
    <t>JCI UN Equity</t>
  </si>
  <si>
    <t>Johnson Controls International</t>
  </si>
  <si>
    <t>JKHY UW Equity</t>
  </si>
  <si>
    <t>Jack Henry &amp; Associates Inc</t>
  </si>
  <si>
    <t>JNJ UN Equity</t>
  </si>
  <si>
    <t>Johnson &amp; Johnson</t>
  </si>
  <si>
    <t>JPM UN Equity</t>
  </si>
  <si>
    <t>JPMorgan Chase &amp; Co</t>
  </si>
  <si>
    <t>KDP UW Equity</t>
  </si>
  <si>
    <t>Keurig Dr Pepper Inc</t>
  </si>
  <si>
    <t>KEY UN Equity</t>
  </si>
  <si>
    <t>KeyCorp</t>
  </si>
  <si>
    <t>KEYS UN Equity</t>
  </si>
  <si>
    <t>Keysight Technologies Inc</t>
  </si>
  <si>
    <t>KHC UW Equity</t>
  </si>
  <si>
    <t>Kraft Heinz Co/The</t>
  </si>
  <si>
    <t>KIM UN Equity</t>
  </si>
  <si>
    <t>Kimco Realty Corp</t>
  </si>
  <si>
    <t>KKR UN Equity</t>
  </si>
  <si>
    <t>KKR &amp; Co Inc</t>
  </si>
  <si>
    <t>KLAC UW Equity</t>
  </si>
  <si>
    <t>KLA Corp</t>
  </si>
  <si>
    <t>KMB UW Equity</t>
  </si>
  <si>
    <t>Kimberly-Clark Corp</t>
  </si>
  <si>
    <t>KMI UN Equity</t>
  </si>
  <si>
    <t>Kinder Morgan Inc</t>
  </si>
  <si>
    <t>KO UN Equity</t>
  </si>
  <si>
    <t>Coca-Cola Co/The</t>
  </si>
  <si>
    <t>KR UN Equity</t>
  </si>
  <si>
    <t>Kroger Co/The</t>
  </si>
  <si>
    <t>KVUE UN Equity</t>
  </si>
  <si>
    <t>Kenvue Inc</t>
  </si>
  <si>
    <t>L UN Equity</t>
  </si>
  <si>
    <t>Loews Corp</t>
  </si>
  <si>
    <t>LDOS UN Equity</t>
  </si>
  <si>
    <t>Leidos Holdings Inc</t>
  </si>
  <si>
    <t>LEN UN Equity</t>
  </si>
  <si>
    <t>Lennar Corp</t>
  </si>
  <si>
    <t>LH UN Equity</t>
  </si>
  <si>
    <t>Labcorp Holdings Inc</t>
  </si>
  <si>
    <t>LHX UN Equity</t>
  </si>
  <si>
    <t>L3Harris Technologies Inc</t>
  </si>
  <si>
    <t>LII UN Equity</t>
  </si>
  <si>
    <t>Lennox International Inc</t>
  </si>
  <si>
    <t>LIN UW Equity</t>
  </si>
  <si>
    <t>Linde PLC</t>
  </si>
  <si>
    <t>LITE UW Equity</t>
  </si>
  <si>
    <t>Lumentum Holdings Inc</t>
  </si>
  <si>
    <t>LLY UN Equity</t>
  </si>
  <si>
    <t>Eli Lilly &amp; Co</t>
  </si>
  <si>
    <t>LMT UN Equity</t>
  </si>
  <si>
    <t>Lockheed Martin Corp</t>
  </si>
  <si>
    <t>LNT UW Equity</t>
  </si>
  <si>
    <t>Alliant Energy Corp</t>
  </si>
  <si>
    <t>LOW UN Equity</t>
  </si>
  <si>
    <t>Lowe's Cos Inc</t>
  </si>
  <si>
    <t>LRCX UW Equity</t>
  </si>
  <si>
    <t>Lam Research Corp</t>
  </si>
  <si>
    <t>LULU UW Equity</t>
  </si>
  <si>
    <t>Lululemon Athletica Inc</t>
  </si>
  <si>
    <t>LUV UN Equity</t>
  </si>
  <si>
    <t>Southwest Airlines Co</t>
  </si>
  <si>
    <t>LVS UN Equity</t>
  </si>
  <si>
    <t>Las Vegas Sands Corp</t>
  </si>
  <si>
    <t>LYB UN Equity</t>
  </si>
  <si>
    <t>LyondellBasell Industries NV</t>
  </si>
  <si>
    <t>LYV UN Equity</t>
  </si>
  <si>
    <t>Live Nation Entertainment Inc</t>
  </si>
  <si>
    <t>MA UN Equity</t>
  </si>
  <si>
    <t>Mastercard Inc</t>
  </si>
  <si>
    <t>MAA UN Equity</t>
  </si>
  <si>
    <t>Mid-America Apartment Communit</t>
  </si>
  <si>
    <t>MAR UW Equity</t>
  </si>
  <si>
    <t>Marriott International Inc/MD</t>
  </si>
  <si>
    <t>MAS UN Equity</t>
  </si>
  <si>
    <t>Masco Corp</t>
  </si>
  <si>
    <t>MCD UN Equity</t>
  </si>
  <si>
    <t>McDonald's Corp</t>
  </si>
  <si>
    <t>MCHP UW Equity</t>
  </si>
  <si>
    <t>Microchip Technology Inc</t>
  </si>
  <si>
    <t>MCK UN Equity</t>
  </si>
  <si>
    <t>McKesson Corp</t>
  </si>
  <si>
    <t>MCO UN Equity</t>
  </si>
  <si>
    <t>Moody's Corp</t>
  </si>
  <si>
    <t>MDLZ UW Equity</t>
  </si>
  <si>
    <t>Mondelez International Inc</t>
  </si>
  <si>
    <t>MDT UN Equity</t>
  </si>
  <si>
    <t>Medtronic PLC</t>
  </si>
  <si>
    <t>MET UN Equity</t>
  </si>
  <si>
    <t>MetLife Inc</t>
  </si>
  <si>
    <t>META UW Equity</t>
  </si>
  <si>
    <t>Meta Platforms Inc</t>
  </si>
  <si>
    <t>MGM UN Equity</t>
  </si>
  <si>
    <t>MGM Resorts International</t>
  </si>
  <si>
    <t>MKC UN Equity</t>
  </si>
  <si>
    <t>McCormick &amp; Co Inc/MD</t>
  </si>
  <si>
    <t>MLM UN Equity</t>
  </si>
  <si>
    <t>Martin Marietta Materials Inc</t>
  </si>
  <si>
    <t>MMM UN Equity</t>
  </si>
  <si>
    <t>3M Co</t>
  </si>
  <si>
    <t>MNST UW Equity</t>
  </si>
  <si>
    <t>Monster Beverage Corp</t>
  </si>
  <si>
    <t>MO UN Equity</t>
  </si>
  <si>
    <t>Altria Group Inc</t>
  </si>
  <si>
    <t>MOS UN Equity</t>
  </si>
  <si>
    <t>Mosaic Co/The</t>
  </si>
  <si>
    <t>MPC UN Equity</t>
  </si>
  <si>
    <t>Marathon Petroleum Corp</t>
  </si>
  <si>
    <t>MPWR UW Equity</t>
  </si>
  <si>
    <t>Monolithic Power Systems Inc</t>
  </si>
  <si>
    <t>MRK UN Equity</t>
  </si>
  <si>
    <t>Merck &amp; Co Inc</t>
  </si>
  <si>
    <t>MRNA UW Equity</t>
  </si>
  <si>
    <t>Moderna Inc</t>
  </si>
  <si>
    <t>MRSH UN Equity</t>
  </si>
  <si>
    <t>Marsh &amp; McLennan Cos Inc</t>
  </si>
  <si>
    <t>MRVL UW Equity</t>
  </si>
  <si>
    <t>Marvell Technology Inc</t>
  </si>
  <si>
    <t>MS UN Equity</t>
  </si>
  <si>
    <t>Morgan Stanley</t>
  </si>
  <si>
    <t>MSCI UN Equity</t>
  </si>
  <si>
    <t>MSCI Inc</t>
  </si>
  <si>
    <t>MSFT UW Equity</t>
  </si>
  <si>
    <t>Microsoft Corp</t>
  </si>
  <si>
    <t>MSI UN Equity</t>
  </si>
  <si>
    <t>Motorola Solutions Inc</t>
  </si>
  <si>
    <t>MTB UN Equity</t>
  </si>
  <si>
    <t>M&amp;T Bank Corp</t>
  </si>
  <si>
    <t>MTD UN Equity</t>
  </si>
  <si>
    <t>Mettler-Toledo International I</t>
  </si>
  <si>
    <t>MU UW Equity</t>
  </si>
  <si>
    <t>Micron Technology Inc</t>
  </si>
  <si>
    <t>NCLH UN Equity</t>
  </si>
  <si>
    <t>Norwegian Cruise Line Holdings</t>
  </si>
  <si>
    <t>NDAQ UW Equity</t>
  </si>
  <si>
    <t>Nasdaq Inc</t>
  </si>
  <si>
    <t>NDSN UW Equity</t>
  </si>
  <si>
    <t>Nordson Corp</t>
  </si>
  <si>
    <t>NEE UN Equity</t>
  </si>
  <si>
    <t>NextEra Energy Inc</t>
  </si>
  <si>
    <t>NEM UN Equity</t>
  </si>
  <si>
    <t>Newmont Corp</t>
  </si>
  <si>
    <t>NFLX UW Equity</t>
  </si>
  <si>
    <t>Netflix Inc</t>
  </si>
  <si>
    <t>NI UN Equity</t>
  </si>
  <si>
    <t>NiSource Inc</t>
  </si>
  <si>
    <t>NKE UN Equity</t>
  </si>
  <si>
    <t>NIKE Inc</t>
  </si>
  <si>
    <t>NOC UN Equity</t>
  </si>
  <si>
    <t>Northrop Grumman Corp</t>
  </si>
  <si>
    <t>NOW UN Equity</t>
  </si>
  <si>
    <t>ServiceNow Inc</t>
  </si>
  <si>
    <t>NRG UN Equity</t>
  </si>
  <si>
    <t>NRG Energy Inc</t>
  </si>
  <si>
    <t>NSC UN Equity</t>
  </si>
  <si>
    <t>Norfolk Southern Corp</t>
  </si>
  <si>
    <t>NTAP UW Equity</t>
  </si>
  <si>
    <t>NetApp Inc</t>
  </si>
  <si>
    <t>NTRS UW Equity</t>
  </si>
  <si>
    <t>Northern Trust Corp</t>
  </si>
  <si>
    <t>NUE UN Equity</t>
  </si>
  <si>
    <t>Nucor Corp</t>
  </si>
  <si>
    <t>NVDA UW Equity</t>
  </si>
  <si>
    <t>NVIDIA Corp</t>
  </si>
  <si>
    <t>NVR UN Equity</t>
  </si>
  <si>
    <t>NVR Inc</t>
  </si>
  <si>
    <t>NWS UW Equity</t>
  </si>
  <si>
    <t>News Corp</t>
  </si>
  <si>
    <t>NWSA UW Equity</t>
  </si>
  <si>
    <t>NXPI UW Equity</t>
  </si>
  <si>
    <t>NXP Semiconductors NV</t>
  </si>
  <si>
    <t>O UN Equity</t>
  </si>
  <si>
    <t>Realty Income Corp</t>
  </si>
  <si>
    <t>ODFL UW Equity</t>
  </si>
  <si>
    <t>Old Dominion Freight Line Inc</t>
  </si>
  <si>
    <t>OKE UN Equity</t>
  </si>
  <si>
    <t>ONEOK Inc</t>
  </si>
  <si>
    <t>OMC UN Equity</t>
  </si>
  <si>
    <t>Omnicom Group Inc</t>
  </si>
  <si>
    <t>ON UW Equity</t>
  </si>
  <si>
    <t>ON Semiconductor Corp</t>
  </si>
  <si>
    <t>ORCL UN Equity</t>
  </si>
  <si>
    <t>Oracle Corp</t>
  </si>
  <si>
    <t>ORLY UW Equity</t>
  </si>
  <si>
    <t>O'Reilly Automotive Inc</t>
  </si>
  <si>
    <t>OTIS UN Equity</t>
  </si>
  <si>
    <t>Otis Worldwide Corp</t>
  </si>
  <si>
    <t>OXY UN Equity</t>
  </si>
  <si>
    <t>Occidental Petroleum Corp</t>
  </si>
  <si>
    <t>PANW UW Equity</t>
  </si>
  <si>
    <t>Palo Alto Networks Inc</t>
  </si>
  <si>
    <t>PAYX UW Equity</t>
  </si>
  <si>
    <t>Paychex Inc</t>
  </si>
  <si>
    <t>PCAR UW Equity</t>
  </si>
  <si>
    <t>PACCAR Inc</t>
  </si>
  <si>
    <t>PCG UN Equity</t>
  </si>
  <si>
    <t>PG&amp;E Corp</t>
  </si>
  <si>
    <t>PEG UN Equity</t>
  </si>
  <si>
    <t>Public Service Enterprise Grou</t>
  </si>
  <si>
    <t>PEP UW Equity</t>
  </si>
  <si>
    <t>PepsiCo Inc</t>
  </si>
  <si>
    <t>PFE UN Equity</t>
  </si>
  <si>
    <t>Pfizer Inc</t>
  </si>
  <si>
    <t>PFG UW Equity</t>
  </si>
  <si>
    <t>Principal Financial Group Inc</t>
  </si>
  <si>
    <t>PG UN Equity</t>
  </si>
  <si>
    <t>Procter &amp; Gamble Co/The</t>
  </si>
  <si>
    <t>PGR UN Equity</t>
  </si>
  <si>
    <t>Progressive Corp/The</t>
  </si>
  <si>
    <t>PH UN Equity</t>
  </si>
  <si>
    <t>Parker-Hannifin Corp</t>
  </si>
  <si>
    <t>PHM UN Equity</t>
  </si>
  <si>
    <t>PulteGroup Inc</t>
  </si>
  <si>
    <t>PKG UN Equity</t>
  </si>
  <si>
    <t>Packaging Corp of America</t>
  </si>
  <si>
    <t>PLD UN Equity</t>
  </si>
  <si>
    <t>Prologis Inc</t>
  </si>
  <si>
    <t>PLTR UW Equity</t>
  </si>
  <si>
    <t>Palantir Technologies Inc</t>
  </si>
  <si>
    <t>PM UN Equity</t>
  </si>
  <si>
    <t>Philip Morris International In</t>
  </si>
  <si>
    <t>PNC UN Equity</t>
  </si>
  <si>
    <t>PNC Financial Services Group I</t>
  </si>
  <si>
    <t>PNR UN Equity</t>
  </si>
  <si>
    <t>Pentair PLC</t>
  </si>
  <si>
    <t>PNW UN Equity</t>
  </si>
  <si>
    <t>Pinnacle West Capital Corp</t>
  </si>
  <si>
    <t>PODD UW Equity</t>
  </si>
  <si>
    <t>Insulet Corp</t>
  </si>
  <si>
    <t>PPG UN Equity</t>
  </si>
  <si>
    <t>PPG Industries Inc</t>
  </si>
  <si>
    <t>PPL UN Equity</t>
  </si>
  <si>
    <t>PPL Corp</t>
  </si>
  <si>
    <t>PRU UN Equity</t>
  </si>
  <si>
    <t>Prudential Financial Inc</t>
  </si>
  <si>
    <t>PSA UN Equity</t>
  </si>
  <si>
    <t>Public Storage</t>
  </si>
  <si>
    <t>PSKY UW Equity</t>
  </si>
  <si>
    <t>Paramount Skydance Corp</t>
  </si>
  <si>
    <t>PSX UN Equity</t>
  </si>
  <si>
    <t>Phillips 66</t>
  </si>
  <si>
    <t>PTC UW Equity</t>
  </si>
  <si>
    <t>PTC Inc</t>
  </si>
  <si>
    <t>PWR UN Equity</t>
  </si>
  <si>
    <t>Quanta Services Inc</t>
  </si>
  <si>
    <t>PYPL UW Equity</t>
  </si>
  <si>
    <t>PayPal Holdings Inc</t>
  </si>
  <si>
    <t>Q UN Equity</t>
  </si>
  <si>
    <t>Qnity Electronics Inc</t>
  </si>
  <si>
    <t>QCOM UW Equity</t>
  </si>
  <si>
    <t>QUALCOMM Inc</t>
  </si>
  <si>
    <t>RCL UN Equity</t>
  </si>
  <si>
    <t>Royal Caribbean Cruises Ltd</t>
  </si>
  <si>
    <t>RDDT UN Equity</t>
  </si>
  <si>
    <t>Reddit Inc</t>
  </si>
  <si>
    <t>REG UW Equity</t>
  </si>
  <si>
    <t>Regency Centers Corp</t>
  </si>
  <si>
    <t>REGN UW Equity</t>
  </si>
  <si>
    <t>Regeneron Pharmaceuticals Inc</t>
  </si>
  <si>
    <t>RF UN Equity</t>
  </si>
  <si>
    <t>Regions Financial Corp</t>
  </si>
  <si>
    <t>RJF UN Equity</t>
  </si>
  <si>
    <t>Raymond James Financial Inc</t>
  </si>
  <si>
    <t>RL UN Equity</t>
  </si>
  <si>
    <t>Ralph Lauren Corp</t>
  </si>
  <si>
    <t>RMD UN Equity</t>
  </si>
  <si>
    <t>ResMed Inc</t>
  </si>
  <si>
    <t>ROK UN Equity</t>
  </si>
  <si>
    <t>Rockwell Automation Inc</t>
  </si>
  <si>
    <t>ROL UN Equity</t>
  </si>
  <si>
    <t>Rollins Inc</t>
  </si>
  <si>
    <t>ROP UW Equity</t>
  </si>
  <si>
    <t>Roper Technologies Inc</t>
  </si>
  <si>
    <t>ROST UW Equity</t>
  </si>
  <si>
    <t>Ross Stores Inc</t>
  </si>
  <si>
    <t>RSG UN Equity</t>
  </si>
  <si>
    <t>Republic Services Inc</t>
  </si>
  <si>
    <t>RTX UN Equity</t>
  </si>
  <si>
    <t>RTX Corp</t>
  </si>
  <si>
    <t>RVTY UN Equity</t>
  </si>
  <si>
    <t>Revvity Inc</t>
  </si>
  <si>
    <t>SBAC UW Equity</t>
  </si>
  <si>
    <t>SBA Communications Corp</t>
  </si>
  <si>
    <t>SBUX UW Equity</t>
  </si>
  <si>
    <t>Starbucks Corp</t>
  </si>
  <si>
    <t>SCHW UN Equity</t>
  </si>
  <si>
    <t>Charles Schwab Corp/The</t>
  </si>
  <si>
    <t>SHW UN Equity</t>
  </si>
  <si>
    <t>Sherwin-Williams Co/The</t>
  </si>
  <si>
    <t>SJM UN Equity</t>
  </si>
  <si>
    <t>J M Smucker Co/The</t>
  </si>
  <si>
    <t>SLB UN Equity</t>
  </si>
  <si>
    <t>SLB Ltd</t>
  </si>
  <si>
    <t>SMCI UW Equity</t>
  </si>
  <si>
    <t>Super Micro Computer Inc</t>
  </si>
  <si>
    <t>SNA UN Equity</t>
  </si>
  <si>
    <t>Snap-on Inc</t>
  </si>
  <si>
    <t>SNDK UW Equity</t>
  </si>
  <si>
    <t>Sandisk Corp</t>
  </si>
  <si>
    <t>SNPS UW Equity</t>
  </si>
  <si>
    <t>Synopsys Inc</t>
  </si>
  <si>
    <t>SO UN Equity</t>
  </si>
  <si>
    <t>Southern Co/The</t>
  </si>
  <si>
    <t>SOLV UN Equity</t>
  </si>
  <si>
    <t>Solventum Corp</t>
  </si>
  <si>
    <t>SPG UN Equity</t>
  </si>
  <si>
    <t>Simon Property Group Inc</t>
  </si>
  <si>
    <t>SPGI UN Equity</t>
  </si>
  <si>
    <t>S&amp;P Global Inc</t>
  </si>
  <si>
    <t>SRE UN Equity</t>
  </si>
  <si>
    <t>Sempra</t>
  </si>
  <si>
    <t>STE UN Equity</t>
  </si>
  <si>
    <t>STERIS PLC</t>
  </si>
  <si>
    <t>STLD UW Equity</t>
  </si>
  <si>
    <t>Steel Dynamics Inc</t>
  </si>
  <si>
    <t>STT UN Equity</t>
  </si>
  <si>
    <t>State Street Corp</t>
  </si>
  <si>
    <t>STX UW Equity</t>
  </si>
  <si>
    <t>Seagate Technology Holdings PL</t>
  </si>
  <si>
    <t>STZ UN Equity</t>
  </si>
  <si>
    <t>Constellation Brands Inc</t>
  </si>
  <si>
    <t>SW UN Equity</t>
  </si>
  <si>
    <t>Smurfit Westrock PLC</t>
  </si>
  <si>
    <t>SWK UN Equity</t>
  </si>
  <si>
    <t>Stanley Black &amp; Decker Inc</t>
  </si>
  <si>
    <t>SWKS UW Equity</t>
  </si>
  <si>
    <t>Skyworks Solutions Inc</t>
  </si>
  <si>
    <t>SYF UN Equity</t>
  </si>
  <si>
    <t>Synchrony Financial</t>
  </si>
  <si>
    <t>SYK UN Equity</t>
  </si>
  <si>
    <t>Stryker Corp</t>
  </si>
  <si>
    <t>SYY UN Equity</t>
  </si>
  <si>
    <t>Sysco Corp</t>
  </si>
  <si>
    <t>T UN Equity</t>
  </si>
  <si>
    <t>AT&amp;T Inc</t>
  </si>
  <si>
    <t>TAP UN Equity</t>
  </si>
  <si>
    <t>Molson Coors Beverage Co</t>
  </si>
  <si>
    <t>TDG UN Equity</t>
  </si>
  <si>
    <t>TransDigm Group Inc</t>
  </si>
  <si>
    <t>TDY UN Equity</t>
  </si>
  <si>
    <t>Teledyne Technologies Inc</t>
  </si>
  <si>
    <t>TECH UW Equity</t>
  </si>
  <si>
    <t>Bio-Techne Corp</t>
  </si>
  <si>
    <t>TEL UN Equity</t>
  </si>
  <si>
    <t>TE Connectivity PLC</t>
  </si>
  <si>
    <t>TER UW Equity</t>
  </si>
  <si>
    <t>Teradyne Inc</t>
  </si>
  <si>
    <t>TFC UN Equity</t>
  </si>
  <si>
    <t>Truist Financial Corp</t>
  </si>
  <si>
    <t>TGT UN Equity</t>
  </si>
  <si>
    <t>Target Corp</t>
  </si>
  <si>
    <t>TJX UN Equity</t>
  </si>
  <si>
    <t>TJX Cos Inc/The</t>
  </si>
  <si>
    <t>TKO UN Equity</t>
  </si>
  <si>
    <t>TKO Group Holdings Inc</t>
  </si>
  <si>
    <t>TMO UN Equity</t>
  </si>
  <si>
    <t>Thermo Fisher Scientific Inc</t>
  </si>
  <si>
    <t>TMUS UW Equity</t>
  </si>
  <si>
    <t>T-Mobile US Inc</t>
  </si>
  <si>
    <t>TPL UN Equity</t>
  </si>
  <si>
    <t>Texas Pacific Land Corp</t>
  </si>
  <si>
    <t>TPR UN Equity</t>
  </si>
  <si>
    <t>Tapestry Inc</t>
  </si>
  <si>
    <t>TRGP UN Equity</t>
  </si>
  <si>
    <t>Targa Resources Corp</t>
  </si>
  <si>
    <t>TRMB UW Equity</t>
  </si>
  <si>
    <t>Trimble Inc</t>
  </si>
  <si>
    <t>TROW UW Equity</t>
  </si>
  <si>
    <t>T Rowe Price Group Inc</t>
  </si>
  <si>
    <t>TRV UN Equity</t>
  </si>
  <si>
    <t>Travelers Cos Inc/The</t>
  </si>
  <si>
    <t>TSCO UW Equity</t>
  </si>
  <si>
    <t>Tractor Supply Co</t>
  </si>
  <si>
    <t>TSLA UW Equity</t>
  </si>
  <si>
    <t>Tesla Inc</t>
  </si>
  <si>
    <t>TSN UN Equity</t>
  </si>
  <si>
    <t>Tyson Foods Inc</t>
  </si>
  <si>
    <t>TT UN Equity</t>
  </si>
  <si>
    <t>Trane Technologies PLC</t>
  </si>
  <si>
    <t>TTD UQ Equity</t>
  </si>
  <si>
    <t>Trade Desk Inc/The</t>
  </si>
  <si>
    <t>TTWO UW Equity</t>
  </si>
  <si>
    <t>Take-Two Interactive Software</t>
  </si>
  <si>
    <t>TXN UW Equity</t>
  </si>
  <si>
    <t>Texas Instruments Inc</t>
  </si>
  <si>
    <t>TXT UN Equity</t>
  </si>
  <si>
    <t>Textron Inc</t>
  </si>
  <si>
    <t>TYL UN Equity</t>
  </si>
  <si>
    <t>Tyler Technologies Inc</t>
  </si>
  <si>
    <t>UAL UW Equity</t>
  </si>
  <si>
    <t>United Airlines Holdings Inc</t>
  </si>
  <si>
    <t>UBER UN Equity</t>
  </si>
  <si>
    <t>Uber Technologies Inc</t>
  </si>
  <si>
    <t>UDR UN Equity</t>
  </si>
  <si>
    <t>UDR Inc</t>
  </si>
  <si>
    <t>UHS UN Equity</t>
  </si>
  <si>
    <t>Universal Health Services Inc</t>
  </si>
  <si>
    <t>ULTA UW Equity</t>
  </si>
  <si>
    <t>Ulta Beauty Inc</t>
  </si>
  <si>
    <t>UNH UN Equity</t>
  </si>
  <si>
    <t>UnitedHealth Group Inc</t>
  </si>
  <si>
    <t>UNP UN Equity</t>
  </si>
  <si>
    <t>Union Pacific Corp</t>
  </si>
  <si>
    <t>UPS UN Equity</t>
  </si>
  <si>
    <t>United Parcel Service Inc</t>
  </si>
  <si>
    <t>URI UN Equity</t>
  </si>
  <si>
    <t>United Rentals Inc</t>
  </si>
  <si>
    <t>USB UN Equity</t>
  </si>
  <si>
    <t>US Bancorp</t>
  </si>
  <si>
    <t>V UN Equity</t>
  </si>
  <si>
    <t>Visa Inc</t>
  </si>
  <si>
    <t>VEEV UN Equity</t>
  </si>
  <si>
    <t>Veeva Systems Inc</t>
  </si>
  <si>
    <t>VICI UN Equity</t>
  </si>
  <si>
    <t>VICI Properties Inc</t>
  </si>
  <si>
    <t>VLO UN Equity</t>
  </si>
  <si>
    <t>Valero Energy Corp</t>
  </si>
  <si>
    <t>VLTO UN Equity</t>
  </si>
  <si>
    <t>Veralto Corp</t>
  </si>
  <si>
    <t>VMC UN Equity</t>
  </si>
  <si>
    <t>Vulcan Materials Co</t>
  </si>
  <si>
    <t>VMRK UN Equity</t>
  </si>
  <si>
    <t>Vivmark Residential</t>
  </si>
  <si>
    <t>VRSK UW Equity</t>
  </si>
  <si>
    <t>Verisk Analytics Inc</t>
  </si>
  <si>
    <t>VRSN UW Equity</t>
  </si>
  <si>
    <t>VeriSign Inc</t>
  </si>
  <si>
    <t>VRT UN Equity</t>
  </si>
  <si>
    <t>Vertiv Holdings Co</t>
  </si>
  <si>
    <t>VRTX UW Equity</t>
  </si>
  <si>
    <t>Vertex Pharmaceuticals Inc</t>
  </si>
  <si>
    <t>VST UN Equity</t>
  </si>
  <si>
    <t>Vistra Corp</t>
  </si>
  <si>
    <t>VTR UN Equity</t>
  </si>
  <si>
    <t>Ventas Inc</t>
  </si>
  <si>
    <t>VTRS UW Equity</t>
  </si>
  <si>
    <t>Viatris Inc</t>
  </si>
  <si>
    <t>VZ UN Equity</t>
  </si>
  <si>
    <t>Verizon Communications Inc</t>
  </si>
  <si>
    <t>WAB UN Equity</t>
  </si>
  <si>
    <t>Westinghouse Air Brake Technol</t>
  </si>
  <si>
    <t>WAT UN Equity</t>
  </si>
  <si>
    <t>Waters Corp</t>
  </si>
  <si>
    <t>WBD UW Equity</t>
  </si>
  <si>
    <t>Warner Bros Discovery Inc</t>
  </si>
  <si>
    <t>WDAY UW Equity</t>
  </si>
  <si>
    <t>Workday Inc</t>
  </si>
  <si>
    <t>WDC UW Equity</t>
  </si>
  <si>
    <t>Western Digital Corp</t>
  </si>
  <si>
    <t>WEC UN Equity</t>
  </si>
  <si>
    <t>WEC Energy Group Inc</t>
  </si>
  <si>
    <t>WELL UN Equity</t>
  </si>
  <si>
    <t>Welltower Inc</t>
  </si>
  <si>
    <t>WFC UN Equity</t>
  </si>
  <si>
    <t>Wells Fargo &amp; Co</t>
  </si>
  <si>
    <t>WM UN Equity</t>
  </si>
  <si>
    <t>Waste Management Inc</t>
  </si>
  <si>
    <t>WMB UN Equity</t>
  </si>
  <si>
    <t>Williams Cos Inc/The</t>
  </si>
  <si>
    <t>WMT UW Equity</t>
  </si>
  <si>
    <t>Walmart Inc</t>
  </si>
  <si>
    <t>WRB UN Equity</t>
  </si>
  <si>
    <t>W R Berkley Corp</t>
  </si>
  <si>
    <t>WSM UN Equity</t>
  </si>
  <si>
    <t>Williams-Sonoma Inc</t>
  </si>
  <si>
    <t>WST UN Equity</t>
  </si>
  <si>
    <t>West Pharmaceutical Services I</t>
  </si>
  <si>
    <t>WTW UW Equity</t>
  </si>
  <si>
    <t>Willis Towers Watson PLC</t>
  </si>
  <si>
    <t>WY UN Equity</t>
  </si>
  <si>
    <t>Weyerhaeuser Co</t>
  </si>
  <si>
    <t>WYNN UW Equity</t>
  </si>
  <si>
    <t>Wynn Resorts Ltd</t>
  </si>
  <si>
    <t>XEL UW Equity</t>
  </si>
  <si>
    <t>Xcel Energy Inc</t>
  </si>
  <si>
    <t>XOM UN Equity</t>
  </si>
  <si>
    <t>ExxonMobil Holdings Corp</t>
  </si>
  <si>
    <t>XYL UN Equity</t>
  </si>
  <si>
    <t>Xylem Inc/NY</t>
  </si>
  <si>
    <t>XYZ UN Equity</t>
  </si>
  <si>
    <t>Block Inc</t>
  </si>
  <si>
    <t>YUM UN Equity</t>
  </si>
  <si>
    <t>Yum! Brands Inc</t>
  </si>
  <si>
    <t>ZBH UN Equity</t>
  </si>
  <si>
    <t>Zimmer Biomet Holdings Inc</t>
  </si>
  <si>
    <t>ZBRA UW Equity</t>
  </si>
  <si>
    <t>Zebra Technologies Corp</t>
  </si>
  <si>
    <t>ZTS UN Equity</t>
  </si>
  <si>
    <t>Zoetis Inc</t>
  </si>
  <si>
    <t>Rank</t>
  </si>
  <si>
    <t>1D</t>
  </si>
  <si>
    <t>10D</t>
  </si>
  <si>
    <t>End price</t>
  </si>
  <si>
    <t>Members</t>
  </si>
  <si>
    <t>Top100 count</t>
  </si>
  <si>
    <t>Bottom100 count</t>
  </si>
  <si>
    <t>1D cap weighted proxy</t>
  </si>
  <si>
    <t>Price advancer ratio</t>
  </si>
  <si>
    <t>000001 CH Equity</t>
  </si>
  <si>
    <t>Ping An Bank Co Ltd</t>
  </si>
  <si>
    <t>000002 CH Equity</t>
  </si>
  <si>
    <t>China Vanke Co Ltd</t>
  </si>
  <si>
    <t>000063 CH Equity</t>
  </si>
  <si>
    <t>ZTE Corp</t>
  </si>
  <si>
    <t>000100 CH Equity</t>
  </si>
  <si>
    <t>TCL Technology Group Corp</t>
  </si>
  <si>
    <t>000157 CH Equity</t>
  </si>
  <si>
    <t>Zoomlion Heavy Industry Scienc</t>
  </si>
  <si>
    <t>000166 CH Equity</t>
  </si>
  <si>
    <t>Shenwan Hongyuan Group Co Ltd</t>
  </si>
  <si>
    <t>000301 CH Equity</t>
  </si>
  <si>
    <t>Jiangsu Eastern Shenghong Co L</t>
  </si>
  <si>
    <t>000333 CH Equity</t>
  </si>
  <si>
    <t>Midea Group Co Ltd</t>
  </si>
  <si>
    <t>000338 CH Equity</t>
  </si>
  <si>
    <t>Weichai Power Co Ltd</t>
  </si>
  <si>
    <t>000408 CH Equity</t>
  </si>
  <si>
    <t>Zangge Mining Co Ltd</t>
  </si>
  <si>
    <t>000425 CH Equity</t>
  </si>
  <si>
    <t>XCMG Construction Machinery Co</t>
  </si>
  <si>
    <t>000538 CH Equity</t>
  </si>
  <si>
    <t>Yunnan Baiyao Group Co Ltd</t>
  </si>
  <si>
    <t>000568 CH Equity</t>
  </si>
  <si>
    <t>Luzhou Laojiao Co Ltd</t>
  </si>
  <si>
    <t>000596 CH Equity</t>
  </si>
  <si>
    <t>Anhui Gujing Distillery Co Ltd</t>
  </si>
  <si>
    <t>000617 CH Equity</t>
  </si>
  <si>
    <t>CNPC Capital Co Ltd</t>
  </si>
  <si>
    <t>000625 CH Equity</t>
  </si>
  <si>
    <t>Chongqing Changan Automobile C</t>
  </si>
  <si>
    <t>000630 CH Equity</t>
  </si>
  <si>
    <t>Tongling Nonferrous Metals Gro</t>
  </si>
  <si>
    <t>000651 CH Equity</t>
  </si>
  <si>
    <t>Gree Electric Appliances Inc o</t>
  </si>
  <si>
    <t>000657 CH Equity</t>
  </si>
  <si>
    <t>China Tungsten And Hightech Ma</t>
  </si>
  <si>
    <t>000708 CH Equity</t>
  </si>
  <si>
    <t>Citic Pacific Special Steel Gr</t>
  </si>
  <si>
    <t>000725 CH Equity</t>
  </si>
  <si>
    <t>BOE Technology Group Co Ltd</t>
  </si>
  <si>
    <t>000768 CH Equity</t>
  </si>
  <si>
    <t>AVIC Xi'an Aircraft Industry G</t>
  </si>
  <si>
    <t>000776 CH Equity</t>
  </si>
  <si>
    <t>GF Securities Co Ltd</t>
  </si>
  <si>
    <t>000792 CH Equity</t>
  </si>
  <si>
    <t>Qinghai Salt Lake Industry Co</t>
  </si>
  <si>
    <t>000807 CH Equity</t>
  </si>
  <si>
    <t>Yunnan Aluminium Co Ltd</t>
  </si>
  <si>
    <t>000858 CH Equity</t>
  </si>
  <si>
    <t>Wuliangye Yibin Co Ltd</t>
  </si>
  <si>
    <t>000895 CH Equity</t>
  </si>
  <si>
    <t>Henan Shuanghui Investment &amp; D</t>
  </si>
  <si>
    <t>000938 CH Equity</t>
  </si>
  <si>
    <t>Unisplendour Corp Ltd</t>
  </si>
  <si>
    <t>000963 CH Equity</t>
  </si>
  <si>
    <t>Huadong Medicine Co Ltd</t>
  </si>
  <si>
    <t>000975 CH Equity</t>
  </si>
  <si>
    <t>Shanjin International Gold Co</t>
  </si>
  <si>
    <t>000977 CH Equity</t>
  </si>
  <si>
    <t>IEIT Systems Co Ltd</t>
  </si>
  <si>
    <t>000988 CH Equity</t>
  </si>
  <si>
    <t>Hgtech Co Ltd</t>
  </si>
  <si>
    <t>000999 CH Equity</t>
  </si>
  <si>
    <t>China Resources Sanjiu Medical</t>
  </si>
  <si>
    <t>001280 CH Equity</t>
  </si>
  <si>
    <t>China National Uranium Co Ltd</t>
  </si>
  <si>
    <t>001391 CH Equity</t>
  </si>
  <si>
    <t>Air China Cargo Co Ltd</t>
  </si>
  <si>
    <t>001965 CH Equity</t>
  </si>
  <si>
    <t>China Merchants Expressway Net</t>
  </si>
  <si>
    <t>001979 CH Equity</t>
  </si>
  <si>
    <t>China Merchants Shekou Industr</t>
  </si>
  <si>
    <t>002001 CH Equity</t>
  </si>
  <si>
    <t>Zhejiang NHU Co Ltd</t>
  </si>
  <si>
    <t>002027 CH Equity</t>
  </si>
  <si>
    <t>Focus Media Information Techno</t>
  </si>
  <si>
    <t>002028 CH Equity</t>
  </si>
  <si>
    <t>Sieyuan Electric Co Ltd</t>
  </si>
  <si>
    <t>002049 CH Equity</t>
  </si>
  <si>
    <t>Unigroup Guoxin Microelectroni</t>
  </si>
  <si>
    <t>002050 CH Equity</t>
  </si>
  <si>
    <t>Zhejiang Sanhua Intelligent Co</t>
  </si>
  <si>
    <t>002074 CH Equity</t>
  </si>
  <si>
    <t>Gotion High-tech Co Ltd</t>
  </si>
  <si>
    <t>002142 CH Equity</t>
  </si>
  <si>
    <t>Bank of Ningbo Co Ltd</t>
  </si>
  <si>
    <t>002179 CH Equity</t>
  </si>
  <si>
    <t>Jonhon Optronic Technology Co</t>
  </si>
  <si>
    <t>002202 CH Equity</t>
  </si>
  <si>
    <t>Goldwind Science &amp; Technology</t>
  </si>
  <si>
    <t>002230 CH Equity</t>
  </si>
  <si>
    <t>Iflytek Co Ltd</t>
  </si>
  <si>
    <t>002236 CH Equity</t>
  </si>
  <si>
    <t>Zhejiang Dahua Technology Co L</t>
  </si>
  <si>
    <t>002241 CH Equity</t>
  </si>
  <si>
    <t>GoerTek Inc</t>
  </si>
  <si>
    <t>002304 CH Equity</t>
  </si>
  <si>
    <t>Jiangsu Yanghe Distillery Co L</t>
  </si>
  <si>
    <t>002311 CH Equity</t>
  </si>
  <si>
    <t>Guangdong Haid Group Co Ltd</t>
  </si>
  <si>
    <t>002352 CH Equity</t>
  </si>
  <si>
    <t>SF Holding Co Ltd</t>
  </si>
  <si>
    <t>002353 CH Equity</t>
  </si>
  <si>
    <t>Yantai Jereh Oilfield Services</t>
  </si>
  <si>
    <t>002371 CH Equity</t>
  </si>
  <si>
    <t>NAURA Technology Group Co Ltd</t>
  </si>
  <si>
    <t>002384 CH Equity</t>
  </si>
  <si>
    <t>Suzhou Dongshan Precision Manu</t>
  </si>
  <si>
    <t>002415 CH Equity</t>
  </si>
  <si>
    <t>Hangzhou Hikvision Digital Tec</t>
  </si>
  <si>
    <t>002422 CH Equity</t>
  </si>
  <si>
    <t>Sichuan Kelun Pharmaceutical C</t>
  </si>
  <si>
    <t>002460 CH Equity</t>
  </si>
  <si>
    <t>Ganfeng Lithium Group Co Ltd</t>
  </si>
  <si>
    <t>002463 CH Equity</t>
  </si>
  <si>
    <t>WUS Printed Circuit Kunshan Co</t>
  </si>
  <si>
    <t>002466 CH Equity</t>
  </si>
  <si>
    <t>Tianqi Lithium Corp</t>
  </si>
  <si>
    <t>002475 CH Equity</t>
  </si>
  <si>
    <t>Luxshare Precision Industry Co</t>
  </si>
  <si>
    <t>002493 CH Equity</t>
  </si>
  <si>
    <t>Rongsheng Petrochemical Co Ltd</t>
  </si>
  <si>
    <t>002532 CH Equity</t>
  </si>
  <si>
    <t>Tianshan Aluminum Group Co Ltd</t>
  </si>
  <si>
    <t>002558 CH Equity</t>
  </si>
  <si>
    <t>Giant Network Group Co Ltd</t>
  </si>
  <si>
    <t>002594 CH Equity</t>
  </si>
  <si>
    <t>BYD Co Ltd</t>
  </si>
  <si>
    <t>002600 CH Equity</t>
  </si>
  <si>
    <t>Lingyi iTech Guangdong Co</t>
  </si>
  <si>
    <t>002602 CH Equity</t>
  </si>
  <si>
    <t>Zhejiang Century Huatong Group</t>
  </si>
  <si>
    <t>002625 CH Equity</t>
  </si>
  <si>
    <t>Kuang-Chi Technologies Co Ltd</t>
  </si>
  <si>
    <t>002648 CH Equity</t>
  </si>
  <si>
    <t>Satellite Chemical Co Ltd</t>
  </si>
  <si>
    <t>002709 CH Equity</t>
  </si>
  <si>
    <t>Guangzhou Tinci Materials Tech</t>
  </si>
  <si>
    <t>002714 CH Equity</t>
  </si>
  <si>
    <t>Muyuan Foods Group Co Ltd</t>
  </si>
  <si>
    <t>002736 CH Equity</t>
  </si>
  <si>
    <t>Guosen Securities Co Ltd</t>
  </si>
  <si>
    <t>002837 CH Equity</t>
  </si>
  <si>
    <t>Shenzhen Envicool Technology C</t>
  </si>
  <si>
    <t>002916 CH Equity</t>
  </si>
  <si>
    <t>Shennan Circuits Co Ltd</t>
  </si>
  <si>
    <t>002920 CH Equity</t>
  </si>
  <si>
    <t>Huizhou Desay Sv Automotive Co</t>
  </si>
  <si>
    <t>002938 CH Equity</t>
  </si>
  <si>
    <t>Avary Holding Shenzhen Co Ltd</t>
  </si>
  <si>
    <t>003816 CH Equity</t>
  </si>
  <si>
    <t>CGN Power Co Ltd</t>
  </si>
  <si>
    <t>300014 CH Equity</t>
  </si>
  <si>
    <t>Eve Energy Co Ltd</t>
  </si>
  <si>
    <t>300015 CH Equity</t>
  </si>
  <si>
    <t>Aier Eye Hospital Group Co Ltd</t>
  </si>
  <si>
    <t>300033 CH Equity</t>
  </si>
  <si>
    <t>Hithink RoyalFlush Information</t>
  </si>
  <si>
    <t>300059 CH Equity</t>
  </si>
  <si>
    <t>East Money Information Co Ltd</t>
  </si>
  <si>
    <t>300122 CH Equity</t>
  </si>
  <si>
    <t>Chongqing Zhifei Biological Pr</t>
  </si>
  <si>
    <t>300124 CH Equity</t>
  </si>
  <si>
    <t>Shenzhen Inovance Technology C</t>
  </si>
  <si>
    <t>300251 CH Equity</t>
  </si>
  <si>
    <t>Beijing Enlight Media Co Ltd</t>
  </si>
  <si>
    <t>300274 CH Equity</t>
  </si>
  <si>
    <t>Sungrow Power Supply Co Ltd</t>
  </si>
  <si>
    <t>300308 CH Equity</t>
  </si>
  <si>
    <t>Zhongji Innolight Co Ltd</t>
  </si>
  <si>
    <t>300316 CH Equity</t>
  </si>
  <si>
    <t>Zhejiang Jingsheng Mechanical</t>
  </si>
  <si>
    <t>300394 CH Equity</t>
  </si>
  <si>
    <t>Suzhou TFC Optical Communicati</t>
  </si>
  <si>
    <t>300408 CH Equity</t>
  </si>
  <si>
    <t>Chaozhou Three-Circle Group Co</t>
  </si>
  <si>
    <t>300413 CH Equity</t>
  </si>
  <si>
    <t>Mango Excellent Media Co Ltd</t>
  </si>
  <si>
    <t>300418 CH Equity</t>
  </si>
  <si>
    <t>Kunlun Tech Co Ltd</t>
  </si>
  <si>
    <t>300433 CH Equity</t>
  </si>
  <si>
    <t>Lens Technology Co Ltd</t>
  </si>
  <si>
    <t>300442 CH Equity</t>
  </si>
  <si>
    <t>Range Intelligent Computing Te</t>
  </si>
  <si>
    <t>300450 CH Equity</t>
  </si>
  <si>
    <t>Wuxi Lead Intelligent Equipmen</t>
  </si>
  <si>
    <t>300476 CH Equity</t>
  </si>
  <si>
    <t>Victory Giant Technology Huizh</t>
  </si>
  <si>
    <t>300498 CH Equity</t>
  </si>
  <si>
    <t>Wens Foodstuff Group Co Ltd</t>
  </si>
  <si>
    <t>300502 CH Equity</t>
  </si>
  <si>
    <t>Eoptolink Technology Inc Ltd</t>
  </si>
  <si>
    <t>300628 CH Equity</t>
  </si>
  <si>
    <t>Yealink Network Technology Cor</t>
  </si>
  <si>
    <t>300661 CH Equity</t>
  </si>
  <si>
    <t>SG Micro Corp</t>
  </si>
  <si>
    <t>300750 CH Equity</t>
  </si>
  <si>
    <t>Contemporary Amperex Technolog</t>
  </si>
  <si>
    <t>300760 CH Equity</t>
  </si>
  <si>
    <t>Shenzhen Mindray Bio-Medical E</t>
  </si>
  <si>
    <t>300803 CH Equity</t>
  </si>
  <si>
    <t>Beijing Compass Technology Dev</t>
  </si>
  <si>
    <t>300832 CH Equity</t>
  </si>
  <si>
    <t>Shenzhen New Industries Biomed</t>
  </si>
  <si>
    <t>300866 CH Equity</t>
  </si>
  <si>
    <t>Anker Innovations Technology C</t>
  </si>
  <si>
    <t>300896 CH Equity</t>
  </si>
  <si>
    <t>Imeik Technology Development C</t>
  </si>
  <si>
    <t>300999 CH Equity</t>
  </si>
  <si>
    <t>Yihai Kerry Arawana Holdings C</t>
  </si>
  <si>
    <t>301165 CH Equity</t>
  </si>
  <si>
    <t>Ruijie Networks Co Ltd</t>
  </si>
  <si>
    <t>301236 CH Equity</t>
  </si>
  <si>
    <t>Isoftstone Information Technol</t>
  </si>
  <si>
    <t>301269 CH Equity</t>
  </si>
  <si>
    <t>Empyrean Technology Co Ltd</t>
  </si>
  <si>
    <t>301308 CH Equity</t>
  </si>
  <si>
    <t>Shenzhen Longsys Electronics C</t>
  </si>
  <si>
    <t>302132 CH Equity</t>
  </si>
  <si>
    <t>Avic Chengdu Aircraft Co Ltd</t>
  </si>
  <si>
    <t>600000 CH Equity</t>
  </si>
  <si>
    <t>Shanghai Pudong Development Ba</t>
  </si>
  <si>
    <t>600009 CH Equity</t>
  </si>
  <si>
    <t>Shanghai International Airport</t>
  </si>
  <si>
    <t>600010 CH Equity</t>
  </si>
  <si>
    <t>Inner Mongolia BaoTou Steel Un</t>
  </si>
  <si>
    <t>600011 CH Equity</t>
  </si>
  <si>
    <t>Huaneng Power International In</t>
  </si>
  <si>
    <t>600015 CH Equity</t>
  </si>
  <si>
    <t>Huaxia Bank Co Ltd</t>
  </si>
  <si>
    <t>600016 CH Equity</t>
  </si>
  <si>
    <t>China Minsheng Banking Corp Lt</t>
  </si>
  <si>
    <t>600018 CH Equity</t>
  </si>
  <si>
    <t>Shanghai International Port Gr</t>
  </si>
  <si>
    <t>600019 CH Equity</t>
  </si>
  <si>
    <t>Baoshan Iron &amp; Steel Co Ltd</t>
  </si>
  <si>
    <t>600023 CH Equity</t>
  </si>
  <si>
    <t>Zhejiang Zheneng Electric Powe</t>
  </si>
  <si>
    <t>600025 CH Equity</t>
  </si>
  <si>
    <t>Huaneng Lancang River Hydropow</t>
  </si>
  <si>
    <t>600026 CH Equity</t>
  </si>
  <si>
    <t>COSCO SHIPPING Energy Transpor</t>
  </si>
  <si>
    <t>600027 CH Equity</t>
  </si>
  <si>
    <t>Huadian Power International Co</t>
  </si>
  <si>
    <t>600028 CH Equity</t>
  </si>
  <si>
    <t>China Petroleum &amp; Chemical Cor</t>
  </si>
  <si>
    <t>600029 CH Equity</t>
  </si>
  <si>
    <t>China Southern Airlines Co Ltd</t>
  </si>
  <si>
    <t>600030 CH Equity</t>
  </si>
  <si>
    <t>CITIC Securities Co Ltd</t>
  </si>
  <si>
    <t>600031 CH Equity</t>
  </si>
  <si>
    <t>Sany Heavy Industry Co Ltd</t>
  </si>
  <si>
    <t>600036 CH Equity</t>
  </si>
  <si>
    <t>China Merchants Bank Co Ltd</t>
  </si>
  <si>
    <t>600039 CH Equity</t>
  </si>
  <si>
    <t>Sichuan Road and Bridge Group</t>
  </si>
  <si>
    <t>600048 CH Equity</t>
  </si>
  <si>
    <t>Poly Developments and Holdings</t>
  </si>
  <si>
    <t>600050 CH Equity</t>
  </si>
  <si>
    <t>China United Network Communica</t>
  </si>
  <si>
    <t>600061 CH Equity</t>
  </si>
  <si>
    <t>SDIC Capital Co Ltd</t>
  </si>
  <si>
    <t>600066 CH Equity</t>
  </si>
  <si>
    <t>Yutong Bus Co Ltd</t>
  </si>
  <si>
    <t>600085 CH Equity</t>
  </si>
  <si>
    <t>Beijing Tong Ren Tang Co Ltd</t>
  </si>
  <si>
    <t>600089 CH Equity</t>
  </si>
  <si>
    <t>TBEA Co Ltd</t>
  </si>
  <si>
    <t>600104 CH Equity</t>
  </si>
  <si>
    <t>SAIC Motor Corp Ltd</t>
  </si>
  <si>
    <t>600111 CH Equity</t>
  </si>
  <si>
    <t>China Northern Rare Earth Grou</t>
  </si>
  <si>
    <t>600115 CH Equity</t>
  </si>
  <si>
    <t>China Eastern Airlines Corp Lt</t>
  </si>
  <si>
    <t>600118 CH Equity</t>
  </si>
  <si>
    <t>China Spacesat Co Ltd</t>
  </si>
  <si>
    <t>600150 CH Equity</t>
  </si>
  <si>
    <t>China CSSC Holdings Ltd</t>
  </si>
  <si>
    <t>600160 CH Equity</t>
  </si>
  <si>
    <t>Zhejiang Juhua Co Ltd</t>
  </si>
  <si>
    <t>600176 CH Equity</t>
  </si>
  <si>
    <t>China Jushi Co Ltd</t>
  </si>
  <si>
    <t>600183 CH Equity</t>
  </si>
  <si>
    <t>Shengyi Technology Co Ltd</t>
  </si>
  <si>
    <t>600188 CH Equity</t>
  </si>
  <si>
    <t>Yankuang Energy Group Co Ltd</t>
  </si>
  <si>
    <t>600196 CH Equity</t>
  </si>
  <si>
    <t>Shanghai Fosun Pharmaceutical</t>
  </si>
  <si>
    <t>600219 CH Equity</t>
  </si>
  <si>
    <t>Shandong Nanshan Aluminum Co L</t>
  </si>
  <si>
    <t>600221 CH Equity</t>
  </si>
  <si>
    <t>Hainan Airlines Holding Co Ltd</t>
  </si>
  <si>
    <t>600233 CH Equity</t>
  </si>
  <si>
    <t>YTO Express Group Co Ltd</t>
  </si>
  <si>
    <t>600276 CH Equity</t>
  </si>
  <si>
    <t>Jiangsu Hengrui Pharmaceutical</t>
  </si>
  <si>
    <t>600309 CH Equity</t>
  </si>
  <si>
    <t>Wanhua Chemical Group Co Ltd</t>
  </si>
  <si>
    <t>600346 CH Equity</t>
  </si>
  <si>
    <t>Hengli Petrochemical Co Ltd</t>
  </si>
  <si>
    <t>600362 CH Equity</t>
  </si>
  <si>
    <t>Jiangxi Copper Co Ltd</t>
  </si>
  <si>
    <t>600372 CH Equity</t>
  </si>
  <si>
    <t>AVIC Airborne Systems Co Ltd</t>
  </si>
  <si>
    <t>600406 CH Equity</t>
  </si>
  <si>
    <t>NARI Technology Co Ltd</t>
  </si>
  <si>
    <t>600415 CH Equity</t>
  </si>
  <si>
    <t>Zhejiang China Commodities Cit</t>
  </si>
  <si>
    <t>600426 CH Equity</t>
  </si>
  <si>
    <t>Shandong Hualu Hengsheng Chemi</t>
  </si>
  <si>
    <t>600436 CH Equity</t>
  </si>
  <si>
    <t>Zhangzhou Pientzehuang Pharmac</t>
  </si>
  <si>
    <t>600438 CH Equity</t>
  </si>
  <si>
    <t>Tongwei Co Ltd</t>
  </si>
  <si>
    <t>600460 CH Equity</t>
  </si>
  <si>
    <t>Hangzhou Silan Microelectronic</t>
  </si>
  <si>
    <t>600482 CH Equity</t>
  </si>
  <si>
    <t>China Shipbuilding Industry Gr</t>
  </si>
  <si>
    <t>600489 CH Equity</t>
  </si>
  <si>
    <t>Zhongjin Gold Corp Ltd</t>
  </si>
  <si>
    <t>600515 CH Equity</t>
  </si>
  <si>
    <t>Hainan Airport Infrastructure</t>
  </si>
  <si>
    <t>600519 CH Equity</t>
  </si>
  <si>
    <t>Kweichow Moutai Co Ltd</t>
  </si>
  <si>
    <t>600522 CH Equity</t>
  </si>
  <si>
    <t>Jiangsu Zhongtian Technology C</t>
  </si>
  <si>
    <t>600547 CH Equity</t>
  </si>
  <si>
    <t>Shandong Gold Mining Co Ltd</t>
  </si>
  <si>
    <t>600549 CH Equity</t>
  </si>
  <si>
    <t>Xiamen Tungsten Co Ltd</t>
  </si>
  <si>
    <t>600570 CH Equity</t>
  </si>
  <si>
    <t>Hundsun Technologies Inc</t>
  </si>
  <si>
    <t>600584 CH Equity</t>
  </si>
  <si>
    <t>JCET Group Co Ltd</t>
  </si>
  <si>
    <t>600585 CH Equity</t>
  </si>
  <si>
    <t>Anhui Conch Cement Co Ltd</t>
  </si>
  <si>
    <t>600588 CH Equity</t>
  </si>
  <si>
    <t>Yonyou Network Technology Co L</t>
  </si>
  <si>
    <t>600600 CH Equity</t>
  </si>
  <si>
    <t>Tsingtao Brewery Co Ltd</t>
  </si>
  <si>
    <t>600660 CH Equity</t>
  </si>
  <si>
    <t>Fuyao Glass Industry Group Co</t>
  </si>
  <si>
    <t>600674 CH Equity</t>
  </si>
  <si>
    <t>Sichuan Chuantou Energy Co Ltd</t>
  </si>
  <si>
    <t>600690 CH Equity</t>
  </si>
  <si>
    <t>Haier Smart Home Co Ltd</t>
  </si>
  <si>
    <t>600741 CH Equity</t>
  </si>
  <si>
    <t>Huayu Automotive Systems Co Lt</t>
  </si>
  <si>
    <t>600760 CH Equity</t>
  </si>
  <si>
    <t>AVIC Shenyang Aircraft Co Ltd</t>
  </si>
  <si>
    <t>600795 CH Equity</t>
  </si>
  <si>
    <t>GD Power Development Co Ltd</t>
  </si>
  <si>
    <t>600803 CH Equity</t>
  </si>
  <si>
    <t>ENN Natural Gas Co Ltd</t>
  </si>
  <si>
    <t>600809 CH Equity</t>
  </si>
  <si>
    <t>Shanxi Xinghuacun Fen Wine Fac</t>
  </si>
  <si>
    <t>600845 CH Equity</t>
  </si>
  <si>
    <t>Shanghai Baosight Software Co</t>
  </si>
  <si>
    <t>600875 CH Equity</t>
  </si>
  <si>
    <t>Dongfang Electric Corp Ltd</t>
  </si>
  <si>
    <t>600886 CH Equity</t>
  </si>
  <si>
    <t>SDIC Power Holdings Co Ltd</t>
  </si>
  <si>
    <t>600887 CH Equity</t>
  </si>
  <si>
    <t>Inner Mongolia Yili Industrial</t>
  </si>
  <si>
    <t>600893 CH Equity</t>
  </si>
  <si>
    <t>AECC Aviation Power Co Ltd</t>
  </si>
  <si>
    <t>600900 CH Equity</t>
  </si>
  <si>
    <t>China Yangtze Power Co Ltd</t>
  </si>
  <si>
    <t>600905 CH Equity</t>
  </si>
  <si>
    <t>China Three Gorges Renewables</t>
  </si>
  <si>
    <t>600918 CH Equity</t>
  </si>
  <si>
    <t>Zhongtai Securities Co Ltd</t>
  </si>
  <si>
    <t>600919 CH Equity</t>
  </si>
  <si>
    <t>Bank of Jiangsu Co Ltd</t>
  </si>
  <si>
    <t>600926 CH Equity</t>
  </si>
  <si>
    <t>Bank of Hangzhou Co Ltd</t>
  </si>
  <si>
    <t>600930 CH Equity</t>
  </si>
  <si>
    <t>Huadian New Energy Group Co Lt</t>
  </si>
  <si>
    <t>600938 CH Equity</t>
  </si>
  <si>
    <t>CNOOC Ltd</t>
  </si>
  <si>
    <t>600941 CH Equity</t>
  </si>
  <si>
    <t>China Mobile Ltd</t>
  </si>
  <si>
    <t>600958 CH Equity</t>
  </si>
  <si>
    <t>Orient Securities Co Ltd/China</t>
  </si>
  <si>
    <t>600989 CH Equity</t>
  </si>
  <si>
    <t>Ningxia Baofeng Energy Group C</t>
  </si>
  <si>
    <t>600999 CH Equity</t>
  </si>
  <si>
    <t>China Merchants Securities Co</t>
  </si>
  <si>
    <t>601006 CH Equity</t>
  </si>
  <si>
    <t>Daqin Railway Co Ltd</t>
  </si>
  <si>
    <t>601009 CH Equity</t>
  </si>
  <si>
    <t>Bank of Nanjing Co Ltd</t>
  </si>
  <si>
    <t>601012 CH Equity</t>
  </si>
  <si>
    <t>LONGi Green Energy Technology</t>
  </si>
  <si>
    <t>601018 CH Equity</t>
  </si>
  <si>
    <t>Ningbo Zhoushan Port Co Ltd</t>
  </si>
  <si>
    <t>601021 CH Equity</t>
  </si>
  <si>
    <t>Spring Airlines Co Ltd</t>
  </si>
  <si>
    <t>601058 CH Equity</t>
  </si>
  <si>
    <t>Sailun Group Co Ltd</t>
  </si>
  <si>
    <t>601059 CH Equity</t>
  </si>
  <si>
    <t>Cinda Securities Co Ltd</t>
  </si>
  <si>
    <t>601066 CH Equity</t>
  </si>
  <si>
    <t>CSC Financial Co Ltd</t>
  </si>
  <si>
    <t>601077 CH Equity</t>
  </si>
  <si>
    <t>Chongqing Rural Commercial Ban</t>
  </si>
  <si>
    <t>601088 CH Equity</t>
  </si>
  <si>
    <t>China Shenhua Energy Co Ltd</t>
  </si>
  <si>
    <t>601100 CH Equity</t>
  </si>
  <si>
    <t>Jiangsu Hengli Hydraulic Co Lt</t>
  </si>
  <si>
    <t>601111 CH Equity</t>
  </si>
  <si>
    <t>Air China Ltd</t>
  </si>
  <si>
    <t>601117 CH Equity</t>
  </si>
  <si>
    <t>China National Chemical Engine</t>
  </si>
  <si>
    <t>601127 CH Equity</t>
  </si>
  <si>
    <t>Seres Group Co Ltd</t>
  </si>
  <si>
    <t>601136 CH Equity</t>
  </si>
  <si>
    <t>Capital Securities Co Ltd</t>
  </si>
  <si>
    <t>601138 CH Equity</t>
  </si>
  <si>
    <t>Foxconn Industrial Internet Co</t>
  </si>
  <si>
    <t>601166 CH Equity</t>
  </si>
  <si>
    <t>Industrial Bank Co Ltd</t>
  </si>
  <si>
    <t>601169 CH Equity</t>
  </si>
  <si>
    <t>Bank of Beijing Co Ltd</t>
  </si>
  <si>
    <t>601186 CH Equity</t>
  </si>
  <si>
    <t>China Railway Construction Cor</t>
  </si>
  <si>
    <t>601211 CH Equity</t>
  </si>
  <si>
    <t>Guotai Haitong Securities Co L</t>
  </si>
  <si>
    <t>601225 CH Equity</t>
  </si>
  <si>
    <t>Shaanxi Coal Industry Co Ltd</t>
  </si>
  <si>
    <t>601229 CH Equity</t>
  </si>
  <si>
    <t>Bank of Shanghai Co Ltd</t>
  </si>
  <si>
    <t>601238 CH Equity</t>
  </si>
  <si>
    <t>Guangzhou Automobile Group Co</t>
  </si>
  <si>
    <t>601288 CH Equity</t>
  </si>
  <si>
    <t>Agricultural Bank of China Ltd</t>
  </si>
  <si>
    <t>601318 CH Equity</t>
  </si>
  <si>
    <t>Ping An Insurance Group Co of</t>
  </si>
  <si>
    <t>601319 CH Equity</t>
  </si>
  <si>
    <t>People's Insurance Co Group of</t>
  </si>
  <si>
    <t>601328 CH Equity</t>
  </si>
  <si>
    <t>Bank of Communications Co Ltd</t>
  </si>
  <si>
    <t>601336 CH Equity</t>
  </si>
  <si>
    <t>New China Life Insurance Co Lt</t>
  </si>
  <si>
    <t>601360 CH Equity</t>
  </si>
  <si>
    <t>360 Security Technology Inc</t>
  </si>
  <si>
    <t>601377 CH Equity</t>
  </si>
  <si>
    <t>Industrial Securities Co Ltd</t>
  </si>
  <si>
    <t>601390 CH Equity</t>
  </si>
  <si>
    <t>China Railway Group Ltd</t>
  </si>
  <si>
    <t>601398 CH Equity</t>
  </si>
  <si>
    <t>Industrial &amp; Commercial Bank o</t>
  </si>
  <si>
    <t>601456 CH Equity</t>
  </si>
  <si>
    <t>Guolian Minsheng Securities Co</t>
  </si>
  <si>
    <t>601600 CH Equity</t>
  </si>
  <si>
    <t>Aluminum Corp of China Ltd</t>
  </si>
  <si>
    <t>601601 CH Equity</t>
  </si>
  <si>
    <t>China Pacific Insurance Group</t>
  </si>
  <si>
    <t>601607 CH Equity</t>
  </si>
  <si>
    <t>Shanghai Pharmaceuticals Holdi</t>
  </si>
  <si>
    <t>601618 CH Equity</t>
  </si>
  <si>
    <t>Metallurgical Corp of China Lt</t>
  </si>
  <si>
    <t>601628 CH Equity</t>
  </si>
  <si>
    <t>China Life Insurance Co Ltd</t>
  </si>
  <si>
    <t>601633 CH Equity</t>
  </si>
  <si>
    <t>Great Wall Motor Co Ltd</t>
  </si>
  <si>
    <t>601658 CH Equity</t>
  </si>
  <si>
    <t>Postal Savings Bank of China C</t>
  </si>
  <si>
    <t>601668 CH Equity</t>
  </si>
  <si>
    <t>China State Construction Engin</t>
  </si>
  <si>
    <t>601669 CH Equity</t>
  </si>
  <si>
    <t>Power Construction Corp of Chi</t>
  </si>
  <si>
    <t>601688 CH Equity</t>
  </si>
  <si>
    <t>Huatai Securities Co Ltd</t>
  </si>
  <si>
    <t>601689 CH Equity</t>
  </si>
  <si>
    <t>Ningbo Tuopu Group Co Ltd</t>
  </si>
  <si>
    <t>601698 CH Equity</t>
  </si>
  <si>
    <t>China Satellite Communications</t>
  </si>
  <si>
    <t>601727 CH Equity</t>
  </si>
  <si>
    <t>Shanghai Electric Group Co Ltd</t>
  </si>
  <si>
    <t>601728 CH Equity</t>
  </si>
  <si>
    <t>China Telecom Corp Ltd</t>
  </si>
  <si>
    <t>601766 CH Equity</t>
  </si>
  <si>
    <t>CRRC Corp Ltd</t>
  </si>
  <si>
    <t>601788 CH Equity</t>
  </si>
  <si>
    <t>Everbright Securities Co Ltd</t>
  </si>
  <si>
    <t>601800 CH Equity</t>
  </si>
  <si>
    <t>China Communications Construct</t>
  </si>
  <si>
    <t>601816 CH Equity</t>
  </si>
  <si>
    <t>Beijing-Shanghai High Speed Ra</t>
  </si>
  <si>
    <t>601818 CH Equity</t>
  </si>
  <si>
    <t>China Everbright Bank Co Ltd</t>
  </si>
  <si>
    <t>601825 CH Equity</t>
  </si>
  <si>
    <t>Shanghai Rural Commercial Bank</t>
  </si>
  <si>
    <t>601838 CH Equity</t>
  </si>
  <si>
    <t>Bank of Chengdu Co Ltd</t>
  </si>
  <si>
    <t>601857 CH Equity</t>
  </si>
  <si>
    <t>PetroChina Co Ltd</t>
  </si>
  <si>
    <t>601868 CH Equity</t>
  </si>
  <si>
    <t>China Energy Engineering Corp</t>
  </si>
  <si>
    <t>601872 CH Equity</t>
  </si>
  <si>
    <t>China Merchants Energy Shippin</t>
  </si>
  <si>
    <t>601877 CH Equity</t>
  </si>
  <si>
    <t>Zhejiang Chint Electrics Co Lt</t>
  </si>
  <si>
    <t>601878 CH Equity</t>
  </si>
  <si>
    <t>Zheshang Securities Co Ltd</t>
  </si>
  <si>
    <t>601881 CH Equity</t>
  </si>
  <si>
    <t>China Galaxy Securities Co Ltd</t>
  </si>
  <si>
    <t>601888 CH Equity</t>
  </si>
  <si>
    <t>China Tourism Group Duty Free</t>
  </si>
  <si>
    <t>601898 CH Equity</t>
  </si>
  <si>
    <t>China Coal Energy Co Ltd</t>
  </si>
  <si>
    <t>601899 CH Equity</t>
  </si>
  <si>
    <t>Zijin Mining Group Co Ltd</t>
  </si>
  <si>
    <t>601901 CH Equity</t>
  </si>
  <si>
    <t>Founder Securities Co Ltd</t>
  </si>
  <si>
    <t>601916 CH Equity</t>
  </si>
  <si>
    <t>China Zheshang Bank Co Ltd</t>
  </si>
  <si>
    <t>601919 CH Equity</t>
  </si>
  <si>
    <t>COSCO SHIPPING Holdings Co Ltd</t>
  </si>
  <si>
    <t>601939 CH Equity</t>
  </si>
  <si>
    <t>China Construction Bank Corp</t>
  </si>
  <si>
    <t>601985 CH Equity</t>
  </si>
  <si>
    <t>China National Nuclear Power C</t>
  </si>
  <si>
    <t>601988 CH Equity</t>
  </si>
  <si>
    <t>Bank of China Ltd</t>
  </si>
  <si>
    <t>601995 CH Equity</t>
  </si>
  <si>
    <t>China International Capital Co</t>
  </si>
  <si>
    <t>601998 CH Equity</t>
  </si>
  <si>
    <t>China CITIC Bank Corp Ltd</t>
  </si>
  <si>
    <t>603019 CH Equity</t>
  </si>
  <si>
    <t>Dawning Information Industry C</t>
  </si>
  <si>
    <t>603259 CH Equity</t>
  </si>
  <si>
    <t>WuXi AppTec Co Ltd</t>
  </si>
  <si>
    <t>603260 CH Equity</t>
  </si>
  <si>
    <t>Hoshine Silicon Industry Co Lt</t>
  </si>
  <si>
    <t>603288 CH Equity</t>
  </si>
  <si>
    <t>Foshan Haitian Flavouring &amp; Fo</t>
  </si>
  <si>
    <t>603296 CH Equity</t>
  </si>
  <si>
    <t>Huaqin Co Ltd</t>
  </si>
  <si>
    <t>603369 CH Equity</t>
  </si>
  <si>
    <t>Jiangsu King's Luck Brewery JS</t>
  </si>
  <si>
    <t>603392 CH Equity</t>
  </si>
  <si>
    <t>Beijing Wantai Biological Phar</t>
  </si>
  <si>
    <t>603501 CH Equity</t>
  </si>
  <si>
    <t>OmniVision Integrated Circuits</t>
  </si>
  <si>
    <t>603799 CH Equity</t>
  </si>
  <si>
    <t>Zhejiang Huayou Cobalt Co Ltd</t>
  </si>
  <si>
    <t>603893 CH Equity</t>
  </si>
  <si>
    <t>Rockchip Electronics Co Ltd</t>
  </si>
  <si>
    <t>603986 CH Equity</t>
  </si>
  <si>
    <t>GigaDevice Semiconductor Inc</t>
  </si>
  <si>
    <t>603993 CH Equity</t>
  </si>
  <si>
    <t>CMOC Group Ltd</t>
  </si>
  <si>
    <t>605117 CH Equity</t>
  </si>
  <si>
    <t>Ningbo Deye Technology Corp</t>
  </si>
  <si>
    <t>605499 CH Equity</t>
  </si>
  <si>
    <t>Eastroc Beverage Group Co Ltd</t>
  </si>
  <si>
    <t>688008 CH Equity</t>
  </si>
  <si>
    <t>Montage Technology Co Ltd</t>
  </si>
  <si>
    <t>688009 CH Equity</t>
  </si>
  <si>
    <t>China Railway Signal &amp; Communi</t>
  </si>
  <si>
    <t>688012 CH Equity</t>
  </si>
  <si>
    <t>Advanced Micro-Fabrication Equ</t>
  </si>
  <si>
    <t>688036 CH Equity</t>
  </si>
  <si>
    <t>Shenzhen Transsion Holdings Co</t>
  </si>
  <si>
    <t>688041 CH Equity</t>
  </si>
  <si>
    <t>Hygon Information Technology C</t>
  </si>
  <si>
    <t>688047 CH Equity</t>
  </si>
  <si>
    <t>Loongson Technology Corp Ltd</t>
  </si>
  <si>
    <t>688072 CH Equity</t>
  </si>
  <si>
    <t>Piotech Inc</t>
  </si>
  <si>
    <t>688082 CH Equity</t>
  </si>
  <si>
    <t>ACM Research Shanghai Inc</t>
  </si>
  <si>
    <t>688111 CH Equity</t>
  </si>
  <si>
    <t>Beijing Kingsoft Office Softwa</t>
  </si>
  <si>
    <t>688126 CH Equity</t>
  </si>
  <si>
    <t>National Silicon Industry Grou</t>
  </si>
  <si>
    <t>688183 CH Equity</t>
  </si>
  <si>
    <t>Shengyi Electronics Co Ltd</t>
  </si>
  <si>
    <t>688223 CH Equity</t>
  </si>
  <si>
    <t>Jinko Solar Co Ltd</t>
  </si>
  <si>
    <t>688256 CH Equity</t>
  </si>
  <si>
    <t>Cambricon Technologies Corp Lt</t>
  </si>
  <si>
    <t>688271 CH Equity</t>
  </si>
  <si>
    <t>Shanghai United Imaging Health</t>
  </si>
  <si>
    <t>688303 CH Equity</t>
  </si>
  <si>
    <t>Xinjiang Daqo New Energy Co Lt</t>
  </si>
  <si>
    <t>688396 CH Equity</t>
  </si>
  <si>
    <t>China Resources Microelectroni</t>
  </si>
  <si>
    <t>688472 CH Equity</t>
  </si>
  <si>
    <t>CSI Solar Co Ltd</t>
  </si>
  <si>
    <t>688506 CH Equity</t>
  </si>
  <si>
    <t>Sichuan Biokin Pharmaceutical</t>
  </si>
  <si>
    <t>688521 CH Equity</t>
  </si>
  <si>
    <t>Verisilicon Microelectronics S</t>
  </si>
  <si>
    <t>688981 CH Equity</t>
  </si>
  <si>
    <t>Semiconductor Manufacturing In</t>
  </si>
  <si>
    <t>A2A IM Equity</t>
  </si>
  <si>
    <t>A2A SpA</t>
  </si>
  <si>
    <t>AAF LN Equity</t>
  </si>
  <si>
    <t>Airtel Africa PLC</t>
  </si>
  <si>
    <t>AAK SS Equity</t>
  </si>
  <si>
    <t>AAK AB</t>
  </si>
  <si>
    <t>AAL LN Equity</t>
  </si>
  <si>
    <t>Anglo American PLC</t>
  </si>
  <si>
    <t>AALB NA Equity</t>
  </si>
  <si>
    <t>Aalberts NV</t>
  </si>
  <si>
    <t>ABBN SE Equity</t>
  </si>
  <si>
    <t>ABB Ltd</t>
  </si>
  <si>
    <t>ABDN LN Equity</t>
  </si>
  <si>
    <t>Aberdeen Group PLC</t>
  </si>
  <si>
    <t>ABF LN Equity</t>
  </si>
  <si>
    <t>Associated British Foods PLC</t>
  </si>
  <si>
    <t>ABI BB Equity</t>
  </si>
  <si>
    <t>Anheuser-Busch InBev SA/NV</t>
  </si>
  <si>
    <t>ABN NA Equity</t>
  </si>
  <si>
    <t>ABN AMRO Bank NV</t>
  </si>
  <si>
    <t>ABVX FP Equity</t>
  </si>
  <si>
    <t>Abivax SA</t>
  </si>
  <si>
    <t>AC FP Equity</t>
  </si>
  <si>
    <t>Accor SA</t>
  </si>
  <si>
    <t>ACA FP Equity</t>
  </si>
  <si>
    <t>Credit Agricole SA</t>
  </si>
  <si>
    <t>ACKB BB Equity</t>
  </si>
  <si>
    <t>Ackermans &amp; van Haaren NV</t>
  </si>
  <si>
    <t>ACLN SE Equity</t>
  </si>
  <si>
    <t>Accelleron Industries AG</t>
  </si>
  <si>
    <t>ACP PW Equity</t>
  </si>
  <si>
    <t>Asseco Poland SA</t>
  </si>
  <si>
    <t>ACS SQ Equity</t>
  </si>
  <si>
    <t>ACS Actividades de Construccio</t>
  </si>
  <si>
    <t>ACX SQ Equity</t>
  </si>
  <si>
    <t>Acerinox SA</t>
  </si>
  <si>
    <t>AD NA Equity</t>
  </si>
  <si>
    <t>Koninklijke Ahold Delhaize NV</t>
  </si>
  <si>
    <t>ADDTB SS Equity</t>
  </si>
  <si>
    <t>AddTech AB</t>
  </si>
  <si>
    <t>ADEN SE Equity</t>
  </si>
  <si>
    <t>Adecco Group AG</t>
  </si>
  <si>
    <t>ADM LN Equity</t>
  </si>
  <si>
    <t>Admiral Group PLC</t>
  </si>
  <si>
    <t>ADP FP Equity</t>
  </si>
  <si>
    <t>Aeroports de Paris SA</t>
  </si>
  <si>
    <t>ADS GY Equity</t>
  </si>
  <si>
    <t>adidas AG</t>
  </si>
  <si>
    <t>ADYEN NA Equity</t>
  </si>
  <si>
    <t>Adyen NV</t>
  </si>
  <si>
    <t>AED BB Equity</t>
  </si>
  <si>
    <t>Aedifica SA</t>
  </si>
  <si>
    <t>AENA SQ Equity</t>
  </si>
  <si>
    <t>Aena SME SA</t>
  </si>
  <si>
    <t>AG1 GY Equity</t>
  </si>
  <si>
    <t>Auto1 Group SE</t>
  </si>
  <si>
    <t>AGN NA Equity</t>
  </si>
  <si>
    <t>Aegon Ltd</t>
  </si>
  <si>
    <t>AGS BB Equity</t>
  </si>
  <si>
    <t>Ageas SA/NV</t>
  </si>
  <si>
    <t>AI FP Equity</t>
  </si>
  <si>
    <t>Air Liquide SA</t>
  </si>
  <si>
    <t>AIBG ID Equity</t>
  </si>
  <si>
    <t>AIB Group PLC</t>
  </si>
  <si>
    <t>AIR FP Equity</t>
  </si>
  <si>
    <t>Airbus SE</t>
  </si>
  <si>
    <t>AIXA GY Equity</t>
  </si>
  <si>
    <t>AIXTRON SE</t>
  </si>
  <si>
    <t>AKE FP Equity</t>
  </si>
  <si>
    <t>Arkema SA</t>
  </si>
  <si>
    <t>AKER NO Equity</t>
  </si>
  <si>
    <t>Aker ASA</t>
  </si>
  <si>
    <t>AKRBP NO Equity</t>
  </si>
  <si>
    <t>Aker BP ASA</t>
  </si>
  <si>
    <t>AKZA NA Equity</t>
  </si>
  <si>
    <t>Akzo Nobel NV</t>
  </si>
  <si>
    <t>ALC SE Equity</t>
  </si>
  <si>
    <t>Alcon AG</t>
  </si>
  <si>
    <t>ALE PW Equity</t>
  </si>
  <si>
    <t>Allegro.eu SA</t>
  </si>
  <si>
    <t>ALFA SS Equity</t>
  </si>
  <si>
    <t>Alfa Laval AB</t>
  </si>
  <si>
    <t>ALKB DC Equity</t>
  </si>
  <si>
    <t>ALK-Abello A/S</t>
  </si>
  <si>
    <t>ALLFG NA Equity</t>
  </si>
  <si>
    <t>Allfunds Group Plc</t>
  </si>
  <si>
    <t>ALLN SE Equity</t>
  </si>
  <si>
    <t>Allreal Holding AG</t>
  </si>
  <si>
    <t>ALO FP Equity</t>
  </si>
  <si>
    <t>Alstom SA</t>
  </si>
  <si>
    <t>ALSYDB DC Equity</t>
  </si>
  <si>
    <t>AL Sydbank</t>
  </si>
  <si>
    <t>ALV GY Equity</t>
  </si>
  <si>
    <t>Allianz SE</t>
  </si>
  <si>
    <t>AM FP Equity</t>
  </si>
  <si>
    <t>Dassault Aviation SA</t>
  </si>
  <si>
    <t>AMS SQ Equity</t>
  </si>
  <si>
    <t>Amadeus IT Group SA</t>
  </si>
  <si>
    <t>AMUN FP Equity</t>
  </si>
  <si>
    <t>Amundi SA</t>
  </si>
  <si>
    <t>AMV0 GY Equity</t>
  </si>
  <si>
    <t>Aumovio SE</t>
  </si>
  <si>
    <t>ANA SQ Equity</t>
  </si>
  <si>
    <t>Acciona SA</t>
  </si>
  <si>
    <t>ANDR AV Equity</t>
  </si>
  <si>
    <t>ANDRITZ AG</t>
  </si>
  <si>
    <t>ANTO LN Equity</t>
  </si>
  <si>
    <t>Antofagasta PLC</t>
  </si>
  <si>
    <t>ARCAD NA Equity</t>
  </si>
  <si>
    <t>Arcadis NV</t>
  </si>
  <si>
    <t>ARGX BB Equity</t>
  </si>
  <si>
    <t>Argenx SE</t>
  </si>
  <si>
    <t>ASM NA Equity</t>
  </si>
  <si>
    <t>ASM International NV</t>
  </si>
  <si>
    <t>ASML NA Equity</t>
  </si>
  <si>
    <t>ASML Holding NV</t>
  </si>
  <si>
    <t>ASRNL NA Equity</t>
  </si>
  <si>
    <t>ASR Nederland NV</t>
  </si>
  <si>
    <t>ASSAB SS Equity</t>
  </si>
  <si>
    <t>Assa Abloy AB</t>
  </si>
  <si>
    <t>ATCOA SS Equity</t>
  </si>
  <si>
    <t>Atlas Copco AB</t>
  </si>
  <si>
    <t>ATS AV Equity</t>
  </si>
  <si>
    <t>AT&amp;S Austria Technologie &amp; Sys</t>
  </si>
  <si>
    <t>AUTO LN Equity</t>
  </si>
  <si>
    <t>Autotrader Group PLC</t>
  </si>
  <si>
    <t>AV/ LN Equity</t>
  </si>
  <si>
    <t>Aviva PLC</t>
  </si>
  <si>
    <t>AVOL SE Equity</t>
  </si>
  <si>
    <t>Avolta AG</t>
  </si>
  <si>
    <t>AXFO SS Equity</t>
  </si>
  <si>
    <t>Axfood AB</t>
  </si>
  <si>
    <t>AYV FP Equity</t>
  </si>
  <si>
    <t>Ayvens SA</t>
  </si>
  <si>
    <t>AZA SS Equity</t>
  </si>
  <si>
    <t>Avanza Bank Holding AB</t>
  </si>
  <si>
    <t>AZM IM Equity</t>
  </si>
  <si>
    <t>Azimut Holding SpA</t>
  </si>
  <si>
    <t>AZN LN Equity</t>
  </si>
  <si>
    <t>AstraZeneca PLC</t>
  </si>
  <si>
    <t>BA/ LN Equity</t>
  </si>
  <si>
    <t>BAE Systems PLC</t>
  </si>
  <si>
    <t>BAB LN Equity</t>
  </si>
  <si>
    <t>Babcock International Group PL</t>
  </si>
  <si>
    <t>BAER SE Equity</t>
  </si>
  <si>
    <t>Julius Baer Group Ltd</t>
  </si>
  <si>
    <t>BAKKA NO Equity</t>
  </si>
  <si>
    <t>Bakkafrost P/F</t>
  </si>
  <si>
    <t>BALDB SS Equity</t>
  </si>
  <si>
    <t>Fastighets AB Balder</t>
  </si>
  <si>
    <t>BAMI IM Equity</t>
  </si>
  <si>
    <t>Banco BPM SpA</t>
  </si>
  <si>
    <t>BAMNB NA Equity</t>
  </si>
  <si>
    <t>Koninklijke BAM Groep NV</t>
  </si>
  <si>
    <t>BARC LN Equity</t>
  </si>
  <si>
    <t>Barclays PLC</t>
  </si>
  <si>
    <t>BARN SE Equity</t>
  </si>
  <si>
    <t>Barry Callebaut AG</t>
  </si>
  <si>
    <t>BAS GY Equity</t>
  </si>
  <si>
    <t>BASF SE</t>
  </si>
  <si>
    <t>BATS LN Equity</t>
  </si>
  <si>
    <t>British American Tobacco PLC</t>
  </si>
  <si>
    <t>BAYN GY Equity</t>
  </si>
  <si>
    <t>Bayer AG</t>
  </si>
  <si>
    <t>BBOX LN Equity</t>
  </si>
  <si>
    <t>Tritax Big Box REIT PLC</t>
  </si>
  <si>
    <t>BBVA SQ Equity</t>
  </si>
  <si>
    <t>Banco Bilbao Vizcaya Argentari</t>
  </si>
  <si>
    <t>BBY LN Equity</t>
  </si>
  <si>
    <t>Balfour Beatty PLC</t>
  </si>
  <si>
    <t>BC IM Equity</t>
  </si>
  <si>
    <t>Brunello Cucinelli SpA</t>
  </si>
  <si>
    <t>BC8 GY Equity</t>
  </si>
  <si>
    <t>Bechtle AG</t>
  </si>
  <si>
    <t>BCP PL Equity</t>
  </si>
  <si>
    <t>Banco Comercial Portugues SA</t>
  </si>
  <si>
    <t>BCVN SE Equity</t>
  </si>
  <si>
    <t>Banque Cantonale Vaudoise</t>
  </si>
  <si>
    <t>BEAN SE Equity</t>
  </si>
  <si>
    <t>Belimo Holding AG</t>
  </si>
  <si>
    <t>BEI GY Equity</t>
  </si>
  <si>
    <t>Beiersdorf AG</t>
  </si>
  <si>
    <t>BEIJB SS Equity</t>
  </si>
  <si>
    <t>Beijer Ref AB</t>
  </si>
  <si>
    <t>BESI NA Equity</t>
  </si>
  <si>
    <t>BE Semiconductor Industries NV</t>
  </si>
  <si>
    <t>BEZ LN Equity</t>
  </si>
  <si>
    <t>Beazley PLC</t>
  </si>
  <si>
    <t>BFT PW Equity</t>
  </si>
  <si>
    <t>Benefit Systems SA</t>
  </si>
  <si>
    <t>BG AV Equity</t>
  </si>
  <si>
    <t>BAWAG Group AG</t>
  </si>
  <si>
    <t>BGEO LN Equity</t>
  </si>
  <si>
    <t>Lion Finance Group PLC</t>
  </si>
  <si>
    <t>BGN IM Equity</t>
  </si>
  <si>
    <t>Banca Generali SpA</t>
  </si>
  <si>
    <t>BIM FP Equity</t>
  </si>
  <si>
    <t>BioMerieux</t>
  </si>
  <si>
    <t>BIRG ID Equity</t>
  </si>
  <si>
    <t>Bank of Ireland Group PLC</t>
  </si>
  <si>
    <t>BKG LN Equity</t>
  </si>
  <si>
    <t>Berkeley Group Holdings PLC/Th</t>
  </si>
  <si>
    <t>BKT SQ Equity</t>
  </si>
  <si>
    <t>Bankinter SA</t>
  </si>
  <si>
    <t>BKW SE Equity</t>
  </si>
  <si>
    <t>BKW AG</t>
  </si>
  <si>
    <t>BLND LN Equity</t>
  </si>
  <si>
    <t>British Land Co PLC/The</t>
  </si>
  <si>
    <t>BMED IM Equity</t>
  </si>
  <si>
    <t>Banca Mediolanum SpA</t>
  </si>
  <si>
    <t>BMPS IM Equity</t>
  </si>
  <si>
    <t>Banca Monte dei Paschi di Sien</t>
  </si>
  <si>
    <t>BMW GY Equity</t>
  </si>
  <si>
    <t>Bayerische Motoren Werke AG</t>
  </si>
  <si>
    <t>BN FP Equity</t>
  </si>
  <si>
    <t>Danone SA</t>
  </si>
  <si>
    <t>BNP FP Equity</t>
  </si>
  <si>
    <t>BNP Paribas SA</t>
  </si>
  <si>
    <t>BNR GY Equity</t>
  </si>
  <si>
    <t>Brenntag SE</t>
  </si>
  <si>
    <t>BNZL LN Equity</t>
  </si>
  <si>
    <t>Bunzl PLC</t>
  </si>
  <si>
    <t>BOL FP Equity</t>
  </si>
  <si>
    <t>Bollore SE</t>
  </si>
  <si>
    <t>BOL SS Equity</t>
  </si>
  <si>
    <t>Boliden AB</t>
  </si>
  <si>
    <t>BP/ LN Equity</t>
  </si>
  <si>
    <t>BP PLC</t>
  </si>
  <si>
    <t>BPE IM Equity</t>
  </si>
  <si>
    <t>BPER Banca SPA</t>
  </si>
  <si>
    <t>BPT LN Equity</t>
  </si>
  <si>
    <t>Bridgepoint Group PLC</t>
  </si>
  <si>
    <t>BRBY LN Equity</t>
  </si>
  <si>
    <t>Burberry Group PLC</t>
  </si>
  <si>
    <t>BT/A LN Equity</t>
  </si>
  <si>
    <t>BT Group PLC</t>
  </si>
  <si>
    <t>BTRW LN Equity</t>
  </si>
  <si>
    <t>Barratt Redrow PLC</t>
  </si>
  <si>
    <t>BUCN SE Equity</t>
  </si>
  <si>
    <t>Bucher Industries AG</t>
  </si>
  <si>
    <t>BVI FP Equity</t>
  </si>
  <si>
    <t>Bureau Veritas SA</t>
  </si>
  <si>
    <t>BWY LN Equity</t>
  </si>
  <si>
    <t>Bellway PLC</t>
  </si>
  <si>
    <t>BZU IM Equity</t>
  </si>
  <si>
    <t>Buzzi SpA</t>
  </si>
  <si>
    <t>CA FP Equity</t>
  </si>
  <si>
    <t>Carrefour SA</t>
  </si>
  <si>
    <t>CABK SQ Equity</t>
  </si>
  <si>
    <t>CaixaBank SA</t>
  </si>
  <si>
    <t>CAP FP Equity</t>
  </si>
  <si>
    <t>Capgemini SE</t>
  </si>
  <si>
    <t>CARLB DC Equity</t>
  </si>
  <si>
    <t>Carlsberg AS</t>
  </si>
  <si>
    <t>CAST SS Equity</t>
  </si>
  <si>
    <t>Castellum AB</t>
  </si>
  <si>
    <t>CBK GY Equity</t>
  </si>
  <si>
    <t>Commerzbank AG</t>
  </si>
  <si>
    <t>CCC LN Equity</t>
  </si>
  <si>
    <t>Computacenter PLC</t>
  </si>
  <si>
    <t>CCH LN Equity</t>
  </si>
  <si>
    <t>Coca-Cola HBC AG</t>
  </si>
  <si>
    <t>CDR PW Equity</t>
  </si>
  <si>
    <t>CD Projekt Red SA</t>
  </si>
  <si>
    <t>CFR SE Equity</t>
  </si>
  <si>
    <t>Cie Financiere Richemont SA</t>
  </si>
  <si>
    <t>CLNX SQ Equity</t>
  </si>
  <si>
    <t>Cellnex Telecom SA</t>
  </si>
  <si>
    <t>CMBN SE Equity</t>
  </si>
  <si>
    <t>Cembra Money Bank AG</t>
  </si>
  <si>
    <t>CNA LN Equity</t>
  </si>
  <si>
    <t>Centrica PLC</t>
  </si>
  <si>
    <t>COLOB DC Equity</t>
  </si>
  <si>
    <t>Coloplast A/S</t>
  </si>
  <si>
    <t>CON GY Equity</t>
  </si>
  <si>
    <t>Continental AG</t>
  </si>
  <si>
    <t>COTN SE Equity</t>
  </si>
  <si>
    <t>Comet Holding AG</t>
  </si>
  <si>
    <t>COV FP Equity</t>
  </si>
  <si>
    <t>Covivio SA/France</t>
  </si>
  <si>
    <t>CPG LN Equity</t>
  </si>
  <si>
    <t>Compass Group PLC</t>
  </si>
  <si>
    <t>CPR IM Equity</t>
  </si>
  <si>
    <t>Davide Campari-Milano NV</t>
  </si>
  <si>
    <t>CRDA LN Equity</t>
  </si>
  <si>
    <t>Croda International PLC</t>
  </si>
  <si>
    <t>CS FP Equity</t>
  </si>
  <si>
    <t>AXA SA</t>
  </si>
  <si>
    <t>CSG NA Equity</t>
  </si>
  <si>
    <t>CSG NV</t>
  </si>
  <si>
    <t>CTEC LN Equity</t>
  </si>
  <si>
    <t>Convatec Group PLC</t>
  </si>
  <si>
    <t>CVC NA Equity</t>
  </si>
  <si>
    <t>CVC Capital Partners PLC</t>
  </si>
  <si>
    <t>CWK LN Equity</t>
  </si>
  <si>
    <t>Cranswick PLC</t>
  </si>
  <si>
    <t>DANSKE DC Equity</t>
  </si>
  <si>
    <t>Danske Bank A/S</t>
  </si>
  <si>
    <t>DB1 GY Equity</t>
  </si>
  <si>
    <t>Deutsche Boerse AG</t>
  </si>
  <si>
    <t>DBK GY Equity</t>
  </si>
  <si>
    <t>Deutsche Bank AG</t>
  </si>
  <si>
    <t>DCC LN Equity</t>
  </si>
  <si>
    <t>DCC Energy plc</t>
  </si>
  <si>
    <t>DEMANT DC Equity</t>
  </si>
  <si>
    <t>Demant A/S</t>
  </si>
  <si>
    <t>DG FP Equity</t>
  </si>
  <si>
    <t>Vinci SA</t>
  </si>
  <si>
    <t>DGE LN Equity</t>
  </si>
  <si>
    <t>Diageo PLC</t>
  </si>
  <si>
    <t>DHER GY Equity</t>
  </si>
  <si>
    <t>Delivery Hero SE</t>
  </si>
  <si>
    <t>DHL GY Equity</t>
  </si>
  <si>
    <t>DHL AG</t>
  </si>
  <si>
    <t>DIE BB Equity</t>
  </si>
  <si>
    <t>D'ieteren Group</t>
  </si>
  <si>
    <t>DIM FP Equity</t>
  </si>
  <si>
    <t>Sartorius Stedim Biotech</t>
  </si>
  <si>
    <t>DKSH SE Equity</t>
  </si>
  <si>
    <t>DKSH Holding AG</t>
  </si>
  <si>
    <t>DLG IM Equity</t>
  </si>
  <si>
    <t>De' Longhi SpA</t>
  </si>
  <si>
    <t>DLN LN Equity</t>
  </si>
  <si>
    <t>Derwent London PLC</t>
  </si>
  <si>
    <t>DNB NO Equity</t>
  </si>
  <si>
    <t>DNB Bank ASA</t>
  </si>
  <si>
    <t>DNP PW Equity</t>
  </si>
  <si>
    <t>Dino Polska SA</t>
  </si>
  <si>
    <t>DPLM LN Equity</t>
  </si>
  <si>
    <t>Diploma PLC</t>
  </si>
  <si>
    <t>DRX LN Equity</t>
  </si>
  <si>
    <t>Drax Group PLC</t>
  </si>
  <si>
    <t>DSFIR NA Equity</t>
  </si>
  <si>
    <t>DSM-Firmenich AG</t>
  </si>
  <si>
    <t>DSV DC Equity</t>
  </si>
  <si>
    <t>DSV A/S</t>
  </si>
  <si>
    <t>DSY FP Equity</t>
  </si>
  <si>
    <t>Dassault Systemes SE</t>
  </si>
  <si>
    <t>DTE GY Equity</t>
  </si>
  <si>
    <t>Deutsche Telekom AG</t>
  </si>
  <si>
    <t>DTG GY Equity</t>
  </si>
  <si>
    <t>Daimler Truck Holding AG</t>
  </si>
  <si>
    <t>EBP PW Equity</t>
  </si>
  <si>
    <t>Erste Bank Polska SA</t>
  </si>
  <si>
    <t>EBS AV Equity</t>
  </si>
  <si>
    <t>Erste Group Bank AG</t>
  </si>
  <si>
    <t>EDEN FP Equity</t>
  </si>
  <si>
    <t>Edenred SE</t>
  </si>
  <si>
    <t>EDP PL Equity</t>
  </si>
  <si>
    <t>EDP SA</t>
  </si>
  <si>
    <t>EDPR PL Equity</t>
  </si>
  <si>
    <t>EDP Renewables SA</t>
  </si>
  <si>
    <t>EL FP Equity</t>
  </si>
  <si>
    <t>EssilorLuxottica SA</t>
  </si>
  <si>
    <t>ELE SQ Equity</t>
  </si>
  <si>
    <t>Endesa SA</t>
  </si>
  <si>
    <t>ELI BB Equity</t>
  </si>
  <si>
    <t>Elia Group SA/NV</t>
  </si>
  <si>
    <t>ELIS FP Equity</t>
  </si>
  <si>
    <t>Elis SA</t>
  </si>
  <si>
    <t>ELISA FH Equity</t>
  </si>
  <si>
    <t>Elisa Oyj</t>
  </si>
  <si>
    <t>EMG LN Equity</t>
  </si>
  <si>
    <t>Man Group PLC/Jersey</t>
  </si>
  <si>
    <t>EMSN SE Equity</t>
  </si>
  <si>
    <t>EMS-Chemie Holding AG</t>
  </si>
  <si>
    <t>EN FP Equity</t>
  </si>
  <si>
    <t>Bouygues SA</t>
  </si>
  <si>
    <t>ENEL IM Equity</t>
  </si>
  <si>
    <t>Enel SpA</t>
  </si>
  <si>
    <t>ENG SQ Equity</t>
  </si>
  <si>
    <t>Enagas SA</t>
  </si>
  <si>
    <t>ENGI FP Equity</t>
  </si>
  <si>
    <t>Engie SA</t>
  </si>
  <si>
    <t>ENI IM Equity</t>
  </si>
  <si>
    <t>Eni SpA</t>
  </si>
  <si>
    <t>ENR GY Equity</t>
  </si>
  <si>
    <t>Siemens Energy AG</t>
  </si>
  <si>
    <t>ENT LN Equity</t>
  </si>
  <si>
    <t>Entain PLC</t>
  </si>
  <si>
    <t>ENX FP Equity</t>
  </si>
  <si>
    <t>Euronext NV</t>
  </si>
  <si>
    <t>EOAN GY Equity</t>
  </si>
  <si>
    <t>E.ON SE</t>
  </si>
  <si>
    <t>EPIA SS Equity</t>
  </si>
  <si>
    <t>Epiroc AB</t>
  </si>
  <si>
    <t>EQNR NO Equity</t>
  </si>
  <si>
    <t>Equinor ASA</t>
  </si>
  <si>
    <t>EQT SS Equity</t>
  </si>
  <si>
    <t>EQT AB</t>
  </si>
  <si>
    <t>ERF FP Equity</t>
  </si>
  <si>
    <t>Eurofins Scientific SE</t>
  </si>
  <si>
    <t>ERICB SS Equity</t>
  </si>
  <si>
    <t>Telefonaktiebolaget LM Ericsso</t>
  </si>
  <si>
    <t>ESSITYB SS Equity</t>
  </si>
  <si>
    <t>Essity AB</t>
  </si>
  <si>
    <t>EVD GY Equity</t>
  </si>
  <si>
    <t>CTS Eventim AG &amp; Co KGaA</t>
  </si>
  <si>
    <t>EVK GY Equity</t>
  </si>
  <si>
    <t>Evonik Industries AG</t>
  </si>
  <si>
    <t>EVO SS Equity</t>
  </si>
  <si>
    <t>Evolution AB</t>
  </si>
  <si>
    <t>EXO NA Equity</t>
  </si>
  <si>
    <t>EXOR NV</t>
  </si>
  <si>
    <t>EXPN LN Equity</t>
  </si>
  <si>
    <t>Experian PLC</t>
  </si>
  <si>
    <t>FBK IM Equity</t>
  </si>
  <si>
    <t>FinecoBank Banca Fineco SpA</t>
  </si>
  <si>
    <t>FDJU FP Equity</t>
  </si>
  <si>
    <t>FDJ UNITED</t>
  </si>
  <si>
    <t>FER SQ Equity</t>
  </si>
  <si>
    <t>Ferrovial NV</t>
  </si>
  <si>
    <t>FGR FP Equity</t>
  </si>
  <si>
    <t>Eiffage SA</t>
  </si>
  <si>
    <t>FHZN SE Equity</t>
  </si>
  <si>
    <t>Flughafen Zurich AG</t>
  </si>
  <si>
    <t>FLS DC Equity</t>
  </si>
  <si>
    <t>FLSmidth &amp; Co A/S</t>
  </si>
  <si>
    <t>FME GY Equity</t>
  </si>
  <si>
    <t>Fresenius Medical Care AG</t>
  </si>
  <si>
    <t>FNTN GY Equity</t>
  </si>
  <si>
    <t>Freenet AG</t>
  </si>
  <si>
    <t>FORTUM FH Equity</t>
  </si>
  <si>
    <t>Fortum Oyj</t>
  </si>
  <si>
    <t>FPE3 GY Equity</t>
  </si>
  <si>
    <t>FUCHS SE</t>
  </si>
  <si>
    <t>FR FP Equity</t>
  </si>
  <si>
    <t>Valeo SE</t>
  </si>
  <si>
    <t>FRA GY Equity</t>
  </si>
  <si>
    <t>Fraport AG Frankfurt Airport S</t>
  </si>
  <si>
    <t>FRE GY Equity</t>
  </si>
  <si>
    <t>Fresenius SE &amp; Co KGaA</t>
  </si>
  <si>
    <t>FRES LN Equity</t>
  </si>
  <si>
    <t>Fresnillo PLC</t>
  </si>
  <si>
    <t>FRO NO Equity</t>
  </si>
  <si>
    <t>Frontline PLC</t>
  </si>
  <si>
    <t>FTK GY Equity</t>
  </si>
  <si>
    <t>flatexDEGIRO SE</t>
  </si>
  <si>
    <t>G IM Equity</t>
  </si>
  <si>
    <t>Generali</t>
  </si>
  <si>
    <t>G1A GY Equity</t>
  </si>
  <si>
    <t>GEA Group AG</t>
  </si>
  <si>
    <t>G24 GY Equity</t>
  </si>
  <si>
    <t>Scout24 SE</t>
  </si>
  <si>
    <t>GALD SE Equity</t>
  </si>
  <si>
    <t>Galderma Group AG</t>
  </si>
  <si>
    <t>GALE SE Equity</t>
  </si>
  <si>
    <t>Galenica AG</t>
  </si>
  <si>
    <t>GALP PL Equity</t>
  </si>
  <si>
    <t>Galp Energia SGPS SA</t>
  </si>
  <si>
    <t>GAW LN Equity</t>
  </si>
  <si>
    <t>Games Workshop Group PLC</t>
  </si>
  <si>
    <t>GBF GY Equity</t>
  </si>
  <si>
    <t>Bilfinger SE</t>
  </si>
  <si>
    <t>GBLB BB Equity</t>
  </si>
  <si>
    <t>Groupe Bruxelles Lambert NV</t>
  </si>
  <si>
    <t>GEBN SE Equity</t>
  </si>
  <si>
    <t>Geberit AG</t>
  </si>
  <si>
    <t>GET FP Equity</t>
  </si>
  <si>
    <t>Getlink SE</t>
  </si>
  <si>
    <t>GETIB SS Equity</t>
  </si>
  <si>
    <t>Getinge AB</t>
  </si>
  <si>
    <t>GF SE Equity</t>
  </si>
  <si>
    <t>Georg Fischer AG</t>
  </si>
  <si>
    <t>GFC FP Equity</t>
  </si>
  <si>
    <t>Gecina SA</t>
  </si>
  <si>
    <t>GIVN SE Equity</t>
  </si>
  <si>
    <t>Givaudan SA</t>
  </si>
  <si>
    <t>GJF NO Equity</t>
  </si>
  <si>
    <t>Gjensidige Forsikring ASA</t>
  </si>
  <si>
    <t>GLB ID Equity</t>
  </si>
  <si>
    <t>Glanbia PLC</t>
  </si>
  <si>
    <t>GLE FP Equity</t>
  </si>
  <si>
    <t>Societe Generale SA</t>
  </si>
  <si>
    <t>GLEN LN Equity</t>
  </si>
  <si>
    <t>Glencore PLC</t>
  </si>
  <si>
    <t>GMAB DC Equity</t>
  </si>
  <si>
    <t>Genmab A/S</t>
  </si>
  <si>
    <t>GRF SQ Equity</t>
  </si>
  <si>
    <t>Grifols SA</t>
  </si>
  <si>
    <t>GSK LN Equity</t>
  </si>
  <si>
    <t>GSK PLC</t>
  </si>
  <si>
    <t>GTT FP Equity</t>
  </si>
  <si>
    <t>Gaztransport Et Technigaz SA</t>
  </si>
  <si>
    <t>HAG GY Equity</t>
  </si>
  <si>
    <t>Hensoldt AG</t>
  </si>
  <si>
    <t>HBAN SE Equity</t>
  </si>
  <si>
    <t>Helvetia Baloise Holding AG</t>
  </si>
  <si>
    <t>HEI GY Equity</t>
  </si>
  <si>
    <t>Heidelberg Materials AG</t>
  </si>
  <si>
    <t>HEIA NA Equity</t>
  </si>
  <si>
    <t>Heineken NV</t>
  </si>
  <si>
    <t>HEIO NA Equity</t>
  </si>
  <si>
    <t>Heineken Holding NV</t>
  </si>
  <si>
    <t>HEN3 GY Equity</t>
  </si>
  <si>
    <t>Henkel AG &amp; Co KGaA</t>
  </si>
  <si>
    <t>HER IM Equity</t>
  </si>
  <si>
    <t>Hera SpA</t>
  </si>
  <si>
    <t>HEXAB SS Equity</t>
  </si>
  <si>
    <t>Hexagon AB</t>
  </si>
  <si>
    <t>HIAB FH Equity</t>
  </si>
  <si>
    <t>Hiab Oyj</t>
  </si>
  <si>
    <t>HIK LN Equity</t>
  </si>
  <si>
    <t>Hikma Pharmaceuticals PLC</t>
  </si>
  <si>
    <t>HLMA LN Equity</t>
  </si>
  <si>
    <t>Halma PLC</t>
  </si>
  <si>
    <t>HLN LN Equity</t>
  </si>
  <si>
    <t>Haleon PLC</t>
  </si>
  <si>
    <t>HMB SS Equity</t>
  </si>
  <si>
    <t>H &amp; M Hennes &amp; Mauritz AB</t>
  </si>
  <si>
    <t>HNR1 GY Equity</t>
  </si>
  <si>
    <t>Hannover Rueck SE</t>
  </si>
  <si>
    <t>HO FP Equity</t>
  </si>
  <si>
    <t>Thales SA</t>
  </si>
  <si>
    <t>HOC LN Equity</t>
  </si>
  <si>
    <t>Hochschild Mining PLC</t>
  </si>
  <si>
    <t>HOLMB SS Equity</t>
  </si>
  <si>
    <t>Holmen AB</t>
  </si>
  <si>
    <t>HOLN SE Equity</t>
  </si>
  <si>
    <t>Holcim AG</t>
  </si>
  <si>
    <t>HOT GY Equity</t>
  </si>
  <si>
    <t>HOCHTIEF AG</t>
  </si>
  <si>
    <t>HSBA LN Equity</t>
  </si>
  <si>
    <t>HSBC Holdings PLC</t>
  </si>
  <si>
    <t>HSX LN Equity</t>
  </si>
  <si>
    <t>Hiscox Ltd</t>
  </si>
  <si>
    <t>HUBN SE Equity</t>
  </si>
  <si>
    <t>Huber + Suhner AG</t>
  </si>
  <si>
    <t>HUH1V FH Equity</t>
  </si>
  <si>
    <t>Huhtamaki Oyj</t>
  </si>
  <si>
    <t>HWDN LN Equity</t>
  </si>
  <si>
    <t>Howden Joinery Group PLC</t>
  </si>
  <si>
    <t>IAG LN Equity</t>
  </si>
  <si>
    <t>International Consolidated Air</t>
  </si>
  <si>
    <t>IBE SQ Equity</t>
  </si>
  <si>
    <t>Iberdrola SA</t>
  </si>
  <si>
    <t>ICG LN Equity</t>
  </si>
  <si>
    <t>ICG PLC</t>
  </si>
  <si>
    <t>IDR SQ Equity</t>
  </si>
  <si>
    <t>Indra Sistemas SA</t>
  </si>
  <si>
    <t>IFCN SE Equity</t>
  </si>
  <si>
    <t>Inficon Holding AG</t>
  </si>
  <si>
    <t>IFX GY Equity</t>
  </si>
  <si>
    <t>Infineon Technologies AG</t>
  </si>
  <si>
    <t>IG IM Equity</t>
  </si>
  <si>
    <t>Italgas SpA</t>
  </si>
  <si>
    <t>IGG LN Equity</t>
  </si>
  <si>
    <t>IG Group Holdings PLC</t>
  </si>
  <si>
    <t>IHG LN Equity</t>
  </si>
  <si>
    <t>InterContinental Hotels Group</t>
  </si>
  <si>
    <t>III LN Equity</t>
  </si>
  <si>
    <t>3i Group PLC</t>
  </si>
  <si>
    <t>IMB LN Equity</t>
  </si>
  <si>
    <t>Imperial Brands PLC</t>
  </si>
  <si>
    <t>IMCD NA Equity</t>
  </si>
  <si>
    <t>IMCD NV</t>
  </si>
  <si>
    <t>IMI LN Equity</t>
  </si>
  <si>
    <t>IMI PLC</t>
  </si>
  <si>
    <t>INCH LN Equity</t>
  </si>
  <si>
    <t>Inchcape PLC</t>
  </si>
  <si>
    <t>INDT SS Equity</t>
  </si>
  <si>
    <t>Indutrade AB</t>
  </si>
  <si>
    <t>INDUC SS Equity</t>
  </si>
  <si>
    <t>Industrivarden AB</t>
  </si>
  <si>
    <t>INF LN Equity</t>
  </si>
  <si>
    <t>Informa PLC</t>
  </si>
  <si>
    <t>ING PW Equity</t>
  </si>
  <si>
    <t>ING Bank Slaski SA</t>
  </si>
  <si>
    <t>INGA NA Equity</t>
  </si>
  <si>
    <t>ING Groep NV</t>
  </si>
  <si>
    <t>INPST NA Equity</t>
  </si>
  <si>
    <t>InPost SA</t>
  </si>
  <si>
    <t>INVEB SS Equity</t>
  </si>
  <si>
    <t>Investor AB</t>
  </si>
  <si>
    <t>INVP LN Equity</t>
  </si>
  <si>
    <t>Investec PLC</t>
  </si>
  <si>
    <t>IP IM Equity</t>
  </si>
  <si>
    <t>Interpump Group SpA</t>
  </si>
  <si>
    <t>IPN FP Equity</t>
  </si>
  <si>
    <t>Ipsen SA</t>
  </si>
  <si>
    <t>ISP IM Equity</t>
  </si>
  <si>
    <t>Intesa Sanpaolo SpA</t>
  </si>
  <si>
    <t>ISS DC Equity</t>
  </si>
  <si>
    <t>ISS A/S</t>
  </si>
  <si>
    <t>ITRK LN Equity</t>
  </si>
  <si>
    <t>Intertek Group PLC</t>
  </si>
  <si>
    <t>ITV LN Equity</t>
  </si>
  <si>
    <t>ITV PLC</t>
  </si>
  <si>
    <t>ITX SQ Equity</t>
  </si>
  <si>
    <t>Industria de Diseno Textil SA</t>
  </si>
  <si>
    <t>IVG IM Equity</t>
  </si>
  <si>
    <t>Iveco Group NV</t>
  </si>
  <si>
    <t>JD/ LN Equity</t>
  </si>
  <si>
    <t>JD Sports Fashion PLC</t>
  </si>
  <si>
    <t>JMAT LN Equity</t>
  </si>
  <si>
    <t>Johnson Matthey PLC</t>
  </si>
  <si>
    <t>JMT PL Equity</t>
  </si>
  <si>
    <t>Jeronimo Martins SGPS SA</t>
  </si>
  <si>
    <t>JYSK DC Equity</t>
  </si>
  <si>
    <t>Jyske Bank A/S</t>
  </si>
  <si>
    <t>KBC BB Equity</t>
  </si>
  <si>
    <t>KBC Group NV</t>
  </si>
  <si>
    <t>KBCA BB Equity</t>
  </si>
  <si>
    <t>KBC Ancora</t>
  </si>
  <si>
    <t>KBX GY Equity</t>
  </si>
  <si>
    <t>Knorr-Bremse AG</t>
  </si>
  <si>
    <t>KCR FH Equity</t>
  </si>
  <si>
    <t>Konecranes Oyj</t>
  </si>
  <si>
    <t>KEMIRA FH Equity</t>
  </si>
  <si>
    <t>Kemira Oyj</t>
  </si>
  <si>
    <t>KER FP Equity</t>
  </si>
  <si>
    <t>Kering SA</t>
  </si>
  <si>
    <t>KESKOB FH Equity</t>
  </si>
  <si>
    <t>Kesko Oyj</t>
  </si>
  <si>
    <t>KGF LN Equity</t>
  </si>
  <si>
    <t>Kingfisher PLC</t>
  </si>
  <si>
    <t>KGH PW Equity</t>
  </si>
  <si>
    <t>KGHM Polska Miedz SA</t>
  </si>
  <si>
    <t>KGX GY Equity</t>
  </si>
  <si>
    <t>KION Group AG</t>
  </si>
  <si>
    <t>KMAR NO Equity</t>
  </si>
  <si>
    <t>Kongsberg Maritime AS</t>
  </si>
  <si>
    <t>KNEBV FH Equity</t>
  </si>
  <si>
    <t>Kone Oyj</t>
  </si>
  <si>
    <t>KNIN SE Equity</t>
  </si>
  <si>
    <t>Kuehne + Nagel International A</t>
  </si>
  <si>
    <t>KOG NO Equity</t>
  </si>
  <si>
    <t>Kongsberg Gruppen ASA</t>
  </si>
  <si>
    <t>KPN NA Equity</t>
  </si>
  <si>
    <t>Koninklijke KPN NV</t>
  </si>
  <si>
    <t>KSP ID Equity</t>
  </si>
  <si>
    <t>Kingspan Group PLC</t>
  </si>
  <si>
    <t>KTY PW Equity</t>
  </si>
  <si>
    <t>Grupa Kety SA</t>
  </si>
  <si>
    <t>KYGA ID Equity</t>
  </si>
  <si>
    <t>Kerry Group PLC</t>
  </si>
  <si>
    <t>LAGRB SS Equity</t>
  </si>
  <si>
    <t>Lagercrantz Group AB</t>
  </si>
  <si>
    <t>LAND LN Equity</t>
  </si>
  <si>
    <t>Land Securities Group PLC</t>
  </si>
  <si>
    <t>LATOB SS Equity</t>
  </si>
  <si>
    <t>Investment AB Latour</t>
  </si>
  <si>
    <t>LDO IM Equity</t>
  </si>
  <si>
    <t>Leonardo SpA</t>
  </si>
  <si>
    <t>LEG GY Equity</t>
  </si>
  <si>
    <t>LEG Immobilien SE</t>
  </si>
  <si>
    <t>LGEN LN Equity</t>
  </si>
  <si>
    <t>Legal &amp; General Group PLC</t>
  </si>
  <si>
    <t>LHA GY Equity</t>
  </si>
  <si>
    <t>Deutsche Lufthansa AG</t>
  </si>
  <si>
    <t>LI FP Equity</t>
  </si>
  <si>
    <t>Klepierre SA</t>
  </si>
  <si>
    <t>LIFCOB SS Equity</t>
  </si>
  <si>
    <t>Lifco AB</t>
  </si>
  <si>
    <t>LIGHT NA Equity</t>
  </si>
  <si>
    <t>Signify NV</t>
  </si>
  <si>
    <t>LISP SE Equity</t>
  </si>
  <si>
    <t>Chocoladefabriken Lindt &amp; Spru</t>
  </si>
  <si>
    <t>LLOY LN Equity</t>
  </si>
  <si>
    <t>Lloyds Banking Group PLC</t>
  </si>
  <si>
    <t>LMP LN Equity</t>
  </si>
  <si>
    <t>LondonMetric Property PLC</t>
  </si>
  <si>
    <t>LOGN SE Equity</t>
  </si>
  <si>
    <t>Logitech International SA</t>
  </si>
  <si>
    <t>LONN SE Equity</t>
  </si>
  <si>
    <t>Lonza Group AG</t>
  </si>
  <si>
    <t>LOOMIS SS Equity</t>
  </si>
  <si>
    <t>Loomis AB</t>
  </si>
  <si>
    <t>LOTB BB Equity</t>
  </si>
  <si>
    <t>Lotus Bakeries NV</t>
  </si>
  <si>
    <t>LPP PW Equity</t>
  </si>
  <si>
    <t>LPP SA</t>
  </si>
  <si>
    <t>LR FP Equity</t>
  </si>
  <si>
    <t>Legrand SA</t>
  </si>
  <si>
    <t>LSEG LN Equity</t>
  </si>
  <si>
    <t>London Stock Exchange Group PL</t>
  </si>
  <si>
    <t>LTMC IM Equity</t>
  </si>
  <si>
    <t>Lottomatica Group Spa</t>
  </si>
  <si>
    <t>LUNDB SS Equity</t>
  </si>
  <si>
    <t>L E Lundbergforetagen AB</t>
  </si>
  <si>
    <t>MAERSKB DC Equity</t>
  </si>
  <si>
    <t>AP Moller - Maersk A/S</t>
  </si>
  <si>
    <t>MANTA FH Equity</t>
  </si>
  <si>
    <t>Mandatum Oyj</t>
  </si>
  <si>
    <t>MAP SQ Equity</t>
  </si>
  <si>
    <t>Mapfre SA</t>
  </si>
  <si>
    <t>MBG GY Equity</t>
  </si>
  <si>
    <t>Mercedes-Benz Group AG</t>
  </si>
  <si>
    <t>MBK PW Equity</t>
  </si>
  <si>
    <t>mBank SA</t>
  </si>
  <si>
    <t>MC FP Equity</t>
  </si>
  <si>
    <t>LVMH Moet Hennessy Louis Vuitt</t>
  </si>
  <si>
    <t>METSO FH Equity</t>
  </si>
  <si>
    <t>Metso Oyj</t>
  </si>
  <si>
    <t>MICC NA Equity</t>
  </si>
  <si>
    <t>Magnum Ice Cream Co NV/The</t>
  </si>
  <si>
    <t>MIL PW Equity</t>
  </si>
  <si>
    <t>Bank Millennium SA</t>
  </si>
  <si>
    <t>MKS LN Equity</t>
  </si>
  <si>
    <t>Marks &amp; Spencer Group PLC</t>
  </si>
  <si>
    <t>ML FP Equity</t>
  </si>
  <si>
    <t>Cie Generale des Etablissement</t>
  </si>
  <si>
    <t>MNDI LN Equity</t>
  </si>
  <si>
    <t>Mondi PLC</t>
  </si>
  <si>
    <t>MNG LN Equity</t>
  </si>
  <si>
    <t>M&amp;G PLC</t>
  </si>
  <si>
    <t>MOBN SE Equity</t>
  </si>
  <si>
    <t>Mobimo Holding AG</t>
  </si>
  <si>
    <t>MONC IM Equity</t>
  </si>
  <si>
    <t>Moncler SpA</t>
  </si>
  <si>
    <t>MOWI NO Equity</t>
  </si>
  <si>
    <t>Mowi ASA</t>
  </si>
  <si>
    <t>MRK GY Equity</t>
  </si>
  <si>
    <t>Merck KGaA</t>
  </si>
  <si>
    <t>MRL SQ Equity</t>
  </si>
  <si>
    <t>Merlin Properties Socimi SA</t>
  </si>
  <si>
    <t>MRO LN Equity</t>
  </si>
  <si>
    <t>Melrose Industries PLC</t>
  </si>
  <si>
    <t>MT NA Equity</t>
  </si>
  <si>
    <t>ArcelorMittal SA</t>
  </si>
  <si>
    <t>MTO LN Equity</t>
  </si>
  <si>
    <t>Mitie Group PLC</t>
  </si>
  <si>
    <t>MTX GY Equity</t>
  </si>
  <si>
    <t>MTU Aero Engines AG</t>
  </si>
  <si>
    <t>MUV2 GY Equity</t>
  </si>
  <si>
    <t>Muenchener Rueckversicherungs-</t>
  </si>
  <si>
    <t>MYCR SS Equity</t>
  </si>
  <si>
    <t>Mycronic AB</t>
  </si>
  <si>
    <t>NDA FH Equity</t>
  </si>
  <si>
    <t>Nordea Bank Abp</t>
  </si>
  <si>
    <t>NDA GY Equity</t>
  </si>
  <si>
    <t>Aurubis AG</t>
  </si>
  <si>
    <t>NDX1 GY Equity</t>
  </si>
  <si>
    <t>Nordex SE</t>
  </si>
  <si>
    <t>NEM GY Equity</t>
  </si>
  <si>
    <t>Nemetschek SE</t>
  </si>
  <si>
    <t>NESN SE Equity</t>
  </si>
  <si>
    <t>Nestle SA</t>
  </si>
  <si>
    <t>NESTE FH Equity</t>
  </si>
  <si>
    <t>Neste Oyj</t>
  </si>
  <si>
    <t>NEX FP Equity</t>
  </si>
  <si>
    <t>Nexans SA</t>
  </si>
  <si>
    <t>NEXI IM Equity</t>
  </si>
  <si>
    <t>Nexi SpA</t>
  </si>
  <si>
    <t>NG/ LN Equity</t>
  </si>
  <si>
    <t>National Grid PLC</t>
  </si>
  <si>
    <t>NHY NO Equity</t>
  </si>
  <si>
    <t>Norsk Hydro ASA</t>
  </si>
  <si>
    <t>NIBEB SS Equity</t>
  </si>
  <si>
    <t>Nibe Industrier AB</t>
  </si>
  <si>
    <t>NKT DC Equity</t>
  </si>
  <si>
    <t>NKT A/S</t>
  </si>
  <si>
    <t>NN NA Equity</t>
  </si>
  <si>
    <t>NN Group NV</t>
  </si>
  <si>
    <t>NOD NO Equity</t>
  </si>
  <si>
    <t>Nordic Semiconductor ASA</t>
  </si>
  <si>
    <t>NOKIA FH Equity</t>
  </si>
  <si>
    <t>Nokia Oyj</t>
  </si>
  <si>
    <t>NOVN SE Equity</t>
  </si>
  <si>
    <t>Novartis AG</t>
  </si>
  <si>
    <t>NOVOB DC Equity</t>
  </si>
  <si>
    <t>Novo Nordisk A/S</t>
  </si>
  <si>
    <t>NSISB DC Equity</t>
  </si>
  <si>
    <t>Novonesis Novozymes B</t>
  </si>
  <si>
    <t>NTGY SQ Equity</t>
  </si>
  <si>
    <t>Naturgy Energy Group SA</t>
  </si>
  <si>
    <t>NWG LN Equity</t>
  </si>
  <si>
    <t>NatWest Group PLC</t>
  </si>
  <si>
    <t>NXT LN Equity</t>
  </si>
  <si>
    <t>Next PLC</t>
  </si>
  <si>
    <t>OCTVSDB SS Equity</t>
  </si>
  <si>
    <t>Octave Intelligence PLC</t>
  </si>
  <si>
    <t>OMV AV Equity</t>
  </si>
  <si>
    <t>OMV AG</t>
  </si>
  <si>
    <t>OR FP Equity</t>
  </si>
  <si>
    <t>L'Oreal SA</t>
  </si>
  <si>
    <t>ORA FP Equity</t>
  </si>
  <si>
    <t>Orange SA</t>
  </si>
  <si>
    <t>ORK NO Equity</t>
  </si>
  <si>
    <t>Orkla ASA</t>
  </si>
  <si>
    <t>ORNBV FH Equity</t>
  </si>
  <si>
    <t>Orion Oyj</t>
  </si>
  <si>
    <t>ORSTED DC Equity</t>
  </si>
  <si>
    <t>Orsted AS</t>
  </si>
  <si>
    <t>P911 GY Equity</t>
  </si>
  <si>
    <t>Dr Ing hc F Porsche AG</t>
  </si>
  <si>
    <t>PAF LN Equity</t>
  </si>
  <si>
    <t>Pan African Resources PLC</t>
  </si>
  <si>
    <t>PAH3 GY Equity</t>
  </si>
  <si>
    <t>Porsche Automobil Holding SE</t>
  </si>
  <si>
    <t>PEO PW Equity</t>
  </si>
  <si>
    <t>Bank Polska Kasa Opieki SA</t>
  </si>
  <si>
    <t>PGHN SE Equity</t>
  </si>
  <si>
    <t>Partners Group Holding AG</t>
  </si>
  <si>
    <t>PHIA NA Equity</t>
  </si>
  <si>
    <t>Koninklijke Philips NV</t>
  </si>
  <si>
    <t>PHP LN Equity</t>
  </si>
  <si>
    <t>Primary Health Properties PLC</t>
  </si>
  <si>
    <t>PIRC IM Equity</t>
  </si>
  <si>
    <t>Pirelli &amp; C SpA</t>
  </si>
  <si>
    <t>PKN PW Equity</t>
  </si>
  <si>
    <t>ORLEN SA</t>
  </si>
  <si>
    <t>PKO PW Equity</t>
  </si>
  <si>
    <t>Powszechna Kasa Oszczednosci B</t>
  </si>
  <si>
    <t>PLUS LN Equity</t>
  </si>
  <si>
    <t>Plus500 Ltd</t>
  </si>
  <si>
    <t>PNDORA DC Equity</t>
  </si>
  <si>
    <t>Pandora A/S</t>
  </si>
  <si>
    <t>PNN LN Equity</t>
  </si>
  <si>
    <t>Pennon Group PLC</t>
  </si>
  <si>
    <t>PRU LN Equity</t>
  </si>
  <si>
    <t>Prudential PLC</t>
  </si>
  <si>
    <t>PRX NA Equity</t>
  </si>
  <si>
    <t>Prosus NV</t>
  </si>
  <si>
    <t>PRY IM Equity</t>
  </si>
  <si>
    <t>Prysmian SpA</t>
  </si>
  <si>
    <t>PSN LN Equity</t>
  </si>
  <si>
    <t>Persimmon PLC</t>
  </si>
  <si>
    <t>PSON LN Equity</t>
  </si>
  <si>
    <t>Pearson PLC</t>
  </si>
  <si>
    <t>PSPN SE Equity</t>
  </si>
  <si>
    <t>PSP Swiss Property AG</t>
  </si>
  <si>
    <t>PST IM Equity</t>
  </si>
  <si>
    <t>Poste Italiane SpA</t>
  </si>
  <si>
    <t>PUB FP Equity</t>
  </si>
  <si>
    <t>Publicis Groupe SA</t>
  </si>
  <si>
    <t>PUIG SQ Equity</t>
  </si>
  <si>
    <t>Puig Brands SA</t>
  </si>
  <si>
    <t>PUM GY Equity</t>
  </si>
  <si>
    <t>Puma SE</t>
  </si>
  <si>
    <t>PZU PW Equity</t>
  </si>
  <si>
    <t>Powszechny Zaklad Ubezpieczen</t>
  </si>
  <si>
    <t>QIA GY Equity</t>
  </si>
  <si>
    <t>QIAGEN NV</t>
  </si>
  <si>
    <t>QLT LN Equity</t>
  </si>
  <si>
    <t>Quilter PLC</t>
  </si>
  <si>
    <t>QQ/ LN Equity</t>
  </si>
  <si>
    <t>QinetiQ Group PLC</t>
  </si>
  <si>
    <t>R3NK GY Equity</t>
  </si>
  <si>
    <t>RENK Group AG</t>
  </si>
  <si>
    <t>RAA GY Equity</t>
  </si>
  <si>
    <t>Rational AG</t>
  </si>
  <si>
    <t>RACE IM Equity</t>
  </si>
  <si>
    <t>Ferrari NV</t>
  </si>
  <si>
    <t>RAND NA Equity</t>
  </si>
  <si>
    <t>Randstad NV</t>
  </si>
  <si>
    <t>RBI AV Equity</t>
  </si>
  <si>
    <t>Raiffeisen Bank International</t>
  </si>
  <si>
    <t>RBREW DC Equity</t>
  </si>
  <si>
    <t>Royal Unibrew A/S</t>
  </si>
  <si>
    <t>REC IM Equity</t>
  </si>
  <si>
    <t>Recordati Industria Chimica e</t>
  </si>
  <si>
    <t>RED SQ Equity</t>
  </si>
  <si>
    <t>Redeia Corp SA</t>
  </si>
  <si>
    <t>REL LN Equity</t>
  </si>
  <si>
    <t>RELX PLC</t>
  </si>
  <si>
    <t>REP SQ Equity</t>
  </si>
  <si>
    <t>Repsol SA</t>
  </si>
  <si>
    <t>REY IM Equity</t>
  </si>
  <si>
    <t>Reply SpA</t>
  </si>
  <si>
    <t>RHM GY Equity</t>
  </si>
  <si>
    <t>Rheinmetall AG</t>
  </si>
  <si>
    <t>RI FP Equity</t>
  </si>
  <si>
    <t>Pernod Ricard SA</t>
  </si>
  <si>
    <t>RILBA DC Equity</t>
  </si>
  <si>
    <t>Ringkjoebing Landbobank A/S</t>
  </si>
  <si>
    <t>RIO LN Equity</t>
  </si>
  <si>
    <t>Rio Tinto PLC</t>
  </si>
  <si>
    <t>RKT LN Equity</t>
  </si>
  <si>
    <t>Reckitt Benckiser Group PLC</t>
  </si>
  <si>
    <t>RMS FP Equity</t>
  </si>
  <si>
    <t>Hermes International SCA</t>
  </si>
  <si>
    <t>RMV LN Equity</t>
  </si>
  <si>
    <t>Rightmove PLC</t>
  </si>
  <si>
    <t>RNO FP Equity</t>
  </si>
  <si>
    <t>Renault SA</t>
  </si>
  <si>
    <t>ROCKB DC Equity</t>
  </si>
  <si>
    <t>ROCKWOOL A/S</t>
  </si>
  <si>
    <t>ROP SE Equity</t>
  </si>
  <si>
    <t>Roche Holding AG</t>
  </si>
  <si>
    <t>ROR LN Equity</t>
  </si>
  <si>
    <t>Rotork PLC</t>
  </si>
  <si>
    <t>RR/ LN Equity</t>
  </si>
  <si>
    <t>Rolls-Royce Holdings PLC</t>
  </si>
  <si>
    <t>RS1 LN Equity</t>
  </si>
  <si>
    <t>RS GROUP PLC</t>
  </si>
  <si>
    <t>RTO LN Equity</t>
  </si>
  <si>
    <t>Rentokil Initial PLC</t>
  </si>
  <si>
    <t>RUI FP Equity</t>
  </si>
  <si>
    <t>Rubis SCA</t>
  </si>
  <si>
    <t>RWE GY Equity</t>
  </si>
  <si>
    <t>RWE AG</t>
  </si>
  <si>
    <t>RXL FP Equity</t>
  </si>
  <si>
    <t>Rexel SA</t>
  </si>
  <si>
    <t>RYA ID Equity</t>
  </si>
  <si>
    <t>Ryanair Holdings PLC</t>
  </si>
  <si>
    <t>SAABB SS Equity</t>
  </si>
  <si>
    <t>Saab AB</t>
  </si>
  <si>
    <t>SAB SQ Equity</t>
  </si>
  <si>
    <t>Banco de Sabadell SA</t>
  </si>
  <si>
    <t>SAF FP Equity</t>
  </si>
  <si>
    <t>Safran SA</t>
  </si>
  <si>
    <t>SAGAB SS Equity</t>
  </si>
  <si>
    <t>Sagax AB</t>
  </si>
  <si>
    <t>SALM NO Equity</t>
  </si>
  <si>
    <t>Salmar ASA</t>
  </si>
  <si>
    <t>SAMPO FH Equity</t>
  </si>
  <si>
    <t>Sampo Oyj</t>
  </si>
  <si>
    <t>SAN FP Equity</t>
  </si>
  <si>
    <t>Sanofi SA</t>
  </si>
  <si>
    <t>SAN SQ Equity</t>
  </si>
  <si>
    <t>Banco Santander SA</t>
  </si>
  <si>
    <t>SAND SS Equity</t>
  </si>
  <si>
    <t>Sandvik AB</t>
  </si>
  <si>
    <t>SAP GY Equity</t>
  </si>
  <si>
    <t>SAP SE</t>
  </si>
  <si>
    <t>SAVE SS Equity</t>
  </si>
  <si>
    <t>Nordnet AB publ</t>
  </si>
  <si>
    <t>SB1NO NO Equity</t>
  </si>
  <si>
    <t>SpareBank 1 Sor-Norge ASA</t>
  </si>
  <si>
    <t>SBMO NA Equity</t>
  </si>
  <si>
    <t>SBM Offshore NV</t>
  </si>
  <si>
    <t>SBNOR NO Equity</t>
  </si>
  <si>
    <t>Sparebanken Norge</t>
  </si>
  <si>
    <t>SBRY LN Equity</t>
  </si>
  <si>
    <t>J Sainsbury PLC</t>
  </si>
  <si>
    <t>SCAB SS Equity</t>
  </si>
  <si>
    <t>Svenska Cellulosa AB SCA</t>
  </si>
  <si>
    <t>SCHP SE Equity</t>
  </si>
  <si>
    <t>Schindler Holding AG</t>
  </si>
  <si>
    <t>SCMN SE Equity</t>
  </si>
  <si>
    <t>Swisscom AG</t>
  </si>
  <si>
    <t>SCR FP Equity</t>
  </si>
  <si>
    <t>SCOR SE</t>
  </si>
  <si>
    <t>SCYR SQ Equity</t>
  </si>
  <si>
    <t>Sacyr SA</t>
  </si>
  <si>
    <t>SDF GY Equity</t>
  </si>
  <si>
    <t>K+S AG</t>
  </si>
  <si>
    <t>SDLF LN Equity</t>
  </si>
  <si>
    <t>Standard Life PLC</t>
  </si>
  <si>
    <t>SDR LN Equity</t>
  </si>
  <si>
    <t>Schroders PLC</t>
  </si>
  <si>
    <t>SDZ SE Equity</t>
  </si>
  <si>
    <t>Sandoz Group AG</t>
  </si>
  <si>
    <t>SEBA SS Equity</t>
  </si>
  <si>
    <t>Skandinaviska Enskilda Banken</t>
  </si>
  <si>
    <t>SECTB SS Equity</t>
  </si>
  <si>
    <t>Sectra AB</t>
  </si>
  <si>
    <t>SECUB SS Equity</t>
  </si>
  <si>
    <t>Securitas AB</t>
  </si>
  <si>
    <t>SESG FP Equity</t>
  </si>
  <si>
    <t>SES SA</t>
  </si>
  <si>
    <t>SFSN SE Equity</t>
  </si>
  <si>
    <t>SFS Group AG</t>
  </si>
  <si>
    <t>SFZN SE Equity</t>
  </si>
  <si>
    <t>Siegfried Holding AG</t>
  </si>
  <si>
    <t>SGE LN Equity</t>
  </si>
  <si>
    <t>Sage Group PLC/The</t>
  </si>
  <si>
    <t>SGO FP Equity</t>
  </si>
  <si>
    <t>Cie de Saint-Gobain SA</t>
  </si>
  <si>
    <t>SGRO LN Equity</t>
  </si>
  <si>
    <t>Segro PLC</t>
  </si>
  <si>
    <t>SGSN SE Equity</t>
  </si>
  <si>
    <t>SGS SA</t>
  </si>
  <si>
    <t>SHBA SS Equity</t>
  </si>
  <si>
    <t>Svenska Handelsbanken AB</t>
  </si>
  <si>
    <t>SHC LN Equity</t>
  </si>
  <si>
    <t>Shaftesbury Capital PLC</t>
  </si>
  <si>
    <t>SHELL NA Equity</t>
  </si>
  <si>
    <t>Shell PLC</t>
  </si>
  <si>
    <t>SHL GY Equity</t>
  </si>
  <si>
    <t>Siemens Healthineers AG</t>
  </si>
  <si>
    <t>SIE GY Equity</t>
  </si>
  <si>
    <t>Siemens AG</t>
  </si>
  <si>
    <t>SIGN SE Equity</t>
  </si>
  <si>
    <t>SIG Group AG</t>
  </si>
  <si>
    <t>SIKA SE Equity</t>
  </si>
  <si>
    <t>Sika AG</t>
  </si>
  <si>
    <t>SKAB SS Equity</t>
  </si>
  <si>
    <t>Skanska AB</t>
  </si>
  <si>
    <t>SKFB SS Equity</t>
  </si>
  <si>
    <t>SKF AB</t>
  </si>
  <si>
    <t>SLHN SE Equity</t>
  </si>
  <si>
    <t>Swiss Life Holding AG</t>
  </si>
  <si>
    <t>SMIN LN Equity</t>
  </si>
  <si>
    <t>Smiths Group PLC</t>
  </si>
  <si>
    <t>SN/ LN Equity</t>
  </si>
  <si>
    <t>Smith &amp; Nephew PLC</t>
  </si>
  <si>
    <t>SOBI SS Equity</t>
  </si>
  <si>
    <t>Swedish Orphan Biovitrum AB</t>
  </si>
  <si>
    <t>SOF BB Equity</t>
  </si>
  <si>
    <t>Sofina SA</t>
  </si>
  <si>
    <t>SOI FP Equity</t>
  </si>
  <si>
    <t>SOITEC</t>
  </si>
  <si>
    <t>SOON SE Equity</t>
  </si>
  <si>
    <t>Sonova Holding AG</t>
  </si>
  <si>
    <t>SOP FP Equity</t>
  </si>
  <si>
    <t>Sopra Steria Group</t>
  </si>
  <si>
    <t>SPIE FP Equity</t>
  </si>
  <si>
    <t>SPIE SA</t>
  </si>
  <si>
    <t>SPM IM Equity</t>
  </si>
  <si>
    <t>Saipem SpA</t>
  </si>
  <si>
    <t>SPSN SE Equity</t>
  </si>
  <si>
    <t>Swiss Prime Site AG</t>
  </si>
  <si>
    <t>SPX LN Equity</t>
  </si>
  <si>
    <t>Spirax Group PLC</t>
  </si>
  <si>
    <t>SQN SE Equity</t>
  </si>
  <si>
    <t>Swissquote Group Holding SA</t>
  </si>
  <si>
    <t>SREN SE Equity</t>
  </si>
  <si>
    <t>Swiss Re AG</t>
  </si>
  <si>
    <t>SRG IM Equity</t>
  </si>
  <si>
    <t>Snam SpA</t>
  </si>
  <si>
    <t>SRP LN Equity</t>
  </si>
  <si>
    <t>Serco Group PLC</t>
  </si>
  <si>
    <t>SRT3 GY Equity</t>
  </si>
  <si>
    <t>Sartorius AG</t>
  </si>
  <si>
    <t>SSABB SS Equity</t>
  </si>
  <si>
    <t>SSAB AB</t>
  </si>
  <si>
    <t>SSE LN Equity</t>
  </si>
  <si>
    <t>SSE PLC</t>
  </si>
  <si>
    <t>STAN LN Equity</t>
  </si>
  <si>
    <t>Standard Chartered PLC</t>
  </si>
  <si>
    <t>STB NO Equity</t>
  </si>
  <si>
    <t>Storebrand ASA</t>
  </si>
  <si>
    <t>STERV FH Equity</t>
  </si>
  <si>
    <t>Stora Enso Oyj</t>
  </si>
  <si>
    <t>STJ LN Equity</t>
  </si>
  <si>
    <t>St James's Place PLC</t>
  </si>
  <si>
    <t>STLAM IM Equity</t>
  </si>
  <si>
    <t>Stellantis NV</t>
  </si>
  <si>
    <t>STMMI IM Equity</t>
  </si>
  <si>
    <t>STMicroelectronics NV</t>
  </si>
  <si>
    <t>STMN SE Equity</t>
  </si>
  <si>
    <t>Straumann Holding AG</t>
  </si>
  <si>
    <t>SU FP Equity</t>
  </si>
  <si>
    <t>Schneider Electric SE</t>
  </si>
  <si>
    <t>SUBC NO Equity</t>
  </si>
  <si>
    <t>Subsea 7 SA</t>
  </si>
  <si>
    <t>SUN SE Equity</t>
  </si>
  <si>
    <t>Sulzer AG</t>
  </si>
  <si>
    <t>SUNN SE Equity</t>
  </si>
  <si>
    <t>Sunrise Communications AG</t>
  </si>
  <si>
    <t>SVT LN Equity</t>
  </si>
  <si>
    <t>Severn Trent PLC</t>
  </si>
  <si>
    <t>SW FP Equity</t>
  </si>
  <si>
    <t>Sodexo SA</t>
  </si>
  <si>
    <t>SWECB SS Equity</t>
  </si>
  <si>
    <t>Sweco AB</t>
  </si>
  <si>
    <t>SWEDA SS Equity</t>
  </si>
  <si>
    <t>Swedbank AB</t>
  </si>
  <si>
    <t>SY1 GY Equity</t>
  </si>
  <si>
    <t>Symrise AG</t>
  </si>
  <si>
    <t>SYENS BB Equity</t>
  </si>
  <si>
    <t>Syensqo SA</t>
  </si>
  <si>
    <t>TBCG LN Equity</t>
  </si>
  <si>
    <t>TBC Bank Group PLC</t>
  </si>
  <si>
    <t>TCAP LN Equity</t>
  </si>
  <si>
    <t>TP ICAP Group PLC</t>
  </si>
  <si>
    <t>TE FP Equity</t>
  </si>
  <si>
    <t>Technip Energies NV</t>
  </si>
  <si>
    <t>TEF SQ Equity</t>
  </si>
  <si>
    <t>Telefonica SA</t>
  </si>
  <si>
    <t>TEG GY Equity</t>
  </si>
  <si>
    <t>TAG Immobilien AG</t>
  </si>
  <si>
    <t>TEL NO Equity</t>
  </si>
  <si>
    <t>Telenor ASA</t>
  </si>
  <si>
    <t>TEL2B SS Equity</t>
  </si>
  <si>
    <t>Tele2 AB</t>
  </si>
  <si>
    <t>TELIA SS Equity</t>
  </si>
  <si>
    <t>Telia Co AB</t>
  </si>
  <si>
    <t>TEMN SE Equity</t>
  </si>
  <si>
    <t>Temenos AG</t>
  </si>
  <si>
    <t>TEN IM Equity</t>
  </si>
  <si>
    <t>Tenaris SA</t>
  </si>
  <si>
    <t>TEP FP Equity</t>
  </si>
  <si>
    <t>Teleperformance SE</t>
  </si>
  <si>
    <t>TGS NO Equity</t>
  </si>
  <si>
    <t>TGS ASA</t>
  </si>
  <si>
    <t>THULE SS Equity</t>
  </si>
  <si>
    <t>Thule Group AB</t>
  </si>
  <si>
    <t>TIT IM Equity</t>
  </si>
  <si>
    <t>Telecom Italia SpA/Milano</t>
  </si>
  <si>
    <t>TKA GY Equity</t>
  </si>
  <si>
    <t>thyssenkrupp AG</t>
  </si>
  <si>
    <t>TLX GY Equity</t>
  </si>
  <si>
    <t>Talanx AG</t>
  </si>
  <si>
    <t>TOM NO Equity</t>
  </si>
  <si>
    <t>TOMRA Systems ASA</t>
  </si>
  <si>
    <t>TPE PW Equity</t>
  </si>
  <si>
    <t>Tauron Polska Energia SA</t>
  </si>
  <si>
    <t>TPRO IM Equity</t>
  </si>
  <si>
    <t>Technoprobe SpA</t>
  </si>
  <si>
    <t>TRELB SS Equity</t>
  </si>
  <si>
    <t>Trelleborg AB</t>
  </si>
  <si>
    <t>TRN IM Equity</t>
  </si>
  <si>
    <t>Terna - Rete Elettrica Naziona</t>
  </si>
  <si>
    <t>TRYG DC Equity</t>
  </si>
  <si>
    <t>Tryg A/S</t>
  </si>
  <si>
    <t>TSCO LN Equity</t>
  </si>
  <si>
    <t>Tesco PLC</t>
  </si>
  <si>
    <t>TTE FP Equity</t>
  </si>
  <si>
    <t>TotalEnergies SE</t>
  </si>
  <si>
    <t>TUB BB Equity</t>
  </si>
  <si>
    <t>Financiere de Tubize SA</t>
  </si>
  <si>
    <t>TUI1 GY Equity</t>
  </si>
  <si>
    <t>TUI AG</t>
  </si>
  <si>
    <t>TW/ LN Equity</t>
  </si>
  <si>
    <t>Taylor Wimpey PLC</t>
  </si>
  <si>
    <t>UBSG SE Equity</t>
  </si>
  <si>
    <t>UBS Group AG</t>
  </si>
  <si>
    <t>UCB BB Equity</t>
  </si>
  <si>
    <t>UCB SA</t>
  </si>
  <si>
    <t>UCG IM Equity</t>
  </si>
  <si>
    <t>UniCredit SpA</t>
  </si>
  <si>
    <t>UHR SE Equity</t>
  </si>
  <si>
    <t>Swatch Group AG/The</t>
  </si>
  <si>
    <t>ULVR LN Equity</t>
  </si>
  <si>
    <t>Unilever PLC</t>
  </si>
  <si>
    <t>UMG NA Equity</t>
  </si>
  <si>
    <t>Universal Music Group NV</t>
  </si>
  <si>
    <t>UMI BB Equity</t>
  </si>
  <si>
    <t>Umicore SA</t>
  </si>
  <si>
    <t>UNI IM Equity</t>
  </si>
  <si>
    <t>Unipol Assicurazioni SpA</t>
  </si>
  <si>
    <t>UNI SQ Equity</t>
  </si>
  <si>
    <t>Unicaja Banco SA</t>
  </si>
  <si>
    <t>UPM FH Equity</t>
  </si>
  <si>
    <t>UPM-Kymmene Oyj</t>
  </si>
  <si>
    <t>URW FP Equity</t>
  </si>
  <si>
    <t>Unibail-Rodamco-Westfield</t>
  </si>
  <si>
    <t>UTG LN Equity</t>
  </si>
  <si>
    <t>UNITE Group PLC/The</t>
  </si>
  <si>
    <t>UU/ LN Equity</t>
  </si>
  <si>
    <t>United Utilities Group PLC</t>
  </si>
  <si>
    <t>VACN SE Equity</t>
  </si>
  <si>
    <t>VAT Group AG</t>
  </si>
  <si>
    <t>VALMT FH Equity</t>
  </si>
  <si>
    <t>Valmet Oyj</t>
  </si>
  <si>
    <t>VAR NO Equity</t>
  </si>
  <si>
    <t>Var Energi ASA</t>
  </si>
  <si>
    <t>VATN SE Equity</t>
  </si>
  <si>
    <t>Valiant Holding AG</t>
  </si>
  <si>
    <t>VEND NO Equity</t>
  </si>
  <si>
    <t>Vend Marketplaces ASA</t>
  </si>
  <si>
    <t>VER AV Equity</t>
  </si>
  <si>
    <t>Verbund AG</t>
  </si>
  <si>
    <t>VIE FP Equity</t>
  </si>
  <si>
    <t>Veolia Environnement SA</t>
  </si>
  <si>
    <t>VIS SQ Equity</t>
  </si>
  <si>
    <t>Viscofan SA</t>
  </si>
  <si>
    <t>VK FP Equity</t>
  </si>
  <si>
    <t>Vallourec SACA</t>
  </si>
  <si>
    <t>VNA GY Equity</t>
  </si>
  <si>
    <t>Vonovia SE</t>
  </si>
  <si>
    <t>VOD LN Equity</t>
  </si>
  <si>
    <t>Vodafone Group PLC</t>
  </si>
  <si>
    <t>VOE AV Equity</t>
  </si>
  <si>
    <t>voestalpine AG</t>
  </si>
  <si>
    <t>VOLVB SS Equity</t>
  </si>
  <si>
    <t>Volvo AB</t>
  </si>
  <si>
    <t>VOW3 GY Equity</t>
  </si>
  <si>
    <t>Volkswagen AG</t>
  </si>
  <si>
    <t>VPK NA Equity</t>
  </si>
  <si>
    <t>Koninklijke Vopak NV</t>
  </si>
  <si>
    <t>VSURE SS Equity</t>
  </si>
  <si>
    <t>Verisure PLC</t>
  </si>
  <si>
    <t>VWS DC Equity</t>
  </si>
  <si>
    <t>Vestas Wind Systems A/S</t>
  </si>
  <si>
    <t>VZN SE Equity</t>
  </si>
  <si>
    <t>VZ Holding AG</t>
  </si>
  <si>
    <t>WDP BB Equity</t>
  </si>
  <si>
    <t>Warehouses De Pauw CVA</t>
  </si>
  <si>
    <t>WEIR LN Equity</t>
  </si>
  <si>
    <t>Weir PLC</t>
  </si>
  <si>
    <t>WIE AV Equity</t>
  </si>
  <si>
    <t>Wienerberger AG</t>
  </si>
  <si>
    <t>WIHL SS Equity</t>
  </si>
  <si>
    <t>Wihlborgs Fastigheter AB</t>
  </si>
  <si>
    <t>WISE LN Equity</t>
  </si>
  <si>
    <t>Wise Group PLC</t>
  </si>
  <si>
    <t>WKL NA Equity</t>
  </si>
  <si>
    <t>Wolters Kluwer NV</t>
  </si>
  <si>
    <t>WPP LN Equity</t>
  </si>
  <si>
    <t>WPP PLC</t>
  </si>
  <si>
    <t>WRT1V FH Equity</t>
  </si>
  <si>
    <t>Wartsila OYJ Abp</t>
  </si>
  <si>
    <t>WTB LN Equity</t>
  </si>
  <si>
    <t>Whitbread PLC</t>
  </si>
  <si>
    <t>YAR NO Equity</t>
  </si>
  <si>
    <t>Yara International ASA</t>
  </si>
  <si>
    <t>ZAB PW Equity</t>
  </si>
  <si>
    <t>Zabka Group SA</t>
  </si>
  <si>
    <t>ZAL GY Equity</t>
  </si>
  <si>
    <t>Zalando SE</t>
  </si>
  <si>
    <t>ZEAL DC Equity</t>
  </si>
  <si>
    <t>Zealand Pharma A/S</t>
  </si>
  <si>
    <t>ZEG LN Equity</t>
  </si>
  <si>
    <t>Zegona Communications plc</t>
  </si>
  <si>
    <t>ZURN SE Equity</t>
  </si>
  <si>
    <t>Zurich Insurance Group AG</t>
  </si>
  <si>
    <t>Stage</t>
  </si>
  <si>
    <t>Valid stocks</t>
  </si>
  <si>
    <t>Classified</t>
  </si>
  <si>
    <t>1W</t>
  </si>
  <si>
    <t>1M</t>
  </si>
  <si>
    <t>3M</t>
  </si>
  <si>
    <t>1D advancer ratio</t>
  </si>
  <si>
    <t>전력 생산</t>
  </si>
  <si>
    <t>AI 연산·메모리</t>
  </si>
  <si>
    <t>서버·스토리지</t>
  </si>
  <si>
    <t>네트워크·광통신</t>
  </si>
  <si>
    <t>파운드리·반도체 장비·EDA</t>
  </si>
  <si>
    <t>전력·냉각 장비</t>
  </si>
  <si>
    <t>E&amp;C·설계·전기공사</t>
  </si>
  <si>
    <t>데이터센터 REIT·운영사</t>
  </si>
  <si>
    <t>하이퍼스케일러·플랫폼</t>
  </si>
  <si>
    <t>사이버보안</t>
  </si>
  <si>
    <t>엣지·Physical AI</t>
  </si>
  <si>
    <t>AI 소프트웨어·데이터</t>
  </si>
  <si>
    <t>Role</t>
  </si>
  <si>
    <t>Core/Adjacent</t>
  </si>
  <si>
    <t>Price Jun04</t>
  </si>
  <si>
    <t>Price Aug04</t>
  </si>
  <si>
    <t>Price Aug28</t>
  </si>
  <si>
    <t>Price Sep03</t>
  </si>
  <si>
    <t>Price Sep04</t>
  </si>
  <si>
    <t>1D contribution (fraction)</t>
  </si>
  <si>
    <t>Status</t>
  </si>
  <si>
    <t>MSFT</t>
  </si>
  <si>
    <t>Azure AI 인프라, 모델, Copilot과 기업 고객 유통망을 동시에 보유.</t>
  </si>
  <si>
    <t>Core</t>
  </si>
  <si>
    <t>Included</t>
  </si>
  <si>
    <t>AMZN</t>
  </si>
  <si>
    <t>AWS AI 인프라, Trainium·Inferentia와 모델 서비스를 제공.</t>
  </si>
  <si>
    <t>GOOGL</t>
  </si>
  <si>
    <t>Google Cloud, Gemini와 TPU를 보유하며 GOOG는 이중가중 방지를 위해 제외.</t>
  </si>
  <si>
    <t>META</t>
  </si>
  <si>
    <t>대규모 AI 인프라, 오픈모델과 광고·추천 수익화를 결합.</t>
  </si>
  <si>
    <t>ORCL</t>
  </si>
  <si>
    <t>OCI의 대형 AI 학습 클러스터와 데이터베이스 고객 기반을 보유.</t>
  </si>
  <si>
    <t>IBM</t>
  </si>
  <si>
    <t>하이브리드 클라우드, watsonx와 AI 컨설팅 노출은 있으나 순수도는 낮음.</t>
  </si>
  <si>
    <t>Adjacent</t>
  </si>
  <si>
    <t>NVDA</t>
  </si>
  <si>
    <t>AI 가속기, 네트워크와 소프트웨어를 결합한 풀스택 플랫폼.</t>
  </si>
  <si>
    <t>AMD</t>
  </si>
  <si>
    <t>데이터센터 CPU와 AI 가속기 사업을 보유.</t>
  </si>
  <si>
    <t>AVGO</t>
  </si>
  <si>
    <t>맞춤형 AI 가속기와 스위칭·연결 반도체에 동시 노출.</t>
  </si>
  <si>
    <t>MRVL</t>
  </si>
  <si>
    <t>맞춤형 AI 실리콘, 전기광학과 데이터센터 네트워크 반도체 공급.</t>
  </si>
  <si>
    <t>MU</t>
  </si>
  <si>
    <t>HBM과 데이터센터 DRAM·NAND 수요에 직접 노출.</t>
  </si>
  <si>
    <t>INTC</t>
  </si>
  <si>
    <t>CPU, 파운드리와 가속기 노출이 있으나 AI 이익 기여 집중도는 낮음.</t>
  </si>
  <si>
    <t>MPWR</t>
  </si>
  <si>
    <t>고성능 컴퓨팅 시스템용 전력관리 반도체 공급.</t>
  </si>
  <si>
    <t>AMAT</t>
  </si>
  <si>
    <t>폭넓은 웨이퍼 장비와 첨단패키징 노출.</t>
  </si>
  <si>
    <t>LRCX</t>
  </si>
  <si>
    <t>선단 로직·메모리와 HBM 증설에 필요한 식각·증착 장비 공급.</t>
  </si>
  <si>
    <t>KLAC</t>
  </si>
  <si>
    <t>반도체 복잡도 상승에 필요한 공정제어·검사 장비 공급.</t>
  </si>
  <si>
    <t>CDNS</t>
  </si>
  <si>
    <t>첨단 AI 반도체 설계를 위한 EDA와 시스템 설계 소프트웨어 제공.</t>
  </si>
  <si>
    <t>SNPS</t>
  </si>
  <si>
    <t>AI 실리콘 설계에 사용되는 EDA와 반도체 IP 제공.</t>
  </si>
  <si>
    <t>TER</t>
  </si>
  <si>
    <t>AI 가속기와 첨단 반도체용 테스트 장비 공급.</t>
  </si>
  <si>
    <t>ANET</t>
  </si>
  <si>
    <t>AI 패브릭용 고속 이더넷 스위칭의 직접 수혜.</t>
  </si>
  <si>
    <t>CSCO</t>
  </si>
  <si>
    <t>AI 데이터센터 패브릭용 네트워크·광학·보안 솔루션 제공.</t>
  </si>
  <si>
    <t>CIEN</t>
  </si>
  <si>
    <t>데이터센터 인터커넥트와 AI 트래픽 증가에 필요한 광네트워크 공급.</t>
  </si>
  <si>
    <t>COHR</t>
  </si>
  <si>
    <t>고속 AI 인터커넥트용 광부품과 트랜시버 공급.</t>
  </si>
  <si>
    <t>LITE</t>
  </si>
  <si>
    <t>클라우드·데이터센터 연결에 사용되는 광부품 공급.</t>
  </si>
  <si>
    <t>GLW</t>
  </si>
  <si>
    <t>데이터센터 증설에 필요한 광섬유와 연결 제품 공급.</t>
  </si>
  <si>
    <t>APH</t>
  </si>
  <si>
    <t>데이터센터 시스템용 고속 커넥터와 케이블 공급.</t>
  </si>
  <si>
    <t>EXCLUDED - price adjustment break candidate</t>
  </si>
  <si>
    <t>DELL</t>
  </si>
  <si>
    <t>기업용 AI 서버, 랙과 스토리지 시스템 공급.</t>
  </si>
  <si>
    <t>HPE</t>
  </si>
  <si>
    <t>AI 시스템과 Aruba 네트워크를 결합한 기업 인프라 공급.</t>
  </si>
  <si>
    <t>SMCI</t>
  </si>
  <si>
    <t>고밀도 AI 서버와 랙스케일 통합의 직접 수혜.</t>
  </si>
  <si>
    <t>FLEX</t>
  </si>
  <si>
    <t>데이터센터 하드웨어 설계·위탁생산 노출.</t>
  </si>
  <si>
    <t>JBL</t>
  </si>
  <si>
    <t>클라우드 고객 대상 제조와 데이터센터 인프라 하드웨어 노출.</t>
  </si>
  <si>
    <t>NTAP</t>
  </si>
  <si>
    <t>AI 워크로드용 기업 스토리지와 데이터 관리 제공.</t>
  </si>
  <si>
    <t>STX</t>
  </si>
  <si>
    <t>클라우드와 AI 데이터 파이프라인용 대용량 스토리지 공급.</t>
  </si>
  <si>
    <t>WDC</t>
  </si>
  <si>
    <t>기업·클라우드 스토리지 수요에 노출.</t>
  </si>
  <si>
    <t>SNDK</t>
  </si>
  <si>
    <t>데이터 집약적 워크로드용 플래시 스토리지 노출.</t>
  </si>
  <si>
    <t>VRT</t>
  </si>
  <si>
    <t>고밀도 AI 데이터센터의 전력·열관리·액체냉각 인프라 공급.</t>
  </si>
  <si>
    <t>ETN</t>
  </si>
  <si>
    <t>데이터센터 부하 증가에 필요한 배전·스위치기어·전력품질 장비 공급.</t>
  </si>
  <si>
    <t>GEV</t>
  </si>
  <si>
    <t>전력망 장비와 발전설비를 통해 데이터센터 전력수요에 노출.</t>
  </si>
  <si>
    <t>HUBB</t>
  </si>
  <si>
    <t>전력망 보강용 유틸리티·전기 부품 공급.</t>
  </si>
  <si>
    <t>TT</t>
  </si>
  <si>
    <t>고효율 냉각·열관리 시스템에 노출되지만 AI 순수도는 낮음.</t>
  </si>
  <si>
    <t>JCI</t>
  </si>
  <si>
    <t>데이터센터 빌딩제어와 냉각 인프라 공급.</t>
  </si>
  <si>
    <t>CARR</t>
  </si>
  <si>
    <t>데이터센터 증설에 필요한 HVAC와 열관리 노출.</t>
  </si>
  <si>
    <t>PWR</t>
  </si>
  <si>
    <t>신규 발전과 데이터센터를 연결하는 전력망·전기 인프라 시공.</t>
  </si>
  <si>
    <t>FIX</t>
  </si>
  <si>
    <t>데이터센터 냉각 프로젝트를 포함한 기계·전기 공사 수행.</t>
  </si>
  <si>
    <t>EME</t>
  </si>
  <si>
    <t>데이터센터 프로젝트에 필요한 전기·기계 시공 노출.</t>
  </si>
  <si>
    <t>CEG</t>
  </si>
  <si>
    <t>하이퍼스케일 데이터센터용 원전·청정전력 장기계약의 직접 수혜.</t>
  </si>
  <si>
    <t>VST</t>
  </si>
  <si>
    <t>경쟁 발전과 데이터센터 전력계약에 노출.</t>
  </si>
  <si>
    <t>NRG</t>
  </si>
  <si>
    <t>데이터센터 부하 증가에 레버리지된 발전·소매전력 사업.</t>
  </si>
  <si>
    <t>DLR</t>
  </si>
  <si>
    <t>글로벌 데이터센터 REIT와 코로케이션 플랫폼.</t>
  </si>
  <si>
    <t>EQIX</t>
  </si>
  <si>
    <t>상호접속 중심의 글로벌 데이터센터 운영 플랫폼.</t>
  </si>
  <si>
    <t>IRM</t>
  </si>
  <si>
    <t>데이터센터를 운영하지만 기록관리 사업 비중이 더 커 순수도는 낮음.</t>
  </si>
  <si>
    <t>CRWD</t>
  </si>
  <si>
    <t>AI 기반 엔드포인트·클라우드 보안 플랫폼.</t>
  </si>
  <si>
    <t>PANW</t>
  </si>
  <si>
    <t>AI 기반 사이버보안 플랫폼과 AI 워크로드 보호 솔루션 제공.</t>
  </si>
  <si>
    <t>FTNT</t>
  </si>
  <si>
    <t>네트워크·클라우드 보안과 AI 기반 위협탐지 플랫폼 제공.</t>
  </si>
  <si>
    <t>AKAM</t>
  </si>
  <si>
    <t>클라우드 보안과 엣지 네트워크에 노출되지만 AI 순수도는 낮음.</t>
  </si>
  <si>
    <t>GEN</t>
  </si>
  <si>
    <t>소비자 사이버보안 사업으로 AI 보안 수요에 간접 노출.</t>
  </si>
  <si>
    <t>PLTR</t>
  </si>
  <si>
    <t>민간·정부 워크플로에 AI 플랫폼과 애플리케이션을 배포.</t>
  </si>
  <si>
    <t>NOW</t>
  </si>
  <si>
    <t>기업 워크플로 자동화와 생성형 AI 제품을 수익화.</t>
  </si>
  <si>
    <t>CRM</t>
  </si>
  <si>
    <t>에이전틱 AI와 기업 고객데이터 유통망을 결합.</t>
  </si>
  <si>
    <t>ADBE</t>
  </si>
  <si>
    <t>생성형 창작도구와 문서 AI를 수익화.</t>
  </si>
  <si>
    <t>APP</t>
  </si>
  <si>
    <t>AI 기반 광고 최적화와 소프트웨어 플랫폼 운영.</t>
  </si>
  <si>
    <t>INTU</t>
  </si>
  <si>
    <t>금융·세무 워크플로에 AI 어시스턴트를 내장.</t>
  </si>
  <si>
    <t>WDAY</t>
  </si>
  <si>
    <t>인사·재무 워크플로에 AI 기능을 내장.</t>
  </si>
  <si>
    <t>DDOG</t>
  </si>
  <si>
    <t>복잡한 클라우드·AI 애플리케이션 스택의 관측성 제공.</t>
  </si>
  <si>
    <t>ACN</t>
  </si>
  <si>
    <t>고객사의 AI 구축·컨설팅 지출에 간접 노출.</t>
  </si>
  <si>
    <t>QCOM</t>
  </si>
  <si>
    <t>온디바이스 AI 가속기와 엣지 연결 반도체 공급.</t>
  </si>
  <si>
    <t>TSLA</t>
  </si>
  <si>
    <t>자율주행, 추론 하드웨어와 로봇·Physical AI 개발.</t>
  </si>
  <si>
    <t>AXON</t>
  </si>
  <si>
    <t>AI 기반 공공안전 장비와 증거·업무 소프트웨어 제공.</t>
  </si>
  <si>
    <t>AAPL</t>
  </si>
  <si>
    <t>대규모 설치기반의 온디바이스 AI 노출은 있으나 기기 사이클 의존도가 높음.</t>
  </si>
  <si>
    <t>NXPI</t>
  </si>
  <si>
    <t>자동차·산업용 엣지 프로세서 공급.</t>
  </si>
  <si>
    <t>ADI</t>
  </si>
  <si>
    <t>엣지 지능을 위한 산업용 센싱과 신호처리 반도체 공급.</t>
  </si>
  <si>
    <t>ON</t>
  </si>
  <si>
    <t>자동차·산업용 센싱과 전력반도체 공급.</t>
  </si>
  <si>
    <t>ROK</t>
  </si>
  <si>
    <t>Physical AI를 가능하게 하는 산업 자동화·제어 시스템 공급.</t>
  </si>
  <si>
    <t>Date</t>
  </si>
  <si>
    <t>2026-06-04</t>
  </si>
  <si>
    <t>2026-06-05</t>
  </si>
  <si>
    <t>2026-06-08</t>
  </si>
  <si>
    <t>2026-06-09</t>
  </si>
  <si>
    <t>2026-06-10</t>
  </si>
  <si>
    <t>2026-06-11</t>
  </si>
  <si>
    <t>2026-06-12</t>
  </si>
  <si>
    <t>2026-06-15</t>
  </si>
  <si>
    <t>2026-06-16</t>
  </si>
  <si>
    <t>2026-06-17</t>
  </si>
  <si>
    <t>2026-06-18</t>
  </si>
  <si>
    <t>2026-06-22</t>
  </si>
  <si>
    <t>2026-06-23</t>
  </si>
  <si>
    <t>2026-06-24</t>
  </si>
  <si>
    <t>2026-06-25</t>
  </si>
  <si>
    <t>2026-06-26</t>
  </si>
  <si>
    <t>2026-06-29</t>
  </si>
  <si>
    <t>2026-06-30</t>
  </si>
  <si>
    <t>2026-07-01</t>
  </si>
  <si>
    <t>2026-07-02</t>
  </si>
  <si>
    <t>2026-07-06</t>
  </si>
  <si>
    <t>2026-07-07</t>
  </si>
  <si>
    <t>2026-07-08</t>
  </si>
  <si>
    <t>2026-07-09</t>
  </si>
  <si>
    <t>2026-07-10</t>
  </si>
  <si>
    <t>2026-07-13</t>
  </si>
  <si>
    <t>2026-07-14</t>
  </si>
  <si>
    <t>2026-07-15</t>
  </si>
  <si>
    <t>2026-07-16</t>
  </si>
  <si>
    <t>2026-07-17</t>
  </si>
  <si>
    <t>2026-07-20</t>
  </si>
  <si>
    <t>2026-07-21</t>
  </si>
  <si>
    <t>2026-07-22</t>
  </si>
  <si>
    <t>2026-07-23</t>
  </si>
  <si>
    <t>2026-07-24</t>
  </si>
  <si>
    <t>2026-07-27</t>
  </si>
  <si>
    <t>2026-07-28</t>
  </si>
  <si>
    <t>2026-07-29</t>
  </si>
  <si>
    <t>2026-07-30</t>
  </si>
  <si>
    <t>2026-07-31</t>
  </si>
  <si>
    <t>2026-08-03</t>
  </si>
  <si>
    <t>2026-08-04</t>
  </si>
  <si>
    <t>2026-08-05</t>
  </si>
  <si>
    <t>2026-08-06</t>
  </si>
  <si>
    <t>2026-08-07</t>
  </si>
  <si>
    <t>2026-08-10</t>
  </si>
  <si>
    <t>2026-08-11</t>
  </si>
  <si>
    <t>2026-08-12</t>
  </si>
  <si>
    <t>2026-08-13</t>
  </si>
  <si>
    <t>2026-08-14</t>
  </si>
  <si>
    <t>2026-08-17</t>
  </si>
  <si>
    <t>2026-08-18</t>
  </si>
  <si>
    <t>2026-08-19</t>
  </si>
  <si>
    <t>2026-08-20</t>
  </si>
  <si>
    <t>2026-08-21</t>
  </si>
  <si>
    <t>2026-08-24</t>
  </si>
  <si>
    <t>2026-08-25</t>
  </si>
  <si>
    <t>2026-08-26</t>
  </si>
  <si>
    <t>2026-08-27</t>
  </si>
  <si>
    <t>2026-08-28</t>
  </si>
  <si>
    <t>2026-08-31</t>
  </si>
  <si>
    <t>2026-09-01</t>
  </si>
  <si>
    <t>2026-09-02</t>
  </si>
  <si>
    <t>2026-09-03</t>
  </si>
  <si>
    <t>Index</t>
  </si>
  <si>
    <t>Valid prices</t>
  </si>
  <si>
    <t>Changed vs previous row</t>
  </si>
  <si>
    <t>SXXP</t>
  </si>
  <si>
    <t>2026-09-05</t>
  </si>
  <si>
    <t>2026-09-06</t>
  </si>
  <si>
    <t>SPX</t>
  </si>
  <si>
    <t>NDX</t>
  </si>
  <si>
    <t>SHSZ300</t>
  </si>
  <si>
    <t>Key</t>
  </si>
  <si>
    <t>Title</t>
  </si>
  <si>
    <t>URL</t>
  </si>
  <si>
    <t>us</t>
  </si>
  <si>
    <t>AP · 9월 4일 미국 증시 종가</t>
  </si>
  <si>
    <t>https://apnews.com/article/stock-market-dow-nasdaq-jobs-ebc11cfa2cf8baf4491bf3d4199c1d74</t>
  </si>
  <si>
    <t>eu</t>
  </si>
  <si>
    <t>Reuters · 9월 4일 유럽 종가</t>
  </si>
  <si>
    <t>https://in.marketscreener.com/news/european-shares-log-weekly-losses-on-inflation-worries-volkswagen-jumps-ce785bdbd98cf522</t>
  </si>
  <si>
    <t>cn</t>
  </si>
  <si>
    <t>Reuters · 9월 4일 중국 종가</t>
  </si>
  <si>
    <t>https://economia.uol.com.br/noticias/reuters/2026/09/04/acoes-da-china-encerram-semana-em-baixa-com-perda-de-forca-da-alta-por-ia.htm</t>
  </si>
  <si>
    <t>cnsector</t>
  </si>
  <si>
    <t>신화재경 · 9월 4일 업종 동향</t>
  </si>
  <si>
    <t>https://www.cnfin.com/yw-lb/detail/20260904/4465240_1.html</t>
  </si>
  <si>
    <t>lulu</t>
  </si>
  <si>
    <t>lululemon · 9월 3일 FY2026 Q2 실적 발표</t>
  </si>
  <si>
    <t>https://corporate.lululemon.com/newsroom/press-releases/2026/09-03-2026-210528733</t>
  </si>
  <si>
    <t>fico</t>
  </si>
  <si>
    <t>Investing.com · 9월 4일 FICO / VantageScore</t>
  </si>
  <si>
    <t>https://www.investing.com/news/stock-market-news/why-is-fair-isaac-stock-sliding-today-93CH-4889420</t>
  </si>
  <si>
    <t>adobe</t>
  </si>
  <si>
    <t>Adobe · 9월 4일 CEO 승계 공지(일본어판)</t>
  </si>
  <si>
    <t>https://news.adobe.com/ja/news/2026/09/20260904-adobe-ceo-announcement</t>
  </si>
  <si>
    <t>soitec</t>
  </si>
  <si>
    <t>Soitec · 9월 2일 Trading Update / 회사 배포문</t>
  </si>
  <si>
    <t>https://rss.globenewswire.com/news-release/2026/09/02/3355388/0/en/soitec-trading-update.html</t>
  </si>
  <si>
    <t>cssc</t>
  </si>
  <si>
    <t>증권일보 · 9월 2일 중국선박 수주 공시 보도</t>
  </si>
  <si>
    <t>https://finance.eastmoney.com/a/202609023863027532.html</t>
  </si>
</sst>
</file>

<file path=xl/styles.xml><?xml version="1.0" encoding="utf-8"?>
<styleSheet xmlns="http://schemas.openxmlformats.org/spreadsheetml/2006/main">
  <numFmts count="2">
    <numFmt numFmtId="164" formatCode="#,##0.00"/>
    <numFmt numFmtId="165" formatCode="+0.00%;-0.00%;0.00%"/>
  </numFmts>
  <fonts count="4">
    <font>
      <sz val="11"/>
      <color theme="1"/>
      <name val="Calibri"/>
      <family val="2"/>
      <scheme val="minor"/>
    </font>
    <font>
      <sz val="10"/>
      <color theme="1"/>
      <name val="Arial"/>
      <family val="2"/>
    </font>
    <font>
      <sz val="10"/>
      <color theme="1"/>
      <name val="Malgun Gothic"/>
      <family val="2"/>
    </font>
    <font>
      <b/>
      <sz val="11"/>
      <color rgb="FFFFFFFF"/>
      <name val="Arial"/>
      <family val="2"/>
    </font>
  </fonts>
  <fills count="3">
    <fill>
      <patternFill patternType="none"/>
    </fill>
    <fill>
      <patternFill patternType="gray125"/>
    </fill>
    <fill>
      <patternFill patternType="solid">
        <fgColor rgb="FF17365D"/>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applyAlignment="1">
      <alignment vertical="top" wrapText="1"/>
    </xf>
    <xf numFmtId="0" fontId="3" fillId="2" borderId="0" xfId="0" applyFont="1" applyFill="1" applyAlignment="1">
      <alignment wrapText="1"/>
    </xf>
    <xf numFmtId="164" fontId="1" fillId="0" borderId="0" xfId="0" applyNumberFormat="1" applyFont="1"/>
    <xf numFmtId="165" fontId="1" fillId="0" borderId="0" xfId="0" applyNumberFormat="1"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theme" Target="theme/theme1.xml"/><Relationship Id="rId26" Type="http://schemas.openxmlformats.org/officeDocument/2006/relationships/styles" Target="styles.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4.xml.rels><?xml version="1.0" encoding="UTF-8" standalone="yes"?>
<Relationships xmlns="http://schemas.openxmlformats.org/package/2006/relationships"><Relationship Id="rId1" Type="http://schemas.openxmlformats.org/officeDocument/2006/relationships/hyperlink" Target="https://apnews.com/article/stock-market-dow-nasdaq-jobs-ebc11cfa2cf8baf4491bf3d4199c1d74" TargetMode="External"/><Relationship Id="rId2" Type="http://schemas.openxmlformats.org/officeDocument/2006/relationships/hyperlink" Target="https://in.marketscreener.com/news/european-shares-log-weekly-losses-on-inflation-worries-volkswagen-jumps-ce785bdbd98cf522" TargetMode="External"/><Relationship Id="rId3" Type="http://schemas.openxmlformats.org/officeDocument/2006/relationships/hyperlink" Target="https://economia.uol.com.br/noticias/reuters/2026/09/04/acoes-da-china-encerram-semana-em-baixa-com-perda-de-forca-da-alta-por-ia.htm" TargetMode="External"/><Relationship Id="rId4" Type="http://schemas.openxmlformats.org/officeDocument/2006/relationships/hyperlink" Target="https://www.cnfin.com/yw-lb/detail/20260904/4465240_1.html" TargetMode="External"/><Relationship Id="rId5" Type="http://schemas.openxmlformats.org/officeDocument/2006/relationships/hyperlink" Target="https://corporate.lululemon.com/newsroom/press-releases/2026/09-03-2026-210528733" TargetMode="External"/><Relationship Id="rId6" Type="http://schemas.openxmlformats.org/officeDocument/2006/relationships/hyperlink" Target="https://www.investing.com/news/stock-market-news/why-is-fair-isaac-stock-sliding-today-93CH-4889420" TargetMode="External"/><Relationship Id="rId7" Type="http://schemas.openxmlformats.org/officeDocument/2006/relationships/hyperlink" Target="https://news.adobe.com/ja/news/2026/09/20260904-adobe-ceo-announcement" TargetMode="External"/><Relationship Id="rId8" Type="http://schemas.openxmlformats.org/officeDocument/2006/relationships/hyperlink" Target="https://rss.globenewswire.com/news-release/2026/09/02/3355388/0/en/soitec-trading-update.html" TargetMode="External"/><Relationship Id="rId9" Type="http://schemas.openxmlformats.org/officeDocument/2006/relationships/hyperlink" Target="https://finance.eastmoney.com/a/202609023863027532.html" TargetMode="External"/></Relationships>
</file>

<file path=xl/worksheets/sheet1.xml><?xml version="1.0" encoding="utf-8"?>
<worksheet xmlns="http://schemas.openxmlformats.org/spreadsheetml/2006/main" xmlns:r="http://schemas.openxmlformats.org/officeDocument/2006/relationships">
  <dimension ref="A1:B12"/>
  <sheetViews>
    <sheetView tabSelected="1"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2.7109375" style="1" customWidth="1"/>
    <col min="2" max="2" width="125.7109375" style="2" customWidth="1"/>
  </cols>
  <sheetData>
    <row r="1" spans="1:2" ht="30" customHeight="1">
      <c r="A1" s="3" t="s">
        <v>0</v>
      </c>
      <c r="B1" s="3" t="s">
        <v>1</v>
      </c>
    </row>
    <row r="2" spans="1:2">
      <c r="A2" s="1" t="s">
        <v>2</v>
      </c>
      <c r="B2" s="1" t="s">
        <v>3</v>
      </c>
    </row>
    <row r="3" spans="1:2">
      <c r="A3" s="1" t="s">
        <v>4</v>
      </c>
      <c r="B3" s="1" t="s">
        <v>5</v>
      </c>
    </row>
    <row r="4" spans="1:2">
      <c r="A4" s="1" t="s">
        <v>6</v>
      </c>
      <c r="B4" s="1" t="s">
        <v>7</v>
      </c>
    </row>
    <row r="5" spans="1:2">
      <c r="A5" s="1" t="s">
        <v>8</v>
      </c>
      <c r="B5" s="1" t="s">
        <v>9</v>
      </c>
    </row>
    <row r="6" spans="1:2">
      <c r="A6" s="1" t="s">
        <v>10</v>
      </c>
      <c r="B6" s="1" t="s">
        <v>11</v>
      </c>
    </row>
    <row r="7" spans="1:2">
      <c r="A7" s="1" t="s">
        <v>12</v>
      </c>
      <c r="B7" s="1" t="s">
        <v>13</v>
      </c>
    </row>
    <row r="8" spans="1:2">
      <c r="A8" s="1" t="s">
        <v>14</v>
      </c>
      <c r="B8" s="1" t="s">
        <v>15</v>
      </c>
    </row>
    <row r="9" spans="1:2">
      <c r="A9" s="1" t="s">
        <v>16</v>
      </c>
      <c r="B9" s="1" t="s">
        <v>17</v>
      </c>
    </row>
    <row r="10" spans="1:2">
      <c r="A10" s="1" t="s">
        <v>18</v>
      </c>
      <c r="B10" s="1" t="s">
        <v>19</v>
      </c>
    </row>
    <row r="11" spans="1:2">
      <c r="A11" s="1" t="s">
        <v>20</v>
      </c>
      <c r="B11" s="1" t="s">
        <v>21</v>
      </c>
    </row>
    <row r="12" spans="1:2">
      <c r="A12" s="1" t="s">
        <v>22</v>
      </c>
      <c r="B12" s="1" t="s">
        <v>23</v>
      </c>
    </row>
  </sheetData>
  <autoFilter ref="A1:B12"/>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504"/>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2.7109375" style="1" customWidth="1"/>
    <col min="2" max="2" width="40.7109375" style="1" customWidth="1"/>
    <col min="3" max="3" width="25.7109375" style="1" customWidth="1"/>
    <col min="4" max="4" width="38.7109375" style="1" customWidth="1"/>
    <col min="5" max="10" width="15.7109375" style="1" customWidth="1"/>
    <col min="11" max="11" width="25.7109375" style="1" customWidth="1"/>
  </cols>
  <sheetData>
    <row r="1" spans="1:11" ht="30" customHeight="1">
      <c r="A1" s="3" t="s">
        <v>24</v>
      </c>
      <c r="B1" s="3" t="s">
        <v>25</v>
      </c>
      <c r="C1" s="3" t="s">
        <v>26</v>
      </c>
      <c r="D1" s="3" t="s">
        <v>27</v>
      </c>
      <c r="E1" s="3" t="s">
        <v>28</v>
      </c>
      <c r="F1" s="3" t="s">
        <v>29</v>
      </c>
      <c r="G1" s="3" t="s">
        <v>30</v>
      </c>
      <c r="H1" s="3" t="s">
        <v>31</v>
      </c>
      <c r="I1" s="3" t="s">
        <v>32</v>
      </c>
      <c r="J1" s="3" t="s">
        <v>33</v>
      </c>
      <c r="K1" s="3" t="s">
        <v>34</v>
      </c>
    </row>
    <row r="2" spans="1:11">
      <c r="A2" s="1" t="s">
        <v>35</v>
      </c>
      <c r="B2" s="1" t="s">
        <v>36</v>
      </c>
      <c r="C2" s="1" t="s">
        <v>37</v>
      </c>
      <c r="D2" s="1" t="s">
        <v>38</v>
      </c>
      <c r="E2" s="4">
        <v>159</v>
      </c>
      <c r="F2" s="4">
        <v>149.98</v>
      </c>
      <c r="G2" s="4">
        <v>150.86</v>
      </c>
      <c r="H2" s="5">
        <f>G2/F2-1</f>
        <v>0.005867448993199353</v>
      </c>
      <c r="I2" s="5">
        <f>G2/E2-1</f>
        <v>-0.051194968553459064</v>
      </c>
      <c r="J2" s="5">
        <v>-0.05704402515723261</v>
      </c>
      <c r="K2" s="4">
        <v>42531786914.44</v>
      </c>
    </row>
    <row r="3" spans="1:11">
      <c r="A3" s="1" t="s">
        <v>39</v>
      </c>
      <c r="B3" s="1" t="s">
        <v>40</v>
      </c>
      <c r="C3" s="1" t="s">
        <v>41</v>
      </c>
      <c r="D3" s="1" t="s">
        <v>42</v>
      </c>
      <c r="E3" s="4">
        <v>309.35</v>
      </c>
      <c r="F3" s="4">
        <v>328.21</v>
      </c>
      <c r="G3" s="4">
        <v>319.97</v>
      </c>
      <c r="H3" s="5">
        <f>G3/F3-1</f>
        <v>-0.02510587733463321</v>
      </c>
      <c r="I3" s="5">
        <f>G3/E3-1</f>
        <v>0.03433004687247454</v>
      </c>
      <c r="J3" s="5">
        <v>-0.02510587733463321</v>
      </c>
      <c r="K3" s="4">
        <v>4669699774600</v>
      </c>
    </row>
    <row r="4" spans="1:11">
      <c r="A4" s="1" t="s">
        <v>43</v>
      </c>
      <c r="B4" s="1" t="s">
        <v>44</v>
      </c>
      <c r="C4" s="1" t="s">
        <v>37</v>
      </c>
      <c r="D4" s="1" t="s">
        <v>38</v>
      </c>
      <c r="E4" s="4">
        <v>264.96</v>
      </c>
      <c r="F4" s="4">
        <v>260.21</v>
      </c>
      <c r="G4" s="4">
        <v>256.46</v>
      </c>
      <c r="H4" s="5">
        <f>G4/F4-1</f>
        <v>-0.01441143691633684</v>
      </c>
      <c r="I4" s="5">
        <f>G4/E4-1</f>
        <v>-0.032080314009661826</v>
      </c>
      <c r="J4" s="5">
        <v>-0.038790022197976</v>
      </c>
      <c r="K4" s="4">
        <v>453194898911.1</v>
      </c>
    </row>
    <row r="5" spans="1:11">
      <c r="A5" s="1" t="s">
        <v>45</v>
      </c>
      <c r="B5" s="1" t="s">
        <v>46</v>
      </c>
      <c r="C5" s="1" t="s">
        <v>47</v>
      </c>
      <c r="D5" s="1" t="s">
        <v>48</v>
      </c>
      <c r="E5" s="4">
        <v>187.3</v>
      </c>
      <c r="F5" s="4">
        <v>185.25</v>
      </c>
      <c r="G5" s="4">
        <v>181.94</v>
      </c>
      <c r="H5" s="5">
        <f>G5/F5-1</f>
        <v>-0.017867746288798947</v>
      </c>
      <c r="I5" s="5">
        <f>G5/E5-1</f>
        <v>-0.028617191671115982</v>
      </c>
      <c r="J5" s="5">
        <v>-0.04493438320209975</v>
      </c>
      <c r="K5" s="4">
        <v>108943066983.08</v>
      </c>
    </row>
    <row r="6" spans="1:11">
      <c r="A6" s="1" t="s">
        <v>49</v>
      </c>
      <c r="B6" s="1" t="s">
        <v>50</v>
      </c>
      <c r="C6" s="1" t="s">
        <v>37</v>
      </c>
      <c r="D6" s="1" t="s">
        <v>51</v>
      </c>
      <c r="E6" s="4">
        <v>116.64</v>
      </c>
      <c r="F6" s="4">
        <v>108.79</v>
      </c>
      <c r="G6" s="4">
        <v>108.33</v>
      </c>
      <c r="H6" s="5">
        <f>G6/F6-1</f>
        <v>-0.0042283298097252064</v>
      </c>
      <c r="I6" s="5">
        <f>G6/E6-1</f>
        <v>-0.07124485596707819</v>
      </c>
      <c r="J6" s="5">
        <v>-0.07148367189508875</v>
      </c>
      <c r="K6" s="4">
        <v>187452422455.68</v>
      </c>
    </row>
    <row r="7" spans="1:11">
      <c r="A7" s="1" t="s">
        <v>52</v>
      </c>
      <c r="B7" s="1" t="s">
        <v>53</v>
      </c>
      <c r="C7" s="1" t="s">
        <v>54</v>
      </c>
      <c r="D7" s="1" t="s">
        <v>55</v>
      </c>
      <c r="E7" s="4">
        <v>99.39</v>
      </c>
      <c r="F7" s="4">
        <v>99.83</v>
      </c>
      <c r="G7" s="4">
        <v>98.09999999999999</v>
      </c>
      <c r="H7" s="5">
        <f>G7/F7-1</f>
        <v>-0.017329460082139647</v>
      </c>
      <c r="I7" s="5">
        <f>G7/E7-1</f>
        <v>-0.012979172955025708</v>
      </c>
      <c r="J7" s="5">
        <v>-0.03035396480126562</v>
      </c>
      <c r="K7" s="4">
        <v>33474577260.59999</v>
      </c>
    </row>
    <row r="8" spans="1:11">
      <c r="A8" s="1" t="s">
        <v>56</v>
      </c>
      <c r="B8" s="1" t="s">
        <v>57</v>
      </c>
      <c r="C8" s="1" t="s">
        <v>41</v>
      </c>
      <c r="D8" s="1" t="s">
        <v>58</v>
      </c>
      <c r="E8" s="4">
        <v>185.28</v>
      </c>
      <c r="F8" s="4">
        <v>193.12</v>
      </c>
      <c r="G8" s="4">
        <v>186.72</v>
      </c>
      <c r="H8" s="5">
        <f>G8/F8-1</f>
        <v>-0.03314001657000831</v>
      </c>
      <c r="I8" s="5">
        <f>G8/E8-1</f>
        <v>0.007772020725388629</v>
      </c>
      <c r="J8" s="5">
        <v>-0.03314001657000831</v>
      </c>
      <c r="K8" s="4">
        <v>114317972255.04</v>
      </c>
    </row>
    <row r="9" spans="1:11">
      <c r="A9" s="1" t="s">
        <v>59</v>
      </c>
      <c r="B9" s="1" t="s">
        <v>60</v>
      </c>
      <c r="C9" s="1" t="s">
        <v>41</v>
      </c>
      <c r="D9" s="1" t="s">
        <v>58</v>
      </c>
      <c r="E9" s="4">
        <v>275.3</v>
      </c>
      <c r="F9" s="4">
        <v>285.75</v>
      </c>
      <c r="G9" s="4">
        <v>266.51</v>
      </c>
      <c r="H9" s="5">
        <f>G9/F9-1</f>
        <v>-0.06733158355205604</v>
      </c>
      <c r="I9" s="5">
        <f>G9/E9-1</f>
        <v>-0.03192880494006545</v>
      </c>
      <c r="J9" s="5">
        <v>-0.08975716383756283</v>
      </c>
      <c r="K9" s="4">
        <v>105937725000</v>
      </c>
    </row>
    <row r="10" spans="1:11">
      <c r="A10" s="1" t="s">
        <v>61</v>
      </c>
      <c r="B10" s="1" t="s">
        <v>62</v>
      </c>
      <c r="C10" s="1" t="s">
        <v>41</v>
      </c>
      <c r="D10" s="1" t="s">
        <v>63</v>
      </c>
      <c r="E10" s="4">
        <v>373.09</v>
      </c>
      <c r="F10" s="4">
        <v>356.5</v>
      </c>
      <c r="G10" s="4">
        <v>362.25</v>
      </c>
      <c r="H10" s="5">
        <f>G10/F10-1</f>
        <v>0.016129032258064502</v>
      </c>
      <c r="I10" s="5">
        <f>G10/E10-1</f>
        <v>-0.029054651692621003</v>
      </c>
      <c r="J10" s="5">
        <v>-0.05340168749332475</v>
      </c>
      <c r="K10" s="4">
        <v>175533839696.25</v>
      </c>
    </row>
    <row r="11" spans="1:11">
      <c r="A11" s="1" t="s">
        <v>64</v>
      </c>
      <c r="B11" s="1" t="s">
        <v>65</v>
      </c>
      <c r="C11" s="1" t="s">
        <v>66</v>
      </c>
      <c r="D11" s="1" t="s">
        <v>67</v>
      </c>
      <c r="E11" s="4">
        <v>80.3</v>
      </c>
      <c r="F11" s="4">
        <v>84.38</v>
      </c>
      <c r="G11" s="4">
        <v>84.61</v>
      </c>
      <c r="H11" s="5">
        <f>G11/F11-1</f>
        <v>0.002725764399146735</v>
      </c>
      <c r="I11" s="5">
        <f>G11/E11-1</f>
        <v>0.05367372353673727</v>
      </c>
      <c r="J11" s="5">
        <v>-0.02665006226650068</v>
      </c>
      <c r="K11" s="4">
        <v>40778600317.63</v>
      </c>
    </row>
    <row r="12" spans="1:11">
      <c r="A12" s="1" t="s">
        <v>68</v>
      </c>
      <c r="B12" s="1" t="s">
        <v>69</v>
      </c>
      <c r="C12" s="1" t="s">
        <v>70</v>
      </c>
      <c r="D12" s="1" t="s">
        <v>71</v>
      </c>
      <c r="E12" s="4">
        <v>280.81</v>
      </c>
      <c r="F12" s="4">
        <v>283.53</v>
      </c>
      <c r="G12" s="4">
        <v>277.62</v>
      </c>
      <c r="H12" s="5">
        <f>G12/F12-1</f>
        <v>-0.02084435509469884</v>
      </c>
      <c r="I12" s="5">
        <f>G12/E12-1</f>
        <v>-0.011359994302197252</v>
      </c>
      <c r="J12" s="5">
        <v>-0.03429803812439136</v>
      </c>
      <c r="K12" s="4">
        <v>110288081045.94</v>
      </c>
    </row>
    <row r="13" spans="1:11">
      <c r="A13" s="1" t="s">
        <v>72</v>
      </c>
      <c r="B13" s="1" t="s">
        <v>73</v>
      </c>
      <c r="C13" s="1" t="s">
        <v>41</v>
      </c>
      <c r="D13" s="1" t="s">
        <v>58</v>
      </c>
      <c r="E13" s="4">
        <v>253.825</v>
      </c>
      <c r="F13" s="4">
        <v>237.52</v>
      </c>
      <c r="G13" s="4">
        <v>217.9</v>
      </c>
      <c r="H13" s="5">
        <f>G13/F13-1</f>
        <v>-0.08260357022566522</v>
      </c>
      <c r="I13" s="5">
        <f>G13/E13-1</f>
        <v>-0.14153452181621184</v>
      </c>
      <c r="J13" s="5">
        <v>-0.1946928819572769</v>
      </c>
      <c r="K13" s="4">
        <v>45541100000</v>
      </c>
    </row>
    <row r="14" spans="1:11">
      <c r="A14" s="1" t="s">
        <v>74</v>
      </c>
      <c r="B14" s="1" t="s">
        <v>75</v>
      </c>
      <c r="C14" s="1" t="s">
        <v>76</v>
      </c>
      <c r="D14" s="1" t="s">
        <v>76</v>
      </c>
      <c r="E14" s="4">
        <v>106.13</v>
      </c>
      <c r="F14" s="4">
        <v>106.41</v>
      </c>
      <c r="G14" s="4">
        <v>106.47</v>
      </c>
      <c r="H14" s="5">
        <f>G14/F14-1</f>
        <v>0.0005638567803778471</v>
      </c>
      <c r="I14" s="5">
        <f>G14/E14-1</f>
        <v>0.00320361820408932</v>
      </c>
      <c r="J14" s="5">
        <v>-0.01726218097447796</v>
      </c>
      <c r="K14" s="4">
        <v>29470896000</v>
      </c>
    </row>
    <row r="15" spans="1:11">
      <c r="A15" s="1" t="s">
        <v>77</v>
      </c>
      <c r="B15" s="1" t="s">
        <v>78</v>
      </c>
      <c r="C15" s="1" t="s">
        <v>76</v>
      </c>
      <c r="D15" s="1" t="s">
        <v>76</v>
      </c>
      <c r="E15" s="4">
        <v>120.94</v>
      </c>
      <c r="F15" s="4">
        <v>124.71</v>
      </c>
      <c r="G15" s="4">
        <v>124.5</v>
      </c>
      <c r="H15" s="5">
        <f>G15/F15-1</f>
        <v>-0.0016839066634591893</v>
      </c>
      <c r="I15" s="5">
        <f>G15/E15-1</f>
        <v>0.029436084008599428</v>
      </c>
      <c r="J15" s="5">
        <v>-0.008511673151750943</v>
      </c>
      <c r="K15" s="4">
        <v>67777470323.99999</v>
      </c>
    </row>
    <row r="16" spans="1:11">
      <c r="A16" s="1" t="s">
        <v>79</v>
      </c>
      <c r="B16" s="1" t="s">
        <v>80</v>
      </c>
      <c r="C16" s="1" t="s">
        <v>76</v>
      </c>
      <c r="D16" s="1" t="s">
        <v>76</v>
      </c>
      <c r="E16" s="4">
        <v>14.77</v>
      </c>
      <c r="F16" s="4">
        <v>14.78</v>
      </c>
      <c r="G16" s="4">
        <v>14.79</v>
      </c>
      <c r="H16" s="5">
        <f>G16/F16-1</f>
        <v>0.0006765899864682456</v>
      </c>
      <c r="I16" s="5">
        <f>G16/E16-1</f>
        <v>0.0013540961408260443</v>
      </c>
      <c r="J16" s="5">
        <v>-0.002708192281651978</v>
      </c>
      <c r="K16" s="4">
        <v>10551757337.7</v>
      </c>
    </row>
    <row r="17" spans="1:11">
      <c r="A17" s="1" t="s">
        <v>81</v>
      </c>
      <c r="B17" s="1" t="s">
        <v>82</v>
      </c>
      <c r="C17" s="1" t="s">
        <v>54</v>
      </c>
      <c r="D17" s="1" t="s">
        <v>55</v>
      </c>
      <c r="E17" s="4">
        <v>116.07</v>
      </c>
      <c r="F17" s="4">
        <v>118.36</v>
      </c>
      <c r="G17" s="4">
        <v>117.21</v>
      </c>
      <c r="H17" s="5">
        <f>G17/F17-1</f>
        <v>-0.009716120310915843</v>
      </c>
      <c r="I17" s="5">
        <f>G17/E17-1</f>
        <v>0.009821659343499656</v>
      </c>
      <c r="J17" s="5">
        <v>-0.01988155668358726</v>
      </c>
      <c r="K17" s="4">
        <v>58762447958.58</v>
      </c>
    </row>
    <row r="18" spans="1:11">
      <c r="A18" s="1" t="s">
        <v>83</v>
      </c>
      <c r="B18" s="1" t="s">
        <v>84</v>
      </c>
      <c r="C18" s="1" t="s">
        <v>54</v>
      </c>
      <c r="D18" s="1" t="s">
        <v>55</v>
      </c>
      <c r="E18" s="4">
        <v>76.12</v>
      </c>
      <c r="F18" s="4">
        <v>76.86</v>
      </c>
      <c r="G18" s="4">
        <v>76.20999999999999</v>
      </c>
      <c r="H18" s="5">
        <f>G18/F18-1</f>
        <v>-0.00845693468644293</v>
      </c>
      <c r="I18" s="5">
        <f>G18/E18-1</f>
        <v>0.0011823436678926047</v>
      </c>
      <c r="J18" s="5">
        <v>-0.0193848539674335</v>
      </c>
      <c r="K18" s="4">
        <v>39849688409.49</v>
      </c>
    </row>
    <row r="19" spans="1:11">
      <c r="A19" s="1" t="s">
        <v>85</v>
      </c>
      <c r="B19" s="1" t="s">
        <v>86</v>
      </c>
      <c r="C19" s="1" t="s">
        <v>54</v>
      </c>
      <c r="D19" s="1" t="s">
        <v>55</v>
      </c>
      <c r="E19" s="4">
        <v>284.04</v>
      </c>
      <c r="F19" s="4">
        <v>287.71</v>
      </c>
      <c r="G19" s="4">
        <v>285.74</v>
      </c>
      <c r="H19" s="5">
        <f>G19/F19-1</f>
        <v>-0.006847172500086818</v>
      </c>
      <c r="I19" s="5">
        <f>G19/E19-1</f>
        <v>0.00598507252499636</v>
      </c>
      <c r="J19" s="5">
        <v>-0.02679283213753425</v>
      </c>
      <c r="K19" s="4">
        <v>14093773182.58</v>
      </c>
    </row>
    <row r="20" spans="1:11">
      <c r="A20" s="1" t="s">
        <v>87</v>
      </c>
      <c r="B20" s="1" t="s">
        <v>88</v>
      </c>
      <c r="C20" s="1" t="s">
        <v>54</v>
      </c>
      <c r="D20" s="1" t="s">
        <v>55</v>
      </c>
      <c r="E20" s="4">
        <v>263.81</v>
      </c>
      <c r="F20" s="4">
        <v>266.66</v>
      </c>
      <c r="G20" s="4">
        <v>262.69</v>
      </c>
      <c r="H20" s="5">
        <f>G20/F20-1</f>
        <v>-0.014887872196804985</v>
      </c>
      <c r="I20" s="5">
        <f>G20/E20-1</f>
        <v>-0.004245479701300181</v>
      </c>
      <c r="J20" s="5">
        <v>-0.04353101216956512</v>
      </c>
      <c r="K20" s="4">
        <v>67327447000</v>
      </c>
    </row>
    <row r="21" spans="1:11">
      <c r="A21" s="1" t="s">
        <v>89</v>
      </c>
      <c r="B21" s="1" t="s">
        <v>90</v>
      </c>
      <c r="C21" s="1" t="s">
        <v>41</v>
      </c>
      <c r="D21" s="1" t="s">
        <v>58</v>
      </c>
      <c r="E21" s="4">
        <v>110.42</v>
      </c>
      <c r="F21" s="4">
        <v>106.5</v>
      </c>
      <c r="G21" s="4">
        <v>105.22</v>
      </c>
      <c r="H21" s="5">
        <f>G21/F21-1</f>
        <v>-0.012018779342722996</v>
      </c>
      <c r="I21" s="5">
        <f>G21/E21-1</f>
        <v>-0.04709291794964687</v>
      </c>
      <c r="J21" s="5">
        <v>-0.05528586839266447</v>
      </c>
      <c r="K21" s="4">
        <v>15121861598.98</v>
      </c>
    </row>
    <row r="22" spans="1:11">
      <c r="A22" s="1" t="s">
        <v>91</v>
      </c>
      <c r="B22" s="1" t="s">
        <v>92</v>
      </c>
      <c r="C22" s="1" t="s">
        <v>93</v>
      </c>
      <c r="D22" s="1" t="s">
        <v>93</v>
      </c>
      <c r="E22" s="4">
        <v>143.25</v>
      </c>
      <c r="F22" s="4">
        <v>132.16</v>
      </c>
      <c r="G22" s="4">
        <v>126.28</v>
      </c>
      <c r="H22" s="5">
        <f>G22/F22-1</f>
        <v>-0.044491525423728806</v>
      </c>
      <c r="I22" s="5">
        <f>G22/E22-1</f>
        <v>-0.1184642233856893</v>
      </c>
      <c r="J22" s="5">
        <v>-0.1184642233856893</v>
      </c>
      <c r="K22" s="4">
        <v>14901678597.96</v>
      </c>
    </row>
    <row r="23" spans="1:11">
      <c r="A23" s="1" t="s">
        <v>94</v>
      </c>
      <c r="B23" s="1" t="s">
        <v>95</v>
      </c>
      <c r="C23" s="1" t="s">
        <v>37</v>
      </c>
      <c r="D23" s="1" t="s">
        <v>51</v>
      </c>
      <c r="E23" s="4">
        <v>162.55</v>
      </c>
      <c r="F23" s="4">
        <v>159.855</v>
      </c>
      <c r="G23" s="4">
        <v>158.635</v>
      </c>
      <c r="H23" s="5">
        <f>G23/F23-1</f>
        <v>-0.007631916424259533</v>
      </c>
      <c r="I23" s="5">
        <f>G23/E23-1</f>
        <v>-0.02408489695478322</v>
      </c>
      <c r="J23" s="5">
        <v>-0.04669332513072899</v>
      </c>
      <c r="K23" s="4">
        <v>11269406922.02</v>
      </c>
    </row>
    <row r="24" spans="1:11">
      <c r="A24" s="1" t="s">
        <v>96</v>
      </c>
      <c r="B24" s="1" t="s">
        <v>97</v>
      </c>
      <c r="C24" s="1" t="s">
        <v>54</v>
      </c>
      <c r="D24" s="1" t="s">
        <v>55</v>
      </c>
      <c r="E24" s="4">
        <v>253.83</v>
      </c>
      <c r="F24" s="4">
        <v>263.11</v>
      </c>
      <c r="G24" s="4">
        <v>259.57</v>
      </c>
      <c r="H24" s="5">
        <f>G24/F24-1</f>
        <v>-0.013454448709665279</v>
      </c>
      <c r="I24" s="5">
        <f>G24/E24-1</f>
        <v>0.022613560256864673</v>
      </c>
      <c r="J24" s="5">
        <v>-0.01600397234635809</v>
      </c>
      <c r="K24" s="4">
        <v>65634338081.5</v>
      </c>
    </row>
    <row r="25" spans="1:11">
      <c r="A25" s="1" t="s">
        <v>98</v>
      </c>
      <c r="B25" s="1" t="s">
        <v>99</v>
      </c>
      <c r="C25" s="1" t="s">
        <v>70</v>
      </c>
      <c r="D25" s="1" t="s">
        <v>100</v>
      </c>
      <c r="E25" s="4">
        <v>162.31</v>
      </c>
      <c r="F25" s="4">
        <v>155.56</v>
      </c>
      <c r="G25" s="4">
        <v>157.12</v>
      </c>
      <c r="H25" s="5">
        <f>G25/F25-1</f>
        <v>0.01002828490614549</v>
      </c>
      <c r="I25" s="5">
        <f>G25/E25-1</f>
        <v>-0.03197584868461589</v>
      </c>
      <c r="J25" s="5">
        <v>-0.06646990100227512</v>
      </c>
      <c r="K25" s="4">
        <v>13360979816.32</v>
      </c>
    </row>
    <row r="26" spans="1:11">
      <c r="A26" s="1" t="s">
        <v>101</v>
      </c>
      <c r="B26" s="1" t="s">
        <v>102</v>
      </c>
      <c r="C26" s="1" t="s">
        <v>41</v>
      </c>
      <c r="D26" s="1" t="s">
        <v>63</v>
      </c>
      <c r="E26" s="4">
        <v>492.32</v>
      </c>
      <c r="F26" s="4">
        <v>435.91</v>
      </c>
      <c r="G26" s="4">
        <v>454.71</v>
      </c>
      <c r="H26" s="5">
        <f>G26/F26-1</f>
        <v>0.043128168658667976</v>
      </c>
      <c r="I26" s="5">
        <f>G26/E26-1</f>
        <v>-0.07639340266493344</v>
      </c>
      <c r="J26" s="5">
        <v>-0.1145799480012999</v>
      </c>
      <c r="K26" s="4">
        <v>360856693306.53</v>
      </c>
    </row>
    <row r="27" spans="1:11">
      <c r="A27" s="1" t="s">
        <v>103</v>
      </c>
      <c r="B27" s="1" t="s">
        <v>104</v>
      </c>
      <c r="C27" s="1" t="s">
        <v>93</v>
      </c>
      <c r="D27" s="1" t="s">
        <v>93</v>
      </c>
      <c r="E27" s="4">
        <v>48.59</v>
      </c>
      <c r="F27" s="4">
        <v>45.89</v>
      </c>
      <c r="G27" s="4">
        <v>45.15</v>
      </c>
      <c r="H27" s="5">
        <f>G27/F27-1</f>
        <v>-0.01612551754194813</v>
      </c>
      <c r="I27" s="5">
        <f>G27/E27-1</f>
        <v>-0.07079646017699126</v>
      </c>
      <c r="J27" s="5">
        <v>-0.07079646017699126</v>
      </c>
      <c r="K27" s="4">
        <v>20874907903.5</v>
      </c>
    </row>
    <row r="28" spans="1:11">
      <c r="A28" s="1" t="s">
        <v>105</v>
      </c>
      <c r="B28" s="1" t="s">
        <v>106</v>
      </c>
      <c r="C28" s="1" t="s">
        <v>41</v>
      </c>
      <c r="D28" s="1" t="s">
        <v>63</v>
      </c>
      <c r="E28" s="4">
        <v>473.25</v>
      </c>
      <c r="F28" s="4">
        <v>456.16</v>
      </c>
      <c r="G28" s="4">
        <v>477.57</v>
      </c>
      <c r="H28" s="5">
        <f>G28/F28-1</f>
        <v>0.04693528586460882</v>
      </c>
      <c r="I28" s="5">
        <f>G28/E28-1</f>
        <v>0.009128367670364401</v>
      </c>
      <c r="J28" s="5">
        <v>-0.05150437693635246</v>
      </c>
      <c r="K28" s="4">
        <v>779621105807.9401</v>
      </c>
    </row>
    <row r="29" spans="1:11">
      <c r="A29" s="1" t="s">
        <v>107</v>
      </c>
      <c r="B29" s="1" t="s">
        <v>108</v>
      </c>
      <c r="C29" s="1" t="s">
        <v>70</v>
      </c>
      <c r="D29" s="1" t="s">
        <v>100</v>
      </c>
      <c r="E29" s="4">
        <v>239.55</v>
      </c>
      <c r="F29" s="4">
        <v>234.2</v>
      </c>
      <c r="G29" s="4">
        <v>237.72</v>
      </c>
      <c r="H29" s="5">
        <f>G29/F29-1</f>
        <v>0.015029888983774553</v>
      </c>
      <c r="I29" s="5">
        <f>G29/E29-1</f>
        <v>-0.007639323731997494</v>
      </c>
      <c r="J29" s="5">
        <v>-0.05660685154975531</v>
      </c>
      <c r="K29" s="4">
        <v>54499982923.68</v>
      </c>
    </row>
    <row r="30" spans="1:11">
      <c r="A30" s="1" t="s">
        <v>109</v>
      </c>
      <c r="B30" s="1" t="s">
        <v>110</v>
      </c>
      <c r="C30" s="1" t="s">
        <v>37</v>
      </c>
      <c r="D30" s="1" t="s">
        <v>38</v>
      </c>
      <c r="E30" s="4">
        <v>439.33</v>
      </c>
      <c r="F30" s="4">
        <v>444.12</v>
      </c>
      <c r="G30" s="4">
        <v>437.23</v>
      </c>
      <c r="H30" s="5">
        <f>G30/F30-1</f>
        <v>-0.015513825092317357</v>
      </c>
      <c r="I30" s="5">
        <f>G30/E30-1</f>
        <v>-0.004780005918102459</v>
      </c>
      <c r="J30" s="5">
        <v>-0.03145277577505401</v>
      </c>
      <c r="K30" s="4">
        <v>236380531546.1501</v>
      </c>
    </row>
    <row r="31" spans="1:11">
      <c r="A31" s="1" t="s">
        <v>111</v>
      </c>
      <c r="B31" s="1" t="s">
        <v>112</v>
      </c>
      <c r="C31" s="1" t="s">
        <v>54</v>
      </c>
      <c r="D31" s="1" t="s">
        <v>113</v>
      </c>
      <c r="E31" s="4">
        <v>555.59</v>
      </c>
      <c r="F31" s="4">
        <v>565.08</v>
      </c>
      <c r="G31" s="4">
        <v>560.5599999999999</v>
      </c>
      <c r="H31" s="5">
        <f>G31/F31-1</f>
        <v>-0.007998867417003064</v>
      </c>
      <c r="I31" s="5">
        <f>G31/E31-1</f>
        <v>0.008945445382386064</v>
      </c>
      <c r="J31" s="5">
        <v>-0.03295136599362003</v>
      </c>
      <c r="K31" s="4">
        <v>49516069242.64</v>
      </c>
    </row>
    <row r="32" spans="1:11">
      <c r="A32" s="1" t="s">
        <v>114</v>
      </c>
      <c r="B32" s="1" t="s">
        <v>115</v>
      </c>
      <c r="C32" s="1" t="s">
        <v>116</v>
      </c>
      <c r="D32" s="1" t="s">
        <v>117</v>
      </c>
      <c r="E32" s="4">
        <v>175.8</v>
      </c>
      <c r="F32" s="4">
        <v>177.75</v>
      </c>
      <c r="G32" s="4">
        <v>175.85</v>
      </c>
      <c r="H32" s="5">
        <f>G32/F32-1</f>
        <v>-0.010689170182841101</v>
      </c>
      <c r="I32" s="5">
        <f>G32/E32-1</f>
        <v>0.0002844141069395789</v>
      </c>
      <c r="J32" s="5">
        <v>-0.03164025312202501</v>
      </c>
      <c r="K32" s="4">
        <v>81939074440.79999</v>
      </c>
    </row>
    <row r="33" spans="1:11">
      <c r="A33" s="1" t="s">
        <v>118</v>
      </c>
      <c r="B33" s="1" t="s">
        <v>119</v>
      </c>
      <c r="C33" s="1" t="s">
        <v>47</v>
      </c>
      <c r="D33" s="1" t="s">
        <v>120</v>
      </c>
      <c r="E33" s="4">
        <v>258.63</v>
      </c>
      <c r="F33" s="4">
        <v>258.9</v>
      </c>
      <c r="G33" s="4">
        <v>258.51</v>
      </c>
      <c r="H33" s="5">
        <f>G33/F33-1</f>
        <v>-0.0015063731170334993</v>
      </c>
      <c r="I33" s="5">
        <f>G33/E33-1</f>
        <v>-0.00046398329660135573</v>
      </c>
      <c r="J33" s="5">
        <v>-0.04320084074616226</v>
      </c>
      <c r="K33" s="4">
        <v>2788369921497.72</v>
      </c>
    </row>
    <row r="34" spans="1:11">
      <c r="A34" s="1" t="s">
        <v>121</v>
      </c>
      <c r="B34" s="1" t="s">
        <v>122</v>
      </c>
      <c r="C34" s="1" t="s">
        <v>41</v>
      </c>
      <c r="D34" s="1" t="s">
        <v>42</v>
      </c>
      <c r="E34" s="4">
        <v>188.65</v>
      </c>
      <c r="F34" s="4">
        <v>191.44</v>
      </c>
      <c r="G34" s="4">
        <v>193.78</v>
      </c>
      <c r="H34" s="5">
        <f>G34/F34-1</f>
        <v>0.012223150856665255</v>
      </c>
      <c r="I34" s="5">
        <f>G34/E34-1</f>
        <v>0.027193214948316946</v>
      </c>
      <c r="J34" s="5">
        <v>-0.07985166872682326</v>
      </c>
      <c r="K34" s="4">
        <v>244400112289.44</v>
      </c>
    </row>
    <row r="35" spans="1:11">
      <c r="A35" s="1" t="s">
        <v>123</v>
      </c>
      <c r="B35" s="1" t="s">
        <v>124</v>
      </c>
      <c r="C35" s="1" t="s">
        <v>54</v>
      </c>
      <c r="D35" s="1" t="s">
        <v>55</v>
      </c>
      <c r="E35" s="4">
        <v>355.11</v>
      </c>
      <c r="F35" s="4">
        <v>327</v>
      </c>
      <c r="G35" s="4">
        <v>323.09</v>
      </c>
      <c r="H35" s="5">
        <f>G35/F35-1</f>
        <v>-0.011957186544342635</v>
      </c>
      <c r="I35" s="5">
        <f>G35/E35-1</f>
        <v>-0.09016924333305187</v>
      </c>
      <c r="J35" s="5">
        <v>-0.1046505151768311</v>
      </c>
      <c r="K35" s="4">
        <v>68536154754.79</v>
      </c>
    </row>
    <row r="36" spans="1:11">
      <c r="A36" s="1" t="s">
        <v>125</v>
      </c>
      <c r="B36" s="1" t="s">
        <v>126</v>
      </c>
      <c r="C36" s="1" t="s">
        <v>70</v>
      </c>
      <c r="D36" s="1" t="s">
        <v>100</v>
      </c>
      <c r="E36" s="4">
        <v>63.08</v>
      </c>
      <c r="F36" s="4">
        <v>60.53</v>
      </c>
      <c r="G36" s="4">
        <v>60.48</v>
      </c>
      <c r="H36" s="5">
        <f>G36/F36-1</f>
        <v>-0.0008260366760285409</v>
      </c>
      <c r="I36" s="5">
        <f>G36/E36-1</f>
        <v>-0.041217501585288585</v>
      </c>
      <c r="J36" s="5">
        <v>-0.07276474318325932</v>
      </c>
      <c r="K36" s="4">
        <v>8219750495.04</v>
      </c>
    </row>
    <row r="37" spans="1:11">
      <c r="A37" s="1" t="s">
        <v>127</v>
      </c>
      <c r="B37" s="1" t="s">
        <v>128</v>
      </c>
      <c r="C37" s="1" t="s">
        <v>129</v>
      </c>
      <c r="D37" s="1" t="s">
        <v>129</v>
      </c>
      <c r="E37" s="4">
        <v>43.39</v>
      </c>
      <c r="F37" s="4">
        <v>44.18</v>
      </c>
      <c r="G37" s="4">
        <v>42.77</v>
      </c>
      <c r="H37" s="5">
        <f>G37/F37-1</f>
        <v>-0.031914893617021156</v>
      </c>
      <c r="I37" s="5">
        <f>G37/E37-1</f>
        <v>-0.014289006683567584</v>
      </c>
      <c r="J37" s="5">
        <v>-0.05070292694169165</v>
      </c>
      <c r="K37" s="4">
        <v>14984534082.7</v>
      </c>
    </row>
    <row r="38" spans="1:11">
      <c r="A38" s="1" t="s">
        <v>130</v>
      </c>
      <c r="B38" s="1" t="s">
        <v>131</v>
      </c>
      <c r="C38" s="1" t="s">
        <v>93</v>
      </c>
      <c r="D38" s="1" t="s">
        <v>93</v>
      </c>
      <c r="E38" s="4">
        <v>305.1</v>
      </c>
      <c r="F38" s="4">
        <v>304.22</v>
      </c>
      <c r="G38" s="4">
        <v>301.27</v>
      </c>
      <c r="H38" s="5">
        <f>G38/F38-1</f>
        <v>-0.009696929853395764</v>
      </c>
      <c r="I38" s="5">
        <f>G38/E38-1</f>
        <v>-0.012553261225827783</v>
      </c>
      <c r="J38" s="5">
        <v>-0.0264654559555354</v>
      </c>
      <c r="K38" s="4">
        <v>67089006184.97</v>
      </c>
    </row>
    <row r="39" spans="1:11">
      <c r="A39" s="1" t="s">
        <v>132</v>
      </c>
      <c r="B39" s="1" t="s">
        <v>133</v>
      </c>
      <c r="C39" s="1" t="s">
        <v>41</v>
      </c>
      <c r="D39" s="1" t="s">
        <v>42</v>
      </c>
      <c r="E39" s="4">
        <v>78.505</v>
      </c>
      <c r="F39" s="4">
        <v>82.06999999999999</v>
      </c>
      <c r="G39" s="4">
        <v>82.78</v>
      </c>
      <c r="H39" s="5">
        <f>G39/F39-1</f>
        <v>0.008651151456074091</v>
      </c>
      <c r="I39" s="5">
        <f>G39/E39-1</f>
        <v>0.0544551302464813</v>
      </c>
      <c r="J39" s="5">
        <v>-0.02255545916470436</v>
      </c>
      <c r="K39" s="4">
        <v>204131924599</v>
      </c>
    </row>
    <row r="40" spans="1:11">
      <c r="A40" s="1" t="s">
        <v>134</v>
      </c>
      <c r="B40" s="1" t="s">
        <v>135</v>
      </c>
      <c r="C40" s="1" t="s">
        <v>54</v>
      </c>
      <c r="D40" s="1" t="s">
        <v>113</v>
      </c>
      <c r="E40" s="4">
        <v>132.69</v>
      </c>
      <c r="F40" s="4">
        <v>134.49</v>
      </c>
      <c r="G40" s="4">
        <v>133.67</v>
      </c>
      <c r="H40" s="5">
        <f>G40/F40-1</f>
        <v>-0.006097107591642614</v>
      </c>
      <c r="I40" s="5">
        <f>G40/E40-1</f>
        <v>0.0073856356922148425</v>
      </c>
      <c r="J40" s="5">
        <v>-0.03580319226826778</v>
      </c>
      <c r="K40" s="4">
        <v>78937904063.52998</v>
      </c>
    </row>
    <row r="41" spans="1:11">
      <c r="A41" s="1" t="s">
        <v>136</v>
      </c>
      <c r="B41" s="1" t="s">
        <v>137</v>
      </c>
      <c r="C41" s="1" t="s">
        <v>138</v>
      </c>
      <c r="D41" s="1" t="s">
        <v>139</v>
      </c>
      <c r="E41" s="4">
        <v>305.77</v>
      </c>
      <c r="F41" s="4">
        <v>313.58</v>
      </c>
      <c r="G41" s="4">
        <v>320.56</v>
      </c>
      <c r="H41" s="5">
        <f>G41/F41-1</f>
        <v>0.022259072644939204</v>
      </c>
      <c r="I41" s="5">
        <f>G41/E41-1</f>
        <v>0.04836968963600108</v>
      </c>
      <c r="J41" s="5">
        <v>-0.02348170193282539</v>
      </c>
      <c r="K41" s="4">
        <v>107275724560</v>
      </c>
    </row>
    <row r="42" spans="1:11">
      <c r="A42" s="1" t="s">
        <v>140</v>
      </c>
      <c r="B42" s="1" t="s">
        <v>141</v>
      </c>
      <c r="C42" s="1" t="s">
        <v>47</v>
      </c>
      <c r="D42" s="1" t="s">
        <v>142</v>
      </c>
      <c r="E42" s="4">
        <v>48.28</v>
      </c>
      <c r="F42" s="4">
        <v>46.53</v>
      </c>
      <c r="G42" s="4">
        <v>47.95</v>
      </c>
      <c r="H42" s="5">
        <f>G42/F42-1</f>
        <v>0.030517945411562497</v>
      </c>
      <c r="I42" s="5">
        <f>G42/E42-1</f>
        <v>-0.0068351284175641736</v>
      </c>
      <c r="J42" s="5">
        <v>-0.07290803645401833</v>
      </c>
      <c r="K42" s="4">
        <v>9956018221.450001</v>
      </c>
    </row>
    <row r="43" spans="1:11">
      <c r="A43" s="1" t="s">
        <v>143</v>
      </c>
      <c r="B43" s="1" t="s">
        <v>144</v>
      </c>
      <c r="C43" s="1" t="s">
        <v>116</v>
      </c>
      <c r="D43" s="1" t="s">
        <v>117</v>
      </c>
      <c r="E43" s="4">
        <v>53.49</v>
      </c>
      <c r="F43" s="4">
        <v>52.69</v>
      </c>
      <c r="G43" s="4">
        <v>52.65</v>
      </c>
      <c r="H43" s="5">
        <f>G43/F43-1</f>
        <v>-0.0007591573353576964</v>
      </c>
      <c r="I43" s="5">
        <f>G43/E43-1</f>
        <v>-0.015703869882221055</v>
      </c>
      <c r="J43" s="5">
        <v>-0.05088823094004447</v>
      </c>
      <c r="K43" s="4">
        <v>9174134560.499998</v>
      </c>
    </row>
    <row r="44" spans="1:11">
      <c r="A44" s="1" t="s">
        <v>145</v>
      </c>
      <c r="B44" s="1" t="s">
        <v>146</v>
      </c>
      <c r="C44" s="1" t="s">
        <v>54</v>
      </c>
      <c r="D44" s="1" t="s">
        <v>113</v>
      </c>
      <c r="E44" s="4">
        <v>141.25</v>
      </c>
      <c r="F44" s="4">
        <v>141.52</v>
      </c>
      <c r="G44" s="4">
        <v>140.15</v>
      </c>
      <c r="H44" s="5">
        <f>G44/F44-1</f>
        <v>-0.009680610514414933</v>
      </c>
      <c r="I44" s="5">
        <f>G44/E44-1</f>
        <v>-0.0077876106194689765</v>
      </c>
      <c r="J44" s="5">
        <v>-0.03569183488160921</v>
      </c>
      <c r="K44" s="4">
        <v>46498398972.05</v>
      </c>
    </row>
    <row r="45" spans="1:11">
      <c r="A45" s="1" t="s">
        <v>147</v>
      </c>
      <c r="B45" s="1" t="s">
        <v>148</v>
      </c>
      <c r="C45" s="1" t="s">
        <v>76</v>
      </c>
      <c r="D45" s="1" t="s">
        <v>76</v>
      </c>
      <c r="E45" s="4">
        <v>166.85</v>
      </c>
      <c r="F45" s="4">
        <v>169.12</v>
      </c>
      <c r="G45" s="4">
        <v>167.56</v>
      </c>
      <c r="H45" s="5">
        <f>G45/F45-1</f>
        <v>-0.009224219489120111</v>
      </c>
      <c r="I45" s="5">
        <f>G45/E45-1</f>
        <v>0.004255319148936287</v>
      </c>
      <c r="J45" s="5">
        <v>-0.01965065502183416</v>
      </c>
      <c r="K45" s="4">
        <v>28315721940.68</v>
      </c>
    </row>
    <row r="46" spans="1:11">
      <c r="A46" s="1" t="s">
        <v>149</v>
      </c>
      <c r="B46" s="1" t="s">
        <v>150</v>
      </c>
      <c r="C46" s="1" t="s">
        <v>41</v>
      </c>
      <c r="D46" s="1" t="s">
        <v>63</v>
      </c>
      <c r="E46" s="4">
        <v>368.45</v>
      </c>
      <c r="F46" s="4">
        <v>357.16</v>
      </c>
      <c r="G46" s="4">
        <v>357.895</v>
      </c>
      <c r="H46" s="5">
        <f>G46/F46-1</f>
        <v>0.0020579012207413427</v>
      </c>
      <c r="I46" s="5">
        <f>G46/E46-1</f>
        <v>-0.0286470348758312</v>
      </c>
      <c r="J46" s="5">
        <v>-0.03870377348333964</v>
      </c>
      <c r="K46" s="4">
        <v>1702714164963.21</v>
      </c>
    </row>
    <row r="47" spans="1:11">
      <c r="A47" s="1" t="s">
        <v>151</v>
      </c>
      <c r="B47" s="1" t="s">
        <v>152</v>
      </c>
      <c r="C47" s="1" t="s">
        <v>93</v>
      </c>
      <c r="D47" s="1" t="s">
        <v>93</v>
      </c>
      <c r="E47" s="4">
        <v>183.71</v>
      </c>
      <c r="F47" s="4">
        <v>173.03</v>
      </c>
      <c r="G47" s="4">
        <v>175.06</v>
      </c>
      <c r="H47" s="5">
        <f>G47/F47-1</f>
        <v>0.01173206958330919</v>
      </c>
      <c r="I47" s="5">
        <f>G47/E47-1</f>
        <v>-0.04708507974525067</v>
      </c>
      <c r="J47" s="5">
        <v>-0.05813510424037893</v>
      </c>
      <c r="K47" s="4">
        <v>13267472138.52</v>
      </c>
    </row>
    <row r="48" spans="1:11">
      <c r="A48" s="1" t="s">
        <v>153</v>
      </c>
      <c r="B48" s="1" t="s">
        <v>154</v>
      </c>
      <c r="C48" s="1" t="s">
        <v>76</v>
      </c>
      <c r="D48" s="1" t="s">
        <v>76</v>
      </c>
      <c r="E48" s="4">
        <v>135.39</v>
      </c>
      <c r="F48" s="4">
        <v>140.89</v>
      </c>
      <c r="G48" s="4">
        <v>140.7</v>
      </c>
      <c r="H48" s="5">
        <f>G48/F48-1</f>
        <v>-0.0013485698062317697</v>
      </c>
      <c r="I48" s="5">
        <f>G48/E48-1</f>
        <v>0.03922003102149341</v>
      </c>
      <c r="J48" s="5">
        <v>-0.02301479522550209</v>
      </c>
      <c r="K48" s="4">
        <v>27961056895.8</v>
      </c>
    </row>
    <row r="49" spans="1:11">
      <c r="A49" s="1" t="s">
        <v>155</v>
      </c>
      <c r="B49" s="1" t="s">
        <v>156</v>
      </c>
      <c r="C49" s="1" t="s">
        <v>70</v>
      </c>
      <c r="D49" s="1" t="s">
        <v>100</v>
      </c>
      <c r="E49" s="4">
        <v>627.75</v>
      </c>
      <c r="F49" s="4">
        <v>538.15</v>
      </c>
      <c r="G49" s="4">
        <v>515.67</v>
      </c>
      <c r="H49" s="5">
        <f>G49/F49-1</f>
        <v>-0.041772739942395276</v>
      </c>
      <c r="I49" s="5">
        <f>G49/E49-1</f>
        <v>-0.1785424133811231</v>
      </c>
      <c r="J49" s="5">
        <v>-0.1923855037833532</v>
      </c>
      <c r="K49" s="4">
        <v>41891697793.05</v>
      </c>
    </row>
    <row r="50" spans="1:11">
      <c r="A50" s="1" t="s">
        <v>157</v>
      </c>
      <c r="B50" s="1" t="s">
        <v>158</v>
      </c>
      <c r="C50" s="1" t="s">
        <v>54</v>
      </c>
      <c r="D50" s="1" t="s">
        <v>113</v>
      </c>
      <c r="E50" s="4">
        <v>336</v>
      </c>
      <c r="F50" s="4">
        <v>329.82</v>
      </c>
      <c r="G50" s="4">
        <v>326.16</v>
      </c>
      <c r="H50" s="5">
        <f>G50/F50-1</f>
        <v>-0.011096961979261355</v>
      </c>
      <c r="I50" s="5">
        <f>G50/E50-1</f>
        <v>-0.02928571428571425</v>
      </c>
      <c r="J50" s="5">
        <v>-0.03895295408057386</v>
      </c>
      <c r="K50" s="4">
        <v>220259055131.28</v>
      </c>
    </row>
    <row r="51" spans="1:11">
      <c r="A51" s="1" t="s">
        <v>159</v>
      </c>
      <c r="B51" s="1" t="s">
        <v>160</v>
      </c>
      <c r="C51" s="1" t="s">
        <v>47</v>
      </c>
      <c r="D51" s="1" t="s">
        <v>120</v>
      </c>
      <c r="E51" s="4">
        <v>2957.95</v>
      </c>
      <c r="F51" s="4">
        <v>2968.04</v>
      </c>
      <c r="G51" s="4">
        <v>2983.29</v>
      </c>
      <c r="H51" s="5">
        <f>G51/F51-1</f>
        <v>0.005138070915486237</v>
      </c>
      <c r="I51" s="5">
        <f>G51/E51-1</f>
        <v>0.008566743859767856</v>
      </c>
      <c r="J51" s="5">
        <v>-0.03138398726274561</v>
      </c>
      <c r="K51" s="4">
        <v>48703268317.95</v>
      </c>
    </row>
    <row r="52" spans="1:11">
      <c r="A52" s="1" t="s">
        <v>161</v>
      </c>
      <c r="B52" s="1" t="s">
        <v>162</v>
      </c>
      <c r="C52" s="1" t="s">
        <v>70</v>
      </c>
      <c r="D52" s="1" t="s">
        <v>100</v>
      </c>
      <c r="E52" s="4">
        <v>214.2</v>
      </c>
      <c r="F52" s="4">
        <v>210.51</v>
      </c>
      <c r="G52" s="4">
        <v>212.25</v>
      </c>
      <c r="H52" s="5">
        <f>G52/F52-1</f>
        <v>0.008265640587145517</v>
      </c>
      <c r="I52" s="5">
        <f>G52/E52-1</f>
        <v>-0.0091036414565826</v>
      </c>
      <c r="J52" s="5">
        <v>-0.0398692810457516</v>
      </c>
      <c r="K52" s="4">
        <v>167756036745</v>
      </c>
    </row>
    <row r="53" spans="1:11">
      <c r="A53" s="1" t="s">
        <v>163</v>
      </c>
      <c r="B53" s="1" t="s">
        <v>164</v>
      </c>
      <c r="C53" s="1" t="s">
        <v>54</v>
      </c>
      <c r="D53" s="1" t="s">
        <v>165</v>
      </c>
      <c r="E53" s="4">
        <v>61.69</v>
      </c>
      <c r="F53" s="4">
        <v>63.04</v>
      </c>
      <c r="G53" s="4">
        <v>62.68</v>
      </c>
      <c r="H53" s="5">
        <f>G53/F53-1</f>
        <v>-0.005710659898477188</v>
      </c>
      <c r="I53" s="5">
        <f>G53/E53-1</f>
        <v>0.01604798184470746</v>
      </c>
      <c r="J53" s="5">
        <v>-0.02018260451705911</v>
      </c>
      <c r="K53" s="4">
        <v>438305467518.2001</v>
      </c>
    </row>
    <row r="54" spans="1:11">
      <c r="A54" s="1" t="s">
        <v>166</v>
      </c>
      <c r="B54" s="1" t="s">
        <v>167</v>
      </c>
      <c r="C54" s="1" t="s">
        <v>93</v>
      </c>
      <c r="D54" s="1" t="s">
        <v>93</v>
      </c>
      <c r="E54" s="4">
        <v>63.59</v>
      </c>
      <c r="F54" s="4">
        <v>62.93</v>
      </c>
      <c r="G54" s="4">
        <v>62.67</v>
      </c>
      <c r="H54" s="5">
        <f>G54/F54-1</f>
        <v>-0.0041315747656125446</v>
      </c>
      <c r="I54" s="5">
        <f>G54/E54-1</f>
        <v>-0.014467683598050063</v>
      </c>
      <c r="J54" s="5">
        <v>-0.02716547656007451</v>
      </c>
      <c r="K54" s="4">
        <v>16589045617.11</v>
      </c>
    </row>
    <row r="55" spans="1:11">
      <c r="A55" s="1" t="s">
        <v>168</v>
      </c>
      <c r="B55" s="1" t="s">
        <v>169</v>
      </c>
      <c r="C55" s="1" t="s">
        <v>37</v>
      </c>
      <c r="D55" s="1" t="s">
        <v>51</v>
      </c>
      <c r="E55" s="4">
        <v>26.34</v>
      </c>
      <c r="F55" s="4">
        <v>25.57</v>
      </c>
      <c r="G55" s="4">
        <v>25.83</v>
      </c>
      <c r="H55" s="5">
        <f>G55/F55-1</f>
        <v>0.010168165819319341</v>
      </c>
      <c r="I55" s="5">
        <f>G55/E55-1</f>
        <v>-0.019362186788154934</v>
      </c>
      <c r="J55" s="5">
        <v>-0.03849056603773582</v>
      </c>
      <c r="K55" s="4">
        <v>13354006654.17</v>
      </c>
    </row>
    <row r="56" spans="1:11">
      <c r="A56" s="1" t="s">
        <v>170</v>
      </c>
      <c r="B56" s="1" t="s">
        <v>171</v>
      </c>
      <c r="C56" s="1" t="s">
        <v>47</v>
      </c>
      <c r="D56" s="1" t="s">
        <v>120</v>
      </c>
      <c r="E56" s="4">
        <v>85.89</v>
      </c>
      <c r="F56" s="4">
        <v>87.48999999999999</v>
      </c>
      <c r="G56" s="4">
        <v>90.27</v>
      </c>
      <c r="H56" s="5">
        <f>G56/F56-1</f>
        <v>0.031775060006858036</v>
      </c>
      <c r="I56" s="5">
        <f>G56/E56-1</f>
        <v>0.050995459308417646</v>
      </c>
      <c r="J56" s="5">
        <v>-0.0837905807041609</v>
      </c>
      <c r="K56" s="4">
        <v>18932119298.46</v>
      </c>
    </row>
    <row r="57" spans="1:11">
      <c r="A57" s="1" t="s">
        <v>172</v>
      </c>
      <c r="B57" s="1" t="s">
        <v>173</v>
      </c>
      <c r="C57" s="1" t="s">
        <v>37</v>
      </c>
      <c r="D57" s="1" t="s">
        <v>51</v>
      </c>
      <c r="E57" s="4">
        <v>192</v>
      </c>
      <c r="F57" s="4">
        <v>187.62</v>
      </c>
      <c r="G57" s="4">
        <v>184.74</v>
      </c>
      <c r="H57" s="5">
        <f>G57/F57-1</f>
        <v>-0.015350175887432038</v>
      </c>
      <c r="I57" s="5">
        <f>G57/E57-1</f>
        <v>-0.037812499999999916</v>
      </c>
      <c r="J57" s="5">
        <v>-0.03781249999999992</v>
      </c>
      <c r="K57" s="4">
        <v>50320737432</v>
      </c>
    </row>
    <row r="58" spans="1:11">
      <c r="A58" s="1" t="s">
        <v>174</v>
      </c>
      <c r="B58" s="1" t="s">
        <v>175</v>
      </c>
      <c r="C58" s="1" t="s">
        <v>54</v>
      </c>
      <c r="D58" s="1" t="s">
        <v>113</v>
      </c>
      <c r="E58" s="4">
        <v>34.31</v>
      </c>
      <c r="F58" s="4">
        <v>33.55</v>
      </c>
      <c r="G58" s="4">
        <v>34.73</v>
      </c>
      <c r="H58" s="5">
        <f>G58/F58-1</f>
        <v>0.03517138599105807</v>
      </c>
      <c r="I58" s="5">
        <f>G58/E58-1</f>
        <v>0.012241329058583439</v>
      </c>
      <c r="J58" s="5">
        <v>-0.05766485869254934</v>
      </c>
      <c r="K58" s="4">
        <v>17645511084.3</v>
      </c>
    </row>
    <row r="59" spans="1:11">
      <c r="A59" s="1" t="s">
        <v>176</v>
      </c>
      <c r="B59" s="1" t="s">
        <v>177</v>
      </c>
      <c r="C59" s="1" t="s">
        <v>66</v>
      </c>
      <c r="D59" s="1" t="s">
        <v>67</v>
      </c>
      <c r="E59" s="4">
        <v>28.44</v>
      </c>
      <c r="F59" s="4">
        <v>27.51</v>
      </c>
      <c r="G59" s="4">
        <v>26.73</v>
      </c>
      <c r="H59" s="5">
        <f>G59/F59-1</f>
        <v>-0.028353326063249806</v>
      </c>
      <c r="I59" s="5">
        <f>G59/E59-1</f>
        <v>-0.060126582278481</v>
      </c>
      <c r="J59" s="5">
        <v>-0.08313043478260873</v>
      </c>
      <c r="K59" s="4">
        <v>12332834143.05</v>
      </c>
    </row>
    <row r="60" spans="1:11">
      <c r="A60" s="1" t="s">
        <v>178</v>
      </c>
      <c r="B60" s="1" t="s">
        <v>179</v>
      </c>
      <c r="C60" s="1" t="s">
        <v>66</v>
      </c>
      <c r="D60" s="1" t="s">
        <v>67</v>
      </c>
      <c r="E60" s="4">
        <v>113.11</v>
      </c>
      <c r="F60" s="4">
        <v>120.12</v>
      </c>
      <c r="G60" s="4">
        <v>118.71</v>
      </c>
      <c r="H60" s="5">
        <f>G60/F60-1</f>
        <v>-0.011738261738261868</v>
      </c>
      <c r="I60" s="5">
        <f>G60/E60-1</f>
        <v>0.04950932720360712</v>
      </c>
      <c r="J60" s="5">
        <v>-0.03377828422594831</v>
      </c>
      <c r="K60" s="4">
        <v>22806461091.33</v>
      </c>
    </row>
    <row r="61" spans="1:11">
      <c r="A61" s="1" t="s">
        <v>180</v>
      </c>
      <c r="B61" s="1" t="s">
        <v>181</v>
      </c>
      <c r="C61" s="1" t="s">
        <v>37</v>
      </c>
      <c r="D61" s="1" t="s">
        <v>38</v>
      </c>
      <c r="E61" s="4">
        <v>216.78</v>
      </c>
      <c r="F61" s="4">
        <v>224.51</v>
      </c>
      <c r="G61" s="4">
        <v>220.83</v>
      </c>
      <c r="H61" s="5">
        <f>G61/F61-1</f>
        <v>-0.016391252060041772</v>
      </c>
      <c r="I61" s="5">
        <f>G61/E61-1</f>
        <v>0.01868253528923347</v>
      </c>
      <c r="J61" s="5">
        <v>-0.02465011286681718</v>
      </c>
      <c r="K61" s="4">
        <v>32628515378.34</v>
      </c>
    </row>
    <row r="62" spans="1:11">
      <c r="A62" s="1" t="s">
        <v>182</v>
      </c>
      <c r="B62" s="1" t="s">
        <v>183</v>
      </c>
      <c r="C62" s="1" t="s">
        <v>47</v>
      </c>
      <c r="D62" s="1" t="s">
        <v>48</v>
      </c>
      <c r="E62" s="4">
        <v>209.62</v>
      </c>
      <c r="F62" s="4">
        <v>195.13</v>
      </c>
      <c r="G62" s="4">
        <v>193.29</v>
      </c>
      <c r="H62" s="5">
        <f>G62/F62-1</f>
        <v>-0.009429611028545115</v>
      </c>
      <c r="I62" s="5">
        <f>G62/E62-1</f>
        <v>-0.07790287186337186</v>
      </c>
      <c r="J62" s="5">
        <v>-0.09584619702497899</v>
      </c>
      <c r="K62" s="4">
        <v>145234336845</v>
      </c>
    </row>
    <row r="63" spans="1:11">
      <c r="A63" s="1" t="s">
        <v>184</v>
      </c>
      <c r="B63" s="1" t="s">
        <v>185</v>
      </c>
      <c r="C63" s="1" t="s">
        <v>129</v>
      </c>
      <c r="D63" s="1" t="s">
        <v>129</v>
      </c>
      <c r="E63" s="4">
        <v>62.34</v>
      </c>
      <c r="F63" s="4">
        <v>63.64</v>
      </c>
      <c r="G63" s="4">
        <v>63.5</v>
      </c>
      <c r="H63" s="5">
        <f>G63/F63-1</f>
        <v>-0.0021998742928975856</v>
      </c>
      <c r="I63" s="5">
        <f>G63/E63-1</f>
        <v>0.01860763554700018</v>
      </c>
      <c r="J63" s="5">
        <v>-0.01748414049203151</v>
      </c>
      <c r="K63" s="4">
        <v>63034803508.5</v>
      </c>
    </row>
    <row r="64" spans="1:11">
      <c r="A64" s="1" t="s">
        <v>186</v>
      </c>
      <c r="B64" s="1" t="s">
        <v>187</v>
      </c>
      <c r="C64" s="1" t="s">
        <v>70</v>
      </c>
      <c r="D64" s="1" t="s">
        <v>100</v>
      </c>
      <c r="E64" s="4">
        <v>70.20999999999999</v>
      </c>
      <c r="F64" s="4">
        <v>64.18000000000001</v>
      </c>
      <c r="G64" s="4">
        <v>65.79000000000001</v>
      </c>
      <c r="H64" s="5">
        <f>G64/F64-1</f>
        <v>0.025085696478653885</v>
      </c>
      <c r="I64" s="5">
        <f>G64/E64-1</f>
        <v>-0.06295399515738487</v>
      </c>
      <c r="J64" s="5">
        <v>-0.1058103104528624</v>
      </c>
      <c r="K64" s="4">
        <v>7078770906.030001</v>
      </c>
    </row>
    <row r="65" spans="1:11">
      <c r="A65" s="1" t="s">
        <v>188</v>
      </c>
      <c r="B65" s="1" t="s">
        <v>189</v>
      </c>
      <c r="C65" s="1" t="s">
        <v>54</v>
      </c>
      <c r="D65" s="1" t="s">
        <v>113</v>
      </c>
      <c r="E65" s="4">
        <v>1156.55</v>
      </c>
      <c r="F65" s="4">
        <v>1126.15</v>
      </c>
      <c r="G65" s="4">
        <v>1122.29</v>
      </c>
      <c r="H65" s="5">
        <f>G65/F65-1</f>
        <v>-0.0034276073347245806</v>
      </c>
      <c r="I65" s="5">
        <f>G65/E65-1</f>
        <v>-0.02962258441053134</v>
      </c>
      <c r="J65" s="5">
        <v>-0.05911748708186038</v>
      </c>
      <c r="K65" s="4">
        <v>183159677417.73</v>
      </c>
    </row>
    <row r="66" spans="1:11">
      <c r="A66" s="1" t="s">
        <v>190</v>
      </c>
      <c r="B66" s="1" t="s">
        <v>191</v>
      </c>
      <c r="C66" s="1" t="s">
        <v>37</v>
      </c>
      <c r="D66" s="1" t="s">
        <v>38</v>
      </c>
      <c r="E66" s="4">
        <v>67.01000000000001</v>
      </c>
      <c r="F66" s="4">
        <v>68.09</v>
      </c>
      <c r="G66" s="4">
        <v>66.81999999999999</v>
      </c>
      <c r="H66" s="5">
        <f>G66/F66-1</f>
        <v>-0.018651784402996197</v>
      </c>
      <c r="I66" s="5">
        <f>G66/E66-1</f>
        <v>-0.002835397701835718</v>
      </c>
      <c r="J66" s="5">
        <v>-0.01972909305064785</v>
      </c>
      <c r="K66" s="4">
        <v>136494193313.92</v>
      </c>
    </row>
    <row r="67" spans="1:11">
      <c r="A67" s="1" t="s">
        <v>192</v>
      </c>
      <c r="B67" s="1" t="s">
        <v>193</v>
      </c>
      <c r="C67" s="1" t="s">
        <v>54</v>
      </c>
      <c r="D67" s="1" t="s">
        <v>113</v>
      </c>
      <c r="E67" s="4">
        <v>158.49</v>
      </c>
      <c r="F67" s="4">
        <v>164.33</v>
      </c>
      <c r="G67" s="4">
        <v>164.84</v>
      </c>
      <c r="H67" s="5">
        <f>G67/F67-1</f>
        <v>0.003103511227408262</v>
      </c>
      <c r="I67" s="5">
        <f>G67/E67-1</f>
        <v>0.0400656192819735</v>
      </c>
      <c r="J67" s="5">
        <v>-0.01918728994805996</v>
      </c>
      <c r="K67" s="4">
        <v>111844622767.28</v>
      </c>
    </row>
    <row r="68" spans="1:11">
      <c r="A68" s="1" t="s">
        <v>194</v>
      </c>
      <c r="B68" s="1" t="s">
        <v>195</v>
      </c>
      <c r="C68" s="1" t="s">
        <v>70</v>
      </c>
      <c r="D68" s="1" t="s">
        <v>71</v>
      </c>
      <c r="E68" s="4">
        <v>182.18</v>
      </c>
      <c r="F68" s="4">
        <v>178.91</v>
      </c>
      <c r="G68" s="4">
        <v>172.88</v>
      </c>
      <c r="H68" s="5">
        <f>G68/F68-1</f>
        <v>-0.03370409703202726</v>
      </c>
      <c r="I68" s="5">
        <f>G68/E68-1</f>
        <v>-0.051048413656823</v>
      </c>
      <c r="J68" s="5">
        <v>-0.06778107306551628</v>
      </c>
      <c r="K68" s="4">
        <v>19712088438.24</v>
      </c>
    </row>
    <row r="69" spans="1:11">
      <c r="A69" s="1" t="s">
        <v>196</v>
      </c>
      <c r="B69" s="1" t="s">
        <v>197</v>
      </c>
      <c r="C69" s="1" t="s">
        <v>54</v>
      </c>
      <c r="D69" s="1" t="s">
        <v>113</v>
      </c>
      <c r="E69" s="4">
        <v>495.82</v>
      </c>
      <c r="F69" s="4">
        <v>508.13</v>
      </c>
      <c r="G69" s="4">
        <v>506.03</v>
      </c>
      <c r="H69" s="5">
        <f>G69/F69-1</f>
        <v>-0.004132800661248104</v>
      </c>
      <c r="I69" s="5">
        <f>G69/E69-1</f>
        <v>0.020592150377152896</v>
      </c>
      <c r="J69" s="5">
        <v>-0.005287128712871292</v>
      </c>
      <c r="K69" s="4">
        <v>1078490647322.31</v>
      </c>
    </row>
    <row r="70" spans="1:11">
      <c r="A70" s="1" t="s">
        <v>198</v>
      </c>
      <c r="B70" s="1" t="s">
        <v>199</v>
      </c>
      <c r="C70" s="1" t="s">
        <v>54</v>
      </c>
      <c r="D70" s="1" t="s">
        <v>55</v>
      </c>
      <c r="E70" s="4">
        <v>72.92</v>
      </c>
      <c r="F70" s="4">
        <v>72.56</v>
      </c>
      <c r="G70" s="4">
        <v>71.42</v>
      </c>
      <c r="H70" s="5">
        <f>G70/F70-1</f>
        <v>-0.0157111356119074</v>
      </c>
      <c r="I70" s="5">
        <f>G70/E70-1</f>
        <v>-0.0205704882062534</v>
      </c>
      <c r="J70" s="5">
        <v>-0.04328598231037262</v>
      </c>
      <c r="K70" s="4">
        <v>23897871696.94</v>
      </c>
    </row>
    <row r="71" spans="1:11">
      <c r="A71" s="1" t="s">
        <v>200</v>
      </c>
      <c r="B71" s="1" t="s">
        <v>201</v>
      </c>
      <c r="C71" s="1" t="s">
        <v>37</v>
      </c>
      <c r="D71" s="1" t="s">
        <v>51</v>
      </c>
      <c r="E71" s="4">
        <v>50.37</v>
      </c>
      <c r="F71" s="4">
        <v>46.95</v>
      </c>
      <c r="G71" s="4">
        <v>47.8</v>
      </c>
      <c r="H71" s="5">
        <f>G71/F71-1</f>
        <v>0.018104366347177825</v>
      </c>
      <c r="I71" s="5">
        <f>G71/E71-1</f>
        <v>-0.05102243398848527</v>
      </c>
      <c r="J71" s="5">
        <v>-0.07345642247369455</v>
      </c>
      <c r="K71" s="4">
        <v>69273171342.79999</v>
      </c>
    </row>
    <row r="72" spans="1:11">
      <c r="A72" s="1" t="s">
        <v>202</v>
      </c>
      <c r="B72" s="1" t="s">
        <v>203</v>
      </c>
      <c r="C72" s="1" t="s">
        <v>54</v>
      </c>
      <c r="D72" s="1" t="s">
        <v>113</v>
      </c>
      <c r="E72" s="4">
        <v>143.38</v>
      </c>
      <c r="F72" s="4">
        <v>137.68</v>
      </c>
      <c r="G72" s="4">
        <v>136.15</v>
      </c>
      <c r="H72" s="5">
        <f>G72/F72-1</f>
        <v>-0.011112725159790782</v>
      </c>
      <c r="I72" s="5">
        <f>G72/E72-1</f>
        <v>-0.05042544287906259</v>
      </c>
      <c r="J72" s="5">
        <v>-0.05214424951267038</v>
      </c>
      <c r="K72" s="4">
        <v>168959635037.2</v>
      </c>
    </row>
    <row r="73" spans="1:11">
      <c r="A73" s="1" t="s">
        <v>204</v>
      </c>
      <c r="B73" s="1" t="s">
        <v>205</v>
      </c>
      <c r="C73" s="1" t="s">
        <v>116</v>
      </c>
      <c r="D73" s="1" t="s">
        <v>117</v>
      </c>
      <c r="E73" s="4">
        <v>67.67</v>
      </c>
      <c r="F73" s="4">
        <v>68.23</v>
      </c>
      <c r="G73" s="4">
        <v>67.69</v>
      </c>
      <c r="H73" s="5">
        <f>G73/F73-1</f>
        <v>-0.007914407152279201</v>
      </c>
      <c r="I73" s="5">
        <f>G73/E73-1</f>
        <v>0.0002955519432539244</v>
      </c>
      <c r="J73" s="5">
        <v>-0.0702897546097323</v>
      </c>
      <c r="K73" s="4">
        <v>10807490725.64</v>
      </c>
    </row>
    <row r="74" spans="1:11">
      <c r="A74" s="1" t="s">
        <v>206</v>
      </c>
      <c r="B74" s="1" t="s">
        <v>207</v>
      </c>
      <c r="C74" s="1" t="s">
        <v>54</v>
      </c>
      <c r="D74" s="1" t="s">
        <v>165</v>
      </c>
      <c r="E74" s="4">
        <v>131.65</v>
      </c>
      <c r="F74" s="4">
        <v>138.14</v>
      </c>
      <c r="G74" s="4">
        <v>137.72</v>
      </c>
      <c r="H74" s="5">
        <f>G74/F74-1</f>
        <v>-0.003040393803387831</v>
      </c>
      <c r="I74" s="5">
        <f>G74/E74-1</f>
        <v>0.04610710216483094</v>
      </c>
      <c r="J74" s="5">
        <v>-0.01452530697813714</v>
      </c>
      <c r="K74" s="4">
        <v>231016593754.76</v>
      </c>
    </row>
    <row r="75" spans="1:11">
      <c r="A75" s="1" t="s">
        <v>208</v>
      </c>
      <c r="B75" s="1" t="s">
        <v>209</v>
      </c>
      <c r="C75" s="1" t="s">
        <v>37</v>
      </c>
      <c r="D75" s="1" t="s">
        <v>51</v>
      </c>
      <c r="E75" s="4">
        <v>229.51</v>
      </c>
      <c r="F75" s="4">
        <v>248.61</v>
      </c>
      <c r="G75" s="4">
        <v>247.18</v>
      </c>
      <c r="H75" s="5">
        <f>G75/F75-1</f>
        <v>-0.005751981014440299</v>
      </c>
      <c r="I75" s="5">
        <f>G75/E75-1</f>
        <v>0.07699010936342643</v>
      </c>
      <c r="J75" s="5">
        <v>-0.0161493288590604</v>
      </c>
      <c r="K75" s="4">
        <v>57488068447.04</v>
      </c>
    </row>
    <row r="76" spans="1:11">
      <c r="A76" s="1" t="s">
        <v>210</v>
      </c>
      <c r="B76" s="1" t="s">
        <v>211</v>
      </c>
      <c r="C76" s="1" t="s">
        <v>70</v>
      </c>
      <c r="D76" s="1" t="s">
        <v>100</v>
      </c>
      <c r="E76" s="4">
        <v>60.37</v>
      </c>
      <c r="F76" s="4">
        <v>59.08</v>
      </c>
      <c r="G76" s="4">
        <v>59.71</v>
      </c>
      <c r="H76" s="5">
        <f>G76/F76-1</f>
        <v>0.010663507109004877</v>
      </c>
      <c r="I76" s="5">
        <f>G76/E76-1</f>
        <v>-0.01093258240848094</v>
      </c>
      <c r="J76" s="5">
        <v>-0.05168129865827398</v>
      </c>
      <c r="K76" s="4">
        <v>49220449153.47</v>
      </c>
    </row>
    <row r="77" spans="1:11">
      <c r="A77" s="1" t="s">
        <v>212</v>
      </c>
      <c r="B77" s="1" t="s">
        <v>213</v>
      </c>
      <c r="C77" s="1" t="s">
        <v>66</v>
      </c>
      <c r="D77" s="1" t="s">
        <v>214</v>
      </c>
      <c r="E77" s="4">
        <v>835.74</v>
      </c>
      <c r="F77" s="4">
        <v>758.42</v>
      </c>
      <c r="G77" s="4">
        <v>756.09</v>
      </c>
      <c r="H77" s="5">
        <f>G77/F77-1</f>
        <v>-0.003072176366656909</v>
      </c>
      <c r="I77" s="5">
        <f>G77/E77-1</f>
        <v>-0.09530475985354292</v>
      </c>
      <c r="J77" s="5">
        <v>-0.1194085763453951</v>
      </c>
      <c r="K77" s="4">
        <v>27979045426.26</v>
      </c>
    </row>
    <row r="78" spans="1:11">
      <c r="A78" s="1" t="s">
        <v>215</v>
      </c>
      <c r="B78" s="1" t="s">
        <v>216</v>
      </c>
      <c r="C78" s="1" t="s">
        <v>70</v>
      </c>
      <c r="D78" s="1" t="s">
        <v>100</v>
      </c>
      <c r="E78" s="4">
        <v>827.9</v>
      </c>
      <c r="F78" s="4">
        <v>800.14</v>
      </c>
      <c r="G78" s="4">
        <v>813.9400000000001</v>
      </c>
      <c r="H78" s="5">
        <f>G78/F78-1</f>
        <v>0.01724698177818884</v>
      </c>
      <c r="I78" s="5">
        <f>G78/E78-1</f>
        <v>-0.016861939847807594</v>
      </c>
      <c r="J78" s="5">
        <v>-0.0588718444256553</v>
      </c>
      <c r="K78" s="4">
        <v>374147779152.66</v>
      </c>
    </row>
    <row r="79" spans="1:11">
      <c r="A79" s="1" t="s">
        <v>217</v>
      </c>
      <c r="B79" s="1" t="s">
        <v>218</v>
      </c>
      <c r="C79" s="1" t="s">
        <v>54</v>
      </c>
      <c r="D79" s="1" t="s">
        <v>55</v>
      </c>
      <c r="E79" s="4">
        <v>340.99</v>
      </c>
      <c r="F79" s="4">
        <v>348.25</v>
      </c>
      <c r="G79" s="4">
        <v>341.59</v>
      </c>
      <c r="H79" s="5">
        <f>G79/F79-1</f>
        <v>-0.019124192390524097</v>
      </c>
      <c r="I79" s="5">
        <f>G79/E79-1</f>
        <v>0.0017595823924454468</v>
      </c>
      <c r="J79" s="5">
        <v>-0.02174478790157008</v>
      </c>
      <c r="K79" s="4">
        <v>131786427982.55</v>
      </c>
    </row>
    <row r="80" spans="1:11">
      <c r="A80" s="1" t="s">
        <v>219</v>
      </c>
      <c r="B80" s="1" t="s">
        <v>220</v>
      </c>
      <c r="C80" s="1" t="s">
        <v>54</v>
      </c>
      <c r="D80" s="1" t="s">
        <v>113</v>
      </c>
      <c r="E80" s="4">
        <v>300.74</v>
      </c>
      <c r="F80" s="4">
        <v>298.5</v>
      </c>
      <c r="G80" s="4">
        <v>298.38</v>
      </c>
      <c r="H80" s="5">
        <f>G80/F80-1</f>
        <v>-0.0004020100502513113</v>
      </c>
      <c r="I80" s="5">
        <f>G80/E80-1</f>
        <v>-0.007847309968743832</v>
      </c>
      <c r="J80" s="5">
        <v>-0.06316292403248924</v>
      </c>
      <c r="K80" s="4">
        <v>31160127449.22</v>
      </c>
    </row>
    <row r="81" spans="1:11">
      <c r="A81" s="1" t="s">
        <v>221</v>
      </c>
      <c r="B81" s="1" t="s">
        <v>222</v>
      </c>
      <c r="C81" s="1" t="s">
        <v>116</v>
      </c>
      <c r="D81" s="1" t="s">
        <v>223</v>
      </c>
      <c r="E81" s="4">
        <v>152.1</v>
      </c>
      <c r="F81" s="4">
        <v>148.74</v>
      </c>
      <c r="G81" s="4">
        <v>147.85</v>
      </c>
      <c r="H81" s="5">
        <f>G81/F81-1</f>
        <v>-0.005983595535834496</v>
      </c>
      <c r="I81" s="5">
        <f>G81/E81-1</f>
        <v>-0.027942143326758706</v>
      </c>
      <c r="J81" s="5">
        <v>-0.06600920447074288</v>
      </c>
      <c r="K81" s="4">
        <v>42813707809.3</v>
      </c>
    </row>
    <row r="82" spans="1:11">
      <c r="A82" s="1" t="s">
        <v>224</v>
      </c>
      <c r="B82" s="1" t="s">
        <v>225</v>
      </c>
      <c r="C82" s="1" t="s">
        <v>116</v>
      </c>
      <c r="D82" s="1" t="s">
        <v>117</v>
      </c>
      <c r="E82" s="4">
        <v>75.51000000000001</v>
      </c>
      <c r="F82" s="4">
        <v>77.26000000000001</v>
      </c>
      <c r="G82" s="4">
        <v>75.83</v>
      </c>
      <c r="H82" s="5">
        <f>G82/F82-1</f>
        <v>-0.018508930882733754</v>
      </c>
      <c r="I82" s="5">
        <f>G82/E82-1</f>
        <v>0.004237849291484519</v>
      </c>
      <c r="J82" s="5">
        <v>-0.01850893088273375</v>
      </c>
      <c r="K82" s="4">
        <v>32262285939.37</v>
      </c>
    </row>
    <row r="83" spans="1:11">
      <c r="A83" s="1" t="s">
        <v>226</v>
      </c>
      <c r="B83" s="1" t="s">
        <v>227</v>
      </c>
      <c r="C83" s="1" t="s">
        <v>47</v>
      </c>
      <c r="D83" s="1" t="s">
        <v>48</v>
      </c>
      <c r="E83" s="4">
        <v>25.73</v>
      </c>
      <c r="F83" s="4">
        <v>23.48</v>
      </c>
      <c r="G83" s="4">
        <v>23.51</v>
      </c>
      <c r="H83" s="5">
        <f>G83/F83-1</f>
        <v>0.0012776831345826523</v>
      </c>
      <c r="I83" s="5">
        <f>G83/E83-1</f>
        <v>-0.0862806062961523</v>
      </c>
      <c r="J83" s="5">
        <v>-0.1113236419280795</v>
      </c>
      <c r="K83" s="4">
        <v>32200450787.69</v>
      </c>
    </row>
    <row r="84" spans="1:11">
      <c r="A84" s="1" t="s">
        <v>228</v>
      </c>
      <c r="B84" s="1" t="s">
        <v>229</v>
      </c>
      <c r="C84" s="1" t="s">
        <v>41</v>
      </c>
      <c r="D84" s="1" t="s">
        <v>58</v>
      </c>
      <c r="E84" s="4">
        <v>319.02</v>
      </c>
      <c r="F84" s="4">
        <v>304.875</v>
      </c>
      <c r="G84" s="4">
        <v>292.7</v>
      </c>
      <c r="H84" s="5">
        <f>G84/F84-1</f>
        <v>-0.039934399343993454</v>
      </c>
      <c r="I84" s="5">
        <f>G84/E84-1</f>
        <v>-0.08250266440975484</v>
      </c>
      <c r="J84" s="5">
        <v>-0.1578190188462092</v>
      </c>
      <c r="K84" s="4">
        <v>80608175918.09999</v>
      </c>
    </row>
    <row r="85" spans="1:11">
      <c r="A85" s="1" t="s">
        <v>230</v>
      </c>
      <c r="B85" s="1" t="s">
        <v>231</v>
      </c>
      <c r="C85" s="1" t="s">
        <v>41</v>
      </c>
      <c r="D85" s="1" t="s">
        <v>42</v>
      </c>
      <c r="E85" s="4">
        <v>137.25</v>
      </c>
      <c r="F85" s="4">
        <v>153.92</v>
      </c>
      <c r="G85" s="4">
        <v>152.38</v>
      </c>
      <c r="H85" s="5">
        <f>G85/F85-1</f>
        <v>-0.01000519750519746</v>
      </c>
      <c r="I85" s="5">
        <f>G85/E85-1</f>
        <v>0.11023679417122034</v>
      </c>
      <c r="J85" s="5">
        <v>-0.03453551912568309</v>
      </c>
      <c r="K85" s="4">
        <v>19050155373.88</v>
      </c>
    </row>
    <row r="86" spans="1:11">
      <c r="A86" s="1" t="s">
        <v>232</v>
      </c>
      <c r="B86" s="1" t="s">
        <v>233</v>
      </c>
      <c r="C86" s="1" t="s">
        <v>76</v>
      </c>
      <c r="D86" s="1" t="s">
        <v>76</v>
      </c>
      <c r="E86" s="4">
        <v>272.88</v>
      </c>
      <c r="F86" s="4">
        <v>285.05</v>
      </c>
      <c r="G86" s="4">
        <v>298.96</v>
      </c>
      <c r="H86" s="5">
        <f>G86/F86-1</f>
        <v>0.04879845641115588</v>
      </c>
      <c r="I86" s="5">
        <f>G86/E86-1</f>
        <v>0.0955731457050717</v>
      </c>
      <c r="J86" s="5">
        <v>-0.02705286639991522</v>
      </c>
      <c r="K86" s="4">
        <v>105923734025.84</v>
      </c>
    </row>
    <row r="87" spans="1:11">
      <c r="A87" s="1" t="s">
        <v>234</v>
      </c>
      <c r="B87" s="1" t="s">
        <v>235</v>
      </c>
      <c r="C87" s="1" t="s">
        <v>93</v>
      </c>
      <c r="D87" s="1" t="s">
        <v>93</v>
      </c>
      <c r="E87" s="4">
        <v>129.6</v>
      </c>
      <c r="F87" s="4">
        <v>137.81</v>
      </c>
      <c r="G87" s="4">
        <v>133.35</v>
      </c>
      <c r="H87" s="5">
        <f>G87/F87-1</f>
        <v>-0.03236339888251949</v>
      </c>
      <c r="I87" s="5">
        <f>G87/E87-1</f>
        <v>0.02893518518518512</v>
      </c>
      <c r="J87" s="5">
        <v>-0.042507359804696</v>
      </c>
      <c r="K87" s="4">
        <v>20180939635.5</v>
      </c>
    </row>
    <row r="88" spans="1:11">
      <c r="A88" s="1" t="s">
        <v>236</v>
      </c>
      <c r="B88" s="1" t="s">
        <v>237</v>
      </c>
      <c r="C88" s="1" t="s">
        <v>54</v>
      </c>
      <c r="D88" s="1" t="s">
        <v>165</v>
      </c>
      <c r="E88" s="4">
        <v>69.86</v>
      </c>
      <c r="F88" s="4">
        <v>70.83</v>
      </c>
      <c r="G88" s="4">
        <v>70.78</v>
      </c>
      <c r="H88" s="5">
        <f>G88/F88-1</f>
        <v>-0.0007059155724974397</v>
      </c>
      <c r="I88" s="5">
        <f>G88/E88-1</f>
        <v>0.013169195533925038</v>
      </c>
      <c r="J88" s="5">
        <v>-0.03305433394807777</v>
      </c>
      <c r="K88" s="4">
        <v>29810893054.64</v>
      </c>
    </row>
    <row r="89" spans="1:11">
      <c r="A89" s="1" t="s">
        <v>238</v>
      </c>
      <c r="B89" s="1" t="s">
        <v>239</v>
      </c>
      <c r="C89" s="1" t="s">
        <v>66</v>
      </c>
      <c r="D89" s="1" t="s">
        <v>240</v>
      </c>
      <c r="E89" s="4">
        <v>98.8</v>
      </c>
      <c r="F89" s="4">
        <v>98.59</v>
      </c>
      <c r="G89" s="4">
        <v>98.55</v>
      </c>
      <c r="H89" s="5">
        <f>G89/F89-1</f>
        <v>-0.0004057206613247155</v>
      </c>
      <c r="I89" s="5">
        <f>G89/E89-1</f>
        <v>-0.0025303643724696734</v>
      </c>
      <c r="J89" s="5">
        <v>-0.04190161384405988</v>
      </c>
      <c r="K89" s="4">
        <v>23376445034.85</v>
      </c>
    </row>
    <row r="90" spans="1:11">
      <c r="A90" s="1" t="s">
        <v>241</v>
      </c>
      <c r="B90" s="1" t="s">
        <v>242</v>
      </c>
      <c r="C90" s="1" t="s">
        <v>70</v>
      </c>
      <c r="D90" s="1" t="s">
        <v>243</v>
      </c>
      <c r="E90" s="4">
        <v>141.63</v>
      </c>
      <c r="F90" s="4">
        <v>146.685</v>
      </c>
      <c r="G90" s="4">
        <v>147.64</v>
      </c>
      <c r="H90" s="5">
        <f>G90/F90-1</f>
        <v>0.006510549817636324</v>
      </c>
      <c r="I90" s="5">
        <f>G90/E90-1</f>
        <v>0.04243451246204888</v>
      </c>
      <c r="J90" s="5">
        <v>-0.04303697357147562</v>
      </c>
      <c r="K90" s="4">
        <v>17251919731.12</v>
      </c>
    </row>
    <row r="91" spans="1:11">
      <c r="A91" s="1" t="s">
        <v>244</v>
      </c>
      <c r="B91" s="1" t="s">
        <v>245</v>
      </c>
      <c r="C91" s="1" t="s">
        <v>138</v>
      </c>
      <c r="D91" s="1" t="s">
        <v>139</v>
      </c>
      <c r="E91" s="4">
        <v>150.17</v>
      </c>
      <c r="F91" s="4">
        <v>151.38</v>
      </c>
      <c r="G91" s="4">
        <v>151.99</v>
      </c>
      <c r="H91" s="5">
        <f>G91/F91-1</f>
        <v>0.004029594398203384</v>
      </c>
      <c r="I91" s="5">
        <f>G91/E91-1</f>
        <v>0.012119597789172376</v>
      </c>
      <c r="J91" s="5">
        <v>-0.05768982854196203</v>
      </c>
      <c r="K91" s="4">
        <v>24858712898.76</v>
      </c>
    </row>
    <row r="92" spans="1:11">
      <c r="A92" s="1" t="s">
        <v>246</v>
      </c>
      <c r="B92" s="1" t="s">
        <v>247</v>
      </c>
      <c r="C92" s="1" t="s">
        <v>37</v>
      </c>
      <c r="D92" s="1" t="s">
        <v>51</v>
      </c>
      <c r="E92" s="4">
        <v>277.51</v>
      </c>
      <c r="F92" s="4">
        <v>286.26</v>
      </c>
      <c r="G92" s="4">
        <v>282.52</v>
      </c>
      <c r="H92" s="5">
        <f>G92/F92-1</f>
        <v>-0.013065045762593486</v>
      </c>
      <c r="I92" s="5">
        <f>G92/E92-1</f>
        <v>0.018053403480955632</v>
      </c>
      <c r="J92" s="5">
        <v>-0.01705415316694558</v>
      </c>
      <c r="K92" s="4">
        <v>74653819351.99998</v>
      </c>
    </row>
    <row r="93" spans="1:11">
      <c r="A93" s="1" t="s">
        <v>248</v>
      </c>
      <c r="B93" s="1" t="s">
        <v>249</v>
      </c>
      <c r="C93" s="1" t="s">
        <v>41</v>
      </c>
      <c r="D93" s="1" t="s">
        <v>42</v>
      </c>
      <c r="E93" s="4">
        <v>395.79</v>
      </c>
      <c r="F93" s="4">
        <v>317.46</v>
      </c>
      <c r="G93" s="4">
        <v>321</v>
      </c>
      <c r="H93" s="5">
        <f>G93/F93-1</f>
        <v>0.011151011151011136</v>
      </c>
      <c r="I93" s="5">
        <f>G93/E93-1</f>
        <v>-0.18896384446297287</v>
      </c>
      <c r="J93" s="5">
        <v>-0.2142662673563844</v>
      </c>
      <c r="K93" s="4">
        <v>45520536525</v>
      </c>
    </row>
    <row r="94" spans="1:11">
      <c r="A94" s="1" t="s">
        <v>250</v>
      </c>
      <c r="B94" s="1" t="s">
        <v>251</v>
      </c>
      <c r="C94" s="1" t="s">
        <v>54</v>
      </c>
      <c r="D94" s="1" t="s">
        <v>55</v>
      </c>
      <c r="E94" s="4">
        <v>168.29</v>
      </c>
      <c r="F94" s="4">
        <v>174.72</v>
      </c>
      <c r="G94" s="4">
        <v>171.1</v>
      </c>
      <c r="H94" s="5">
        <f>G94/F94-1</f>
        <v>-0.020718864468864506</v>
      </c>
      <c r="I94" s="5">
        <f>G94/E94-1</f>
        <v>0.01669736763919416</v>
      </c>
      <c r="J94" s="5">
        <v>-0.02071886446886451</v>
      </c>
      <c r="K94" s="4">
        <v>26260093499.5</v>
      </c>
    </row>
    <row r="95" spans="1:11">
      <c r="A95" s="1" t="s">
        <v>252</v>
      </c>
      <c r="B95" s="1" t="s">
        <v>253</v>
      </c>
      <c r="C95" s="1" t="s">
        <v>66</v>
      </c>
      <c r="D95" s="1" t="s">
        <v>240</v>
      </c>
      <c r="E95" s="4">
        <v>91.08</v>
      </c>
      <c r="F95" s="4">
        <v>90.09</v>
      </c>
      <c r="G95" s="4">
        <v>88.77</v>
      </c>
      <c r="H95" s="5">
        <f>G95/F95-1</f>
        <v>-0.014652014652014711</v>
      </c>
      <c r="I95" s="5">
        <f>G95/E95-1</f>
        <v>-0.025362318840579712</v>
      </c>
      <c r="J95" s="5">
        <v>-0.04084278768233385</v>
      </c>
      <c r="K95" s="4">
        <v>70765032030.33</v>
      </c>
    </row>
    <row r="96" spans="1:11">
      <c r="A96" s="1" t="s">
        <v>254</v>
      </c>
      <c r="B96" s="1" t="s">
        <v>255</v>
      </c>
      <c r="C96" s="1" t="s">
        <v>66</v>
      </c>
      <c r="D96" s="1" t="s">
        <v>240</v>
      </c>
      <c r="E96" s="4">
        <v>106.69</v>
      </c>
      <c r="F96" s="4">
        <v>94.29000000000001</v>
      </c>
      <c r="G96" s="4">
        <v>93.06</v>
      </c>
      <c r="H96" s="5">
        <f>G96/F96-1</f>
        <v>-0.013044861597200197</v>
      </c>
      <c r="I96" s="5">
        <f>G96/E96-1</f>
        <v>-0.1277533039647577</v>
      </c>
      <c r="J96" s="5">
        <v>-0.1316599794718671</v>
      </c>
      <c r="K96" s="4">
        <v>11253839325.3</v>
      </c>
    </row>
    <row r="97" spans="1:11">
      <c r="A97" s="1" t="s">
        <v>256</v>
      </c>
      <c r="B97" s="1" t="s">
        <v>257</v>
      </c>
      <c r="C97" s="1" t="s">
        <v>138</v>
      </c>
      <c r="D97" s="1" t="s">
        <v>258</v>
      </c>
      <c r="E97" s="4">
        <v>26.85</v>
      </c>
      <c r="F97" s="4">
        <v>26.65</v>
      </c>
      <c r="G97" s="4">
        <v>26.49</v>
      </c>
      <c r="H97" s="5">
        <f>G97/F97-1</f>
        <v>-0.006003752345215774</v>
      </c>
      <c r="I97" s="5">
        <f>G97/E97-1</f>
        <v>-0.013407821229050376</v>
      </c>
      <c r="J97" s="5">
        <v>-0.03308823529411764</v>
      </c>
      <c r="K97" s="4">
        <v>94003382818.77</v>
      </c>
    </row>
    <row r="98" spans="1:11">
      <c r="A98" s="1" t="s">
        <v>259</v>
      </c>
      <c r="B98" s="1" t="s">
        <v>260</v>
      </c>
      <c r="C98" s="1" t="s">
        <v>54</v>
      </c>
      <c r="D98" s="1" t="s">
        <v>113</v>
      </c>
      <c r="E98" s="4">
        <v>274.98</v>
      </c>
      <c r="F98" s="4">
        <v>282.05</v>
      </c>
      <c r="G98" s="4">
        <v>281.29</v>
      </c>
      <c r="H98" s="5">
        <f>G98/F98-1</f>
        <v>-0.0026945577025350165</v>
      </c>
      <c r="I98" s="5">
        <f>G98/E98-1</f>
        <v>0.022947123427158322</v>
      </c>
      <c r="J98" s="5">
        <v>-0.03030197242101595</v>
      </c>
      <c r="K98" s="4">
        <v>101146050889.27</v>
      </c>
    </row>
    <row r="99" spans="1:11">
      <c r="A99" s="1" t="s">
        <v>261</v>
      </c>
      <c r="B99" s="1" t="s">
        <v>262</v>
      </c>
      <c r="C99" s="1" t="s">
        <v>47</v>
      </c>
      <c r="D99" s="1" t="s">
        <v>48</v>
      </c>
      <c r="E99" s="4">
        <v>36.9</v>
      </c>
      <c r="F99" s="4">
        <v>37.57</v>
      </c>
      <c r="G99" s="4">
        <v>36.96</v>
      </c>
      <c r="H99" s="5">
        <f>G99/F99-1</f>
        <v>-0.01623635879691243</v>
      </c>
      <c r="I99" s="5">
        <f>G99/E99-1</f>
        <v>0.001626016260162677</v>
      </c>
      <c r="J99" s="5">
        <v>-0.04049844236760125</v>
      </c>
      <c r="K99" s="4">
        <v>46769849279.99999</v>
      </c>
    </row>
    <row r="100" spans="1:11">
      <c r="A100" s="1" t="s">
        <v>263</v>
      </c>
      <c r="B100" s="1" t="s">
        <v>264</v>
      </c>
      <c r="C100" s="1" t="s">
        <v>70</v>
      </c>
      <c r="D100" s="1" t="s">
        <v>100</v>
      </c>
      <c r="E100" s="4">
        <v>587.6799999999999</v>
      </c>
      <c r="F100" s="4">
        <v>545.5</v>
      </c>
      <c r="G100" s="4">
        <v>560.75</v>
      </c>
      <c r="H100" s="5">
        <f>G100/F100-1</f>
        <v>0.027956003666361084</v>
      </c>
      <c r="I100" s="5">
        <f>G100/E100-1</f>
        <v>-0.045824258099645965</v>
      </c>
      <c r="J100" s="5">
        <v>-0.07177375442417633</v>
      </c>
      <c r="K100" s="4">
        <v>77194743699.5</v>
      </c>
    </row>
    <row r="101" spans="1:11">
      <c r="A101" s="1" t="s">
        <v>265</v>
      </c>
      <c r="B101" s="1" t="s">
        <v>266</v>
      </c>
      <c r="C101" s="1" t="s">
        <v>76</v>
      </c>
      <c r="D101" s="1" t="s">
        <v>76</v>
      </c>
      <c r="E101" s="4">
        <v>68.27</v>
      </c>
      <c r="F101" s="4">
        <v>68.59</v>
      </c>
      <c r="G101" s="4">
        <v>68.45999999999999</v>
      </c>
      <c r="H101" s="5">
        <f>G101/F101-1</f>
        <v>-0.0018953200174953722</v>
      </c>
      <c r="I101" s="5">
        <f>G101/E101-1</f>
        <v>0.002783067233045333</v>
      </c>
      <c r="J101" s="5">
        <v>-0.01834464827386983</v>
      </c>
      <c r="K101" s="4">
        <v>21467490730.56</v>
      </c>
    </row>
    <row r="102" spans="1:11">
      <c r="A102" s="1" t="s">
        <v>267</v>
      </c>
      <c r="B102" s="1" t="s">
        <v>268</v>
      </c>
      <c r="C102" s="1" t="s">
        <v>37</v>
      </c>
      <c r="D102" s="1" t="s">
        <v>51</v>
      </c>
      <c r="E102" s="4">
        <v>65.02</v>
      </c>
      <c r="F102" s="4">
        <v>68.02</v>
      </c>
      <c r="G102" s="4">
        <v>67.04000000000001</v>
      </c>
      <c r="H102" s="5">
        <f>G102/F102-1</f>
        <v>-0.014407527197882852</v>
      </c>
      <c r="I102" s="5">
        <f>G102/E102-1</f>
        <v>0.03106736388803455</v>
      </c>
      <c r="J102" s="5">
        <v>-0.01995430312262003</v>
      </c>
      <c r="K102" s="4">
        <v>33117424800</v>
      </c>
    </row>
    <row r="103" spans="1:11">
      <c r="A103" s="1" t="s">
        <v>269</v>
      </c>
      <c r="B103" s="1" t="s">
        <v>270</v>
      </c>
      <c r="C103" s="1" t="s">
        <v>76</v>
      </c>
      <c r="D103" s="1" t="s">
        <v>76</v>
      </c>
      <c r="E103" s="4">
        <v>38.77</v>
      </c>
      <c r="F103" s="4">
        <v>39.98</v>
      </c>
      <c r="G103" s="4">
        <v>39.67</v>
      </c>
      <c r="H103" s="5">
        <f>G103/F103-1</f>
        <v>-0.007753876938469073</v>
      </c>
      <c r="I103" s="5">
        <f>G103/E103-1</f>
        <v>0.02321382512251735</v>
      </c>
      <c r="J103" s="5">
        <v>-0.008840616317251859</v>
      </c>
      <c r="K103" s="4">
        <v>25899415737.28</v>
      </c>
    </row>
    <row r="104" spans="1:11">
      <c r="A104" s="1" t="s">
        <v>271</v>
      </c>
      <c r="B104" s="1" t="s">
        <v>272</v>
      </c>
      <c r="C104" s="1" t="s">
        <v>54</v>
      </c>
      <c r="D104" s="1" t="s">
        <v>113</v>
      </c>
      <c r="E104" s="4">
        <v>217.91</v>
      </c>
      <c r="F104" s="4">
        <v>220.5</v>
      </c>
      <c r="G104" s="4">
        <v>219.6</v>
      </c>
      <c r="H104" s="5">
        <f>G104/F104-1</f>
        <v>-0.004081632653061273</v>
      </c>
      <c r="I104" s="5">
        <f>G104/E104-1</f>
        <v>0.00775549538800413</v>
      </c>
      <c r="J104" s="5">
        <v>-0.03015006195218206</v>
      </c>
      <c r="K104" s="4">
        <v>134721269985.6</v>
      </c>
    </row>
    <row r="105" spans="1:11">
      <c r="A105" s="1" t="s">
        <v>273</v>
      </c>
      <c r="B105" s="1" t="s">
        <v>274</v>
      </c>
      <c r="C105" s="1" t="s">
        <v>41</v>
      </c>
      <c r="D105" s="1" t="s">
        <v>42</v>
      </c>
      <c r="E105" s="4">
        <v>289.52</v>
      </c>
      <c r="F105" s="4">
        <v>264.41</v>
      </c>
      <c r="G105" s="4">
        <v>281.86</v>
      </c>
      <c r="H105" s="5">
        <f>G105/F105-1</f>
        <v>0.06599599107446763</v>
      </c>
      <c r="I105" s="5">
        <f>G105/E105-1</f>
        <v>-0.026457584968223147</v>
      </c>
      <c r="J105" s="5">
        <v>-0.1048782964893867</v>
      </c>
      <c r="K105" s="4">
        <v>55197276857.56</v>
      </c>
    </row>
    <row r="106" spans="1:11">
      <c r="A106" s="1" t="s">
        <v>275</v>
      </c>
      <c r="B106" s="1" t="s">
        <v>276</v>
      </c>
      <c r="C106" s="1" t="s">
        <v>54</v>
      </c>
      <c r="D106" s="1" t="s">
        <v>113</v>
      </c>
      <c r="E106" s="4">
        <v>186.49</v>
      </c>
      <c r="F106" s="4">
        <v>192.7</v>
      </c>
      <c r="G106" s="4">
        <v>184.64</v>
      </c>
      <c r="H106" s="5">
        <f>G106/F106-1</f>
        <v>-0.041826673585884766</v>
      </c>
      <c r="I106" s="5">
        <f>G106/E106-1</f>
        <v>-0.009920102954582122</v>
      </c>
      <c r="J106" s="5">
        <v>-0.08263422818791943</v>
      </c>
      <c r="K106" s="4">
        <v>48714849462.71999</v>
      </c>
    </row>
    <row r="107" spans="1:11">
      <c r="A107" s="1" t="s">
        <v>277</v>
      </c>
      <c r="B107" s="1" t="s">
        <v>278</v>
      </c>
      <c r="C107" s="1" t="s">
        <v>37</v>
      </c>
      <c r="D107" s="1" t="s">
        <v>51</v>
      </c>
      <c r="E107" s="4">
        <v>76.22</v>
      </c>
      <c r="F107" s="4">
        <v>70.64</v>
      </c>
      <c r="G107" s="4">
        <v>69.59</v>
      </c>
      <c r="H107" s="5">
        <f>G107/F107-1</f>
        <v>-0.014864099660249153</v>
      </c>
      <c r="I107" s="5">
        <f>G107/E107-1</f>
        <v>-0.08698504329572287</v>
      </c>
      <c r="J107" s="5">
        <v>-0.09105221726580948</v>
      </c>
      <c r="K107" s="4">
        <v>13572181541.7</v>
      </c>
    </row>
    <row r="108" spans="1:11">
      <c r="A108" s="1" t="s">
        <v>279</v>
      </c>
      <c r="B108" s="1" t="s">
        <v>280</v>
      </c>
      <c r="C108" s="1" t="s">
        <v>129</v>
      </c>
      <c r="D108" s="1" t="s">
        <v>129</v>
      </c>
      <c r="E108" s="4">
        <v>134.87</v>
      </c>
      <c r="F108" s="4">
        <v>135.72</v>
      </c>
      <c r="G108" s="4">
        <v>134.26</v>
      </c>
      <c r="H108" s="5">
        <f>G108/F108-1</f>
        <v>-0.010757441791924616</v>
      </c>
      <c r="I108" s="5">
        <f>G108/E108-1</f>
        <v>-0.004522873878549771</v>
      </c>
      <c r="J108" s="5">
        <v>-0.03966782827908355</v>
      </c>
      <c r="K108" s="4">
        <v>161291569930.54</v>
      </c>
    </row>
    <row r="109" spans="1:11">
      <c r="A109" s="1" t="s">
        <v>281</v>
      </c>
      <c r="B109" s="1" t="s">
        <v>282</v>
      </c>
      <c r="C109" s="1" t="s">
        <v>37</v>
      </c>
      <c r="D109" s="1" t="s">
        <v>51</v>
      </c>
      <c r="E109" s="4">
        <v>318.04</v>
      </c>
      <c r="F109" s="4">
        <v>337.22</v>
      </c>
      <c r="G109" s="4">
        <v>330.95</v>
      </c>
      <c r="H109" s="5">
        <f>G109/F109-1</f>
        <v>-0.01859320325010394</v>
      </c>
      <c r="I109" s="5">
        <f>G109/E109-1</f>
        <v>0.040592378317192646</v>
      </c>
      <c r="J109" s="5">
        <v>-0.02081936231177217</v>
      </c>
      <c r="K109" s="4">
        <v>63154250256.75</v>
      </c>
    </row>
    <row r="110" spans="1:11">
      <c r="A110" s="1" t="s">
        <v>283</v>
      </c>
      <c r="B110" s="1" t="s">
        <v>284</v>
      </c>
      <c r="C110" s="1" t="s">
        <v>66</v>
      </c>
      <c r="D110" s="1" t="s">
        <v>214</v>
      </c>
      <c r="E110" s="4">
        <v>947.74</v>
      </c>
      <c r="F110" s="4">
        <v>925.41</v>
      </c>
      <c r="G110" s="4">
        <v>915.74</v>
      </c>
      <c r="H110" s="5">
        <f>G110/F110-1</f>
        <v>-0.010449422418171372</v>
      </c>
      <c r="I110" s="5">
        <f>G110/E110-1</f>
        <v>-0.03376453457699369</v>
      </c>
      <c r="J110" s="5">
        <v>-0.05729874408070823</v>
      </c>
      <c r="K110" s="4">
        <v>406111279974.96</v>
      </c>
    </row>
    <row r="111" spans="1:11">
      <c r="A111" s="1" t="s">
        <v>285</v>
      </c>
      <c r="B111" s="1" t="s">
        <v>286</v>
      </c>
      <c r="C111" s="1" t="s">
        <v>54</v>
      </c>
      <c r="D111" s="1" t="s">
        <v>113</v>
      </c>
      <c r="E111" s="4">
        <v>417.13</v>
      </c>
      <c r="F111" s="4">
        <v>419.68</v>
      </c>
      <c r="G111" s="4">
        <v>416.37</v>
      </c>
      <c r="H111" s="5">
        <f>G111/F111-1</f>
        <v>-0.007886961494471989</v>
      </c>
      <c r="I111" s="5">
        <f>G111/E111-1</f>
        <v>-0.0018219739649509847</v>
      </c>
      <c r="J111" s="5">
        <v>-0.03226811785294748</v>
      </c>
      <c r="K111" s="4">
        <v>27338687235.63</v>
      </c>
    </row>
    <row r="112" spans="1:11">
      <c r="A112" s="1" t="s">
        <v>287</v>
      </c>
      <c r="B112" s="1" t="s">
        <v>288</v>
      </c>
      <c r="C112" s="1" t="s">
        <v>70</v>
      </c>
      <c r="D112" s="1" t="s">
        <v>71</v>
      </c>
      <c r="E112" s="4">
        <v>33.8</v>
      </c>
      <c r="F112" s="4">
        <v>33.58</v>
      </c>
      <c r="G112" s="4">
        <v>33.72</v>
      </c>
      <c r="H112" s="5">
        <f>G112/F112-1</f>
        <v>0.004169148302560988</v>
      </c>
      <c r="I112" s="5">
        <f>G112/E112-1</f>
        <v>-0.002366863905325367</v>
      </c>
      <c r="J112" s="5">
        <v>-0.04852071005917158</v>
      </c>
      <c r="K112" s="4">
        <v>31218363173.04</v>
      </c>
    </row>
    <row r="113" spans="1:11">
      <c r="A113" s="1" t="s">
        <v>289</v>
      </c>
      <c r="B113" s="1" t="s">
        <v>290</v>
      </c>
      <c r="C113" s="1" t="s">
        <v>116</v>
      </c>
      <c r="D113" s="1" t="s">
        <v>117</v>
      </c>
      <c r="E113" s="4">
        <v>107.59</v>
      </c>
      <c r="F113" s="4">
        <v>105.6</v>
      </c>
      <c r="G113" s="4">
        <v>105.69</v>
      </c>
      <c r="H113" s="5">
        <f>G113/F113-1</f>
        <v>0.0008522727272728403</v>
      </c>
      <c r="I113" s="5">
        <f>G113/E113-1</f>
        <v>-0.01765963379496238</v>
      </c>
      <c r="J113" s="5">
        <v>-0.03307375171781946</v>
      </c>
      <c r="K113" s="4">
        <v>10626003901.5</v>
      </c>
    </row>
    <row r="114" spans="1:11">
      <c r="A114" s="1" t="s">
        <v>291</v>
      </c>
      <c r="B114" s="1" t="s">
        <v>292</v>
      </c>
      <c r="C114" s="1" t="s">
        <v>93</v>
      </c>
      <c r="D114" s="1" t="s">
        <v>93</v>
      </c>
      <c r="E114" s="4">
        <v>95.06999999999999</v>
      </c>
      <c r="F114" s="4">
        <v>92.04000000000001</v>
      </c>
      <c r="G114" s="4">
        <v>94.26000000000001</v>
      </c>
      <c r="H114" s="5">
        <f>G114/F114-1</f>
        <v>0.02411994784876148</v>
      </c>
      <c r="I114" s="5">
        <f>G114/E114-1</f>
        <v>-0.008520037866834862</v>
      </c>
      <c r="J114" s="5">
        <v>-0.06027820710973719</v>
      </c>
      <c r="K114" s="4">
        <v>62709718006.86</v>
      </c>
    </row>
    <row r="115" spans="1:11">
      <c r="A115" s="1" t="s">
        <v>293</v>
      </c>
      <c r="B115" s="1" t="s">
        <v>294</v>
      </c>
      <c r="C115" s="1" t="s">
        <v>37</v>
      </c>
      <c r="D115" s="1" t="s">
        <v>38</v>
      </c>
      <c r="E115" s="4">
        <v>295.19</v>
      </c>
      <c r="F115" s="4">
        <v>293.35</v>
      </c>
      <c r="G115" s="4">
        <v>288.5</v>
      </c>
      <c r="H115" s="5">
        <f>G115/F115-1</f>
        <v>-0.016533151525481626</v>
      </c>
      <c r="I115" s="5">
        <f>G115/E115-1</f>
        <v>-0.02266336935533042</v>
      </c>
      <c r="J115" s="5">
        <v>-0.05439078303972134</v>
      </c>
      <c r="K115" s="4">
        <v>13772664572</v>
      </c>
    </row>
    <row r="116" spans="1:11">
      <c r="A116" s="1" t="s">
        <v>295</v>
      </c>
      <c r="B116" s="1" t="s">
        <v>296</v>
      </c>
      <c r="C116" s="1" t="s">
        <v>41</v>
      </c>
      <c r="D116" s="1" t="s">
        <v>58</v>
      </c>
      <c r="E116" s="4">
        <v>209.17</v>
      </c>
      <c r="F116" s="4">
        <v>264.43</v>
      </c>
      <c r="G116" s="4">
        <v>259.23</v>
      </c>
      <c r="H116" s="5">
        <f>G116/F116-1</f>
        <v>-0.01966493968157923</v>
      </c>
      <c r="I116" s="5">
        <f>G116/E116-1</f>
        <v>0.23932686331691944</v>
      </c>
      <c r="J116" s="5">
        <v>-0.01966493968157923</v>
      </c>
      <c r="K116" s="4">
        <v>213346290000</v>
      </c>
    </row>
    <row r="117" spans="1:11">
      <c r="A117" s="1" t="s">
        <v>297</v>
      </c>
      <c r="B117" s="1" t="s">
        <v>298</v>
      </c>
      <c r="C117" s="1" t="s">
        <v>41</v>
      </c>
      <c r="D117" s="1" t="s">
        <v>58</v>
      </c>
      <c r="E117" s="4">
        <v>191.95</v>
      </c>
      <c r="F117" s="4">
        <v>214.97</v>
      </c>
      <c r="G117" s="4">
        <v>213.1</v>
      </c>
      <c r="H117" s="5">
        <f>G117/F117-1</f>
        <v>-0.00869888821696052</v>
      </c>
      <c r="I117" s="5">
        <f>G117/E117-1</f>
        <v>0.11018494399583223</v>
      </c>
      <c r="J117" s="5">
        <v>-0.1193939393939395</v>
      </c>
      <c r="K117" s="4">
        <v>218200514830.2</v>
      </c>
    </row>
    <row r="118" spans="1:11">
      <c r="A118" s="1" t="s">
        <v>299</v>
      </c>
      <c r="B118" s="1" t="s">
        <v>300</v>
      </c>
      <c r="C118" s="1" t="s">
        <v>41</v>
      </c>
      <c r="D118" s="1" t="s">
        <v>42</v>
      </c>
      <c r="E118" s="4">
        <v>111.04</v>
      </c>
      <c r="F118" s="4">
        <v>108.61</v>
      </c>
      <c r="G118" s="4">
        <v>109.2</v>
      </c>
      <c r="H118" s="5">
        <f>G118/F118-1</f>
        <v>0.005432280637142073</v>
      </c>
      <c r="I118" s="5">
        <f>G118/E118-1</f>
        <v>-0.016570605187319898</v>
      </c>
      <c r="J118" s="5">
        <v>-0.03337486650053401</v>
      </c>
      <c r="K118" s="4">
        <v>430530486531.6</v>
      </c>
    </row>
    <row r="119" spans="1:11">
      <c r="A119" s="1" t="s">
        <v>301</v>
      </c>
      <c r="B119" s="1" t="s">
        <v>302</v>
      </c>
      <c r="C119" s="1" t="s">
        <v>116</v>
      </c>
      <c r="D119" s="1" t="s">
        <v>223</v>
      </c>
      <c r="E119" s="4">
        <v>32.26</v>
      </c>
      <c r="F119" s="4">
        <v>31.68</v>
      </c>
      <c r="G119" s="4">
        <v>30.91</v>
      </c>
      <c r="H119" s="5">
        <f>G119/F119-1</f>
        <v>-0.02430555555555558</v>
      </c>
      <c r="I119" s="5">
        <f>G119/E119-1</f>
        <v>-0.04184748915065095</v>
      </c>
      <c r="J119" s="5">
        <v>-0.05876979293544471</v>
      </c>
      <c r="K119" s="4">
        <v>12524657445.08</v>
      </c>
    </row>
    <row r="120" spans="1:11">
      <c r="A120" s="1" t="s">
        <v>303</v>
      </c>
      <c r="B120" s="1" t="s">
        <v>304</v>
      </c>
      <c r="C120" s="1" t="s">
        <v>70</v>
      </c>
      <c r="D120" s="1" t="s">
        <v>243</v>
      </c>
      <c r="E120" s="4">
        <v>51.59</v>
      </c>
      <c r="F120" s="4">
        <v>48.99</v>
      </c>
      <c r="G120" s="4">
        <v>49.41</v>
      </c>
      <c r="H120" s="5">
        <f>G120/F120-1</f>
        <v>0.008573178199632547</v>
      </c>
      <c r="I120" s="5">
        <f>G120/E120-1</f>
        <v>-0.04225625121147525</v>
      </c>
      <c r="J120" s="5">
        <v>-0.06008500772797531</v>
      </c>
      <c r="K120" s="4">
        <v>91530785648.96999</v>
      </c>
    </row>
    <row r="121" spans="1:11">
      <c r="A121" s="1" t="s">
        <v>305</v>
      </c>
      <c r="B121" s="1" t="s">
        <v>306</v>
      </c>
      <c r="C121" s="1" t="s">
        <v>70</v>
      </c>
      <c r="D121" s="1" t="s">
        <v>71</v>
      </c>
      <c r="E121" s="4">
        <v>203.79</v>
      </c>
      <c r="F121" s="4">
        <v>201.05</v>
      </c>
      <c r="G121" s="4">
        <v>200.47</v>
      </c>
      <c r="H121" s="5">
        <f>G121/F121-1</f>
        <v>-0.002884854513802604</v>
      </c>
      <c r="I121" s="5">
        <f>G121/E121-1</f>
        <v>-0.016291280239462136</v>
      </c>
      <c r="J121" s="5">
        <v>-0.04488910318225647</v>
      </c>
      <c r="K121" s="4">
        <v>80221991893.67</v>
      </c>
    </row>
    <row r="122" spans="1:11">
      <c r="A122" s="1" t="s">
        <v>307</v>
      </c>
      <c r="B122" s="1" t="s">
        <v>308</v>
      </c>
      <c r="C122" s="1" t="s">
        <v>41</v>
      </c>
      <c r="D122" s="1" t="s">
        <v>58</v>
      </c>
      <c r="E122" s="4">
        <v>61.87</v>
      </c>
      <c r="F122" s="4">
        <v>64.64</v>
      </c>
      <c r="G122" s="4">
        <v>62.31</v>
      </c>
      <c r="H122" s="5">
        <f>G122/F122-1</f>
        <v>-0.03604579207920788</v>
      </c>
      <c r="I122" s="5">
        <f>G122/E122-1</f>
        <v>0.007111685792791311</v>
      </c>
      <c r="J122" s="5">
        <v>-0.03604579207920788</v>
      </c>
      <c r="K122" s="4">
        <v>28067178662.79</v>
      </c>
    </row>
    <row r="123" spans="1:11">
      <c r="A123" s="1" t="s">
        <v>309</v>
      </c>
      <c r="B123" s="1" t="s">
        <v>310</v>
      </c>
      <c r="C123" s="1" t="s">
        <v>93</v>
      </c>
      <c r="D123" s="1" t="s">
        <v>93</v>
      </c>
      <c r="E123" s="4">
        <v>81.79000000000001</v>
      </c>
      <c r="F123" s="4">
        <v>88.62</v>
      </c>
      <c r="G123" s="4">
        <v>87.86</v>
      </c>
      <c r="H123" s="5">
        <f>G123/F123-1</f>
        <v>-0.008575942225231392</v>
      </c>
      <c r="I123" s="5">
        <f>G123/E123-1</f>
        <v>0.07421445164445517</v>
      </c>
      <c r="J123" s="5">
        <v>-0.0234522618650661</v>
      </c>
      <c r="K123" s="4">
        <v>58604201480</v>
      </c>
    </row>
    <row r="124" spans="1:11">
      <c r="A124" s="1" t="s">
        <v>311</v>
      </c>
      <c r="B124" s="1" t="s">
        <v>312</v>
      </c>
      <c r="C124" s="1" t="s">
        <v>47</v>
      </c>
      <c r="D124" s="1" t="s">
        <v>120</v>
      </c>
      <c r="E124" s="4">
        <v>69.91</v>
      </c>
      <c r="F124" s="4">
        <v>73.43000000000001</v>
      </c>
      <c r="G124" s="4">
        <v>74.59</v>
      </c>
      <c r="H124" s="5">
        <f>G124/F124-1</f>
        <v>0.01579735802805393</v>
      </c>
      <c r="I124" s="5">
        <f>G124/E124-1</f>
        <v>0.06694321270204551</v>
      </c>
      <c r="J124" s="5">
        <v>-0.04738022964233857</v>
      </c>
      <c r="K124" s="4">
        <v>78961239611.2605</v>
      </c>
    </row>
    <row r="125" spans="1:11">
      <c r="A125" s="1" t="s">
        <v>313</v>
      </c>
      <c r="B125" s="1" t="s">
        <v>314</v>
      </c>
      <c r="C125" s="1" t="s">
        <v>37</v>
      </c>
      <c r="D125" s="1" t="s">
        <v>51</v>
      </c>
      <c r="E125" s="4">
        <v>93.02</v>
      </c>
      <c r="F125" s="4">
        <v>97.2</v>
      </c>
      <c r="G125" s="4">
        <v>96.73999999999999</v>
      </c>
      <c r="H125" s="5">
        <f>G125/F125-1</f>
        <v>-0.004732510288065872</v>
      </c>
      <c r="I125" s="5">
        <f>G125/E125-1</f>
        <v>0.03999139969898935</v>
      </c>
      <c r="J125" s="5">
        <v>-0.01484308736217121</v>
      </c>
      <c r="K125" s="4">
        <v>123727593497.06</v>
      </c>
    </row>
    <row r="126" spans="1:11">
      <c r="A126" s="1" t="s">
        <v>315</v>
      </c>
      <c r="B126" s="1" t="s">
        <v>316</v>
      </c>
      <c r="C126" s="1" t="s">
        <v>129</v>
      </c>
      <c r="D126" s="1" t="s">
        <v>129</v>
      </c>
      <c r="E126" s="4">
        <v>205.27</v>
      </c>
      <c r="F126" s="4">
        <v>211.32</v>
      </c>
      <c r="G126" s="4">
        <v>208.6</v>
      </c>
      <c r="H126" s="5">
        <f>G126/F126-1</f>
        <v>-0.012871474540980476</v>
      </c>
      <c r="I126" s="5">
        <f>G126/E126-1</f>
        <v>0.016222536171871083</v>
      </c>
      <c r="J126" s="5">
        <v>-0.02679397866224975</v>
      </c>
      <c r="K126" s="4">
        <v>412145887756.4</v>
      </c>
    </row>
    <row r="127" spans="1:11">
      <c r="A127" s="1" t="s">
        <v>317</v>
      </c>
      <c r="B127" s="1" t="s">
        <v>318</v>
      </c>
      <c r="C127" s="1" t="s">
        <v>76</v>
      </c>
      <c r="D127" s="1" t="s">
        <v>76</v>
      </c>
      <c r="E127" s="4">
        <v>66.59999999999999</v>
      </c>
      <c r="F127" s="4">
        <v>66.79000000000001</v>
      </c>
      <c r="G127" s="4">
        <v>65.84</v>
      </c>
      <c r="H127" s="5">
        <f>G127/F127-1</f>
        <v>-0.01422368618056602</v>
      </c>
      <c r="I127" s="5">
        <f>G127/E127-1</f>
        <v>-0.01141141141141122</v>
      </c>
      <c r="J127" s="5">
        <v>-0.02061855670103108</v>
      </c>
      <c r="K127" s="4">
        <v>57908104294.72</v>
      </c>
    </row>
    <row r="128" spans="1:11">
      <c r="A128" s="1" t="s">
        <v>319</v>
      </c>
      <c r="B128" s="1" t="s">
        <v>320</v>
      </c>
      <c r="C128" s="1" t="s">
        <v>70</v>
      </c>
      <c r="D128" s="1" t="s">
        <v>243</v>
      </c>
      <c r="E128" s="4">
        <v>82.41</v>
      </c>
      <c r="F128" s="4">
        <v>78.75</v>
      </c>
      <c r="G128" s="4">
        <v>80.17</v>
      </c>
      <c r="H128" s="5">
        <f>G128/F128-1</f>
        <v>0.018031746031746065</v>
      </c>
      <c r="I128" s="5">
        <f>G128/E128-1</f>
        <v>-0.027181167334061285</v>
      </c>
      <c r="J128" s="5">
        <v>-0.08658215737861763</v>
      </c>
      <c r="K128" s="4">
        <v>52721743738.64999</v>
      </c>
    </row>
    <row r="129" spans="1:11">
      <c r="A129" s="1" t="s">
        <v>321</v>
      </c>
      <c r="B129" s="1" t="s">
        <v>322</v>
      </c>
      <c r="C129" s="1" t="s">
        <v>47</v>
      </c>
      <c r="D129" s="1" t="s">
        <v>48</v>
      </c>
      <c r="E129" s="4">
        <v>223.49</v>
      </c>
      <c r="F129" s="4">
        <v>222</v>
      </c>
      <c r="G129" s="4">
        <v>211.73</v>
      </c>
      <c r="H129" s="5">
        <f>G129/F129-1</f>
        <v>-0.04626126126126129</v>
      </c>
      <c r="I129" s="5">
        <f>G129/E129-1</f>
        <v>-0.05261980401807698</v>
      </c>
      <c r="J129" s="5">
        <v>-0.1063605284261175</v>
      </c>
      <c r="K129" s="4">
        <v>91742172201.01001</v>
      </c>
    </row>
    <row r="130" spans="1:11">
      <c r="A130" s="1" t="s">
        <v>323</v>
      </c>
      <c r="B130" s="1" t="s">
        <v>324</v>
      </c>
      <c r="C130" s="1" t="s">
        <v>70</v>
      </c>
      <c r="D130" s="1" t="s">
        <v>100</v>
      </c>
      <c r="E130" s="4">
        <v>138.33</v>
      </c>
      <c r="F130" s="4">
        <v>131.13</v>
      </c>
      <c r="G130" s="4">
        <v>131.59</v>
      </c>
      <c r="H130" s="5">
        <f>G130/F130-1</f>
        <v>0.0035079691908792565</v>
      </c>
      <c r="I130" s="5">
        <f>G130/E130-1</f>
        <v>-0.04872406564013598</v>
      </c>
      <c r="J130" s="5">
        <v>-0.05525936599423642</v>
      </c>
      <c r="K130" s="4">
        <v>17770305080.25</v>
      </c>
    </row>
    <row r="131" spans="1:11">
      <c r="A131" s="1" t="s">
        <v>325</v>
      </c>
      <c r="B131" s="1" t="s">
        <v>326</v>
      </c>
      <c r="C131" s="1" t="s">
        <v>41</v>
      </c>
      <c r="D131" s="1" t="s">
        <v>58</v>
      </c>
      <c r="E131" s="4">
        <v>235.62</v>
      </c>
      <c r="F131" s="4">
        <v>214.76</v>
      </c>
      <c r="G131" s="4">
        <v>212.93</v>
      </c>
      <c r="H131" s="5">
        <f>G131/F131-1</f>
        <v>-0.008521139877072037</v>
      </c>
      <c r="I131" s="5">
        <f>G131/E131-1</f>
        <v>-0.09629912571089039</v>
      </c>
      <c r="J131" s="5">
        <v>-0.1387230889556663</v>
      </c>
      <c r="K131" s="4">
        <v>76669919094.65001</v>
      </c>
    </row>
    <row r="132" spans="1:11">
      <c r="A132" s="1" t="s">
        <v>327</v>
      </c>
      <c r="B132" s="1" t="s">
        <v>328</v>
      </c>
      <c r="C132" s="1" t="s">
        <v>70</v>
      </c>
      <c r="D132" s="1" t="s">
        <v>100</v>
      </c>
      <c r="E132" s="4">
        <v>647.47</v>
      </c>
      <c r="F132" s="4">
        <v>694.41</v>
      </c>
      <c r="G132" s="4">
        <v>693.53</v>
      </c>
      <c r="H132" s="5">
        <f>G132/F132-1</f>
        <v>-0.001267262856237683</v>
      </c>
      <c r="I132" s="5">
        <f>G132/E132-1</f>
        <v>0.0711384311242218</v>
      </c>
      <c r="J132" s="5">
        <v>-0.04005303404045391</v>
      </c>
      <c r="K132" s="4">
        <v>186993311984.36</v>
      </c>
    </row>
    <row r="133" spans="1:11">
      <c r="A133" s="1" t="s">
        <v>329</v>
      </c>
      <c r="B133" s="1" t="s">
        <v>330</v>
      </c>
      <c r="C133" s="1" t="s">
        <v>47</v>
      </c>
      <c r="D133" s="1" t="s">
        <v>331</v>
      </c>
      <c r="E133" s="4">
        <v>91.68000000000001</v>
      </c>
      <c r="F133" s="4">
        <v>84.5</v>
      </c>
      <c r="G133" s="4">
        <v>85.81</v>
      </c>
      <c r="H133" s="5">
        <f>G133/F133-1</f>
        <v>0.015502958579881598</v>
      </c>
      <c r="I133" s="5">
        <f>G133/E133-1</f>
        <v>-0.06402705061082026</v>
      </c>
      <c r="J133" s="5">
        <v>-0.09035621198957422</v>
      </c>
      <c r="K133" s="4">
        <v>11685765149.17</v>
      </c>
    </row>
    <row r="134" spans="1:11">
      <c r="A134" s="1" t="s">
        <v>332</v>
      </c>
      <c r="B134" s="1" t="s">
        <v>333</v>
      </c>
      <c r="C134" s="1" t="s">
        <v>41</v>
      </c>
      <c r="D134" s="1" t="s">
        <v>42</v>
      </c>
      <c r="E134" s="4">
        <v>442.08</v>
      </c>
      <c r="F134" s="4">
        <v>516.39</v>
      </c>
      <c r="G134" s="4">
        <v>524.14</v>
      </c>
      <c r="H134" s="5">
        <f>G134/F134-1</f>
        <v>0.015008036561513505</v>
      </c>
      <c r="I134" s="5">
        <f>G134/E134-1</f>
        <v>0.18562251176257694</v>
      </c>
      <c r="J134" s="5">
        <v>-0.1000719942404608</v>
      </c>
      <c r="K134" s="4">
        <v>338669092211.92</v>
      </c>
    </row>
    <row r="135" spans="1:11">
      <c r="A135" s="1" t="s">
        <v>334</v>
      </c>
      <c r="B135" s="1" t="s">
        <v>335</v>
      </c>
      <c r="C135" s="1" t="s">
        <v>66</v>
      </c>
      <c r="D135" s="1" t="s">
        <v>214</v>
      </c>
      <c r="E135" s="4">
        <v>123.41</v>
      </c>
      <c r="F135" s="4">
        <v>131.26</v>
      </c>
      <c r="G135" s="4">
        <v>133.21</v>
      </c>
      <c r="H135" s="5">
        <f>G135/F135-1</f>
        <v>0.014856010970592859</v>
      </c>
      <c r="I135" s="5">
        <f>G135/E135-1</f>
        <v>0.07941009642654584</v>
      </c>
      <c r="J135" s="5">
        <v>-0.02383032806418306</v>
      </c>
      <c r="K135" s="4">
        <v>29388362595.9</v>
      </c>
    </row>
    <row r="136" spans="1:11">
      <c r="A136" s="1" t="s">
        <v>336</v>
      </c>
      <c r="B136" s="1" t="s">
        <v>337</v>
      </c>
      <c r="C136" s="1" t="s">
        <v>37</v>
      </c>
      <c r="D136" s="1" t="s">
        <v>51</v>
      </c>
      <c r="E136" s="4">
        <v>244.39</v>
      </c>
      <c r="F136" s="4">
        <v>239.4</v>
      </c>
      <c r="G136" s="4">
        <v>237.14</v>
      </c>
      <c r="H136" s="5">
        <f>G136/F136-1</f>
        <v>-0.009440267335004249</v>
      </c>
      <c r="I136" s="5">
        <f>G136/E136-1</f>
        <v>-0.02966569826915999</v>
      </c>
      <c r="J136" s="5">
        <v>-0.0358367346938776</v>
      </c>
      <c r="K136" s="4">
        <v>26173938590.4</v>
      </c>
    </row>
    <row r="137" spans="1:11">
      <c r="A137" s="1" t="s">
        <v>338</v>
      </c>
      <c r="B137" s="1" t="s">
        <v>339</v>
      </c>
      <c r="C137" s="1" t="s">
        <v>47</v>
      </c>
      <c r="D137" s="1" t="s">
        <v>331</v>
      </c>
      <c r="E137" s="4">
        <v>148.35</v>
      </c>
      <c r="F137" s="4">
        <v>144.41</v>
      </c>
      <c r="G137" s="4">
        <v>142.75</v>
      </c>
      <c r="H137" s="5">
        <f>G137/F137-1</f>
        <v>-0.01149504881933383</v>
      </c>
      <c r="I137" s="5">
        <f>G137/E137-1</f>
        <v>-0.03774856757667677</v>
      </c>
      <c r="J137" s="5">
        <v>-0.06253315649867375</v>
      </c>
      <c r="K137" s="4">
        <v>39927355864.25</v>
      </c>
    </row>
    <row r="138" spans="1:11">
      <c r="A138" s="1" t="s">
        <v>340</v>
      </c>
      <c r="B138" s="1" t="s">
        <v>341</v>
      </c>
      <c r="C138" s="1" t="s">
        <v>37</v>
      </c>
      <c r="D138" s="1" t="s">
        <v>38</v>
      </c>
      <c r="E138" s="4">
        <v>218.85</v>
      </c>
      <c r="F138" s="4">
        <v>211.03</v>
      </c>
      <c r="G138" s="4">
        <v>207.66</v>
      </c>
      <c r="H138" s="5">
        <f>G138/F138-1</f>
        <v>-0.015969293465384116</v>
      </c>
      <c r="I138" s="5">
        <f>G138/E138-1</f>
        <v>-0.051130911583276206</v>
      </c>
      <c r="J138" s="5">
        <v>-0.05446652958647469</v>
      </c>
      <c r="K138" s="4">
        <v>145982083973.64</v>
      </c>
    </row>
    <row r="139" spans="1:11">
      <c r="A139" s="1" t="s">
        <v>342</v>
      </c>
      <c r="B139" s="1" t="s">
        <v>343</v>
      </c>
      <c r="C139" s="1" t="s">
        <v>138</v>
      </c>
      <c r="D139" s="1" t="s">
        <v>139</v>
      </c>
      <c r="E139" s="4">
        <v>107.78</v>
      </c>
      <c r="F139" s="4">
        <v>107.16</v>
      </c>
      <c r="G139" s="4">
        <v>105.31</v>
      </c>
      <c r="H139" s="5">
        <f>G139/F139-1</f>
        <v>-0.017263904441955913</v>
      </c>
      <c r="I139" s="5">
        <f>G139/E139-1</f>
        <v>-0.022917053256633846</v>
      </c>
      <c r="J139" s="5">
        <v>-0.05339325842696629</v>
      </c>
      <c r="K139" s="4">
        <v>181837397649.62</v>
      </c>
    </row>
    <row r="140" spans="1:11">
      <c r="A140" s="1" t="s">
        <v>344</v>
      </c>
      <c r="B140" s="1" t="s">
        <v>345</v>
      </c>
      <c r="C140" s="1" t="s">
        <v>116</v>
      </c>
      <c r="D140" s="1" t="s">
        <v>117</v>
      </c>
      <c r="E140" s="4">
        <v>190.62</v>
      </c>
      <c r="F140" s="4">
        <v>187.79</v>
      </c>
      <c r="G140" s="4">
        <v>188.39</v>
      </c>
      <c r="H140" s="5">
        <f>G140/F140-1</f>
        <v>0.003195058309814147</v>
      </c>
      <c r="I140" s="5">
        <f>G140/E140-1</f>
        <v>-0.01169866750603299</v>
      </c>
      <c r="J140" s="5">
        <v>-0.05252546140722736</v>
      </c>
      <c r="K140" s="4">
        <v>70973140748.59</v>
      </c>
    </row>
    <row r="141" spans="1:11">
      <c r="A141" s="1" t="s">
        <v>346</v>
      </c>
      <c r="B141" s="1" t="s">
        <v>347</v>
      </c>
      <c r="C141" s="1" t="s">
        <v>66</v>
      </c>
      <c r="D141" s="1" t="s">
        <v>214</v>
      </c>
      <c r="E141" s="4">
        <v>131.48</v>
      </c>
      <c r="F141" s="4">
        <v>131.04</v>
      </c>
      <c r="G141" s="4">
        <v>131.42</v>
      </c>
      <c r="H141" s="5">
        <f>G141/F141-1</f>
        <v>0.0028998778998778896</v>
      </c>
      <c r="I141" s="5">
        <f>G141/E141-1</f>
        <v>-0.0004563431700639331</v>
      </c>
      <c r="J141" s="5">
        <v>-0.07429616087751367</v>
      </c>
      <c r="K141" s="4">
        <v>24658373894.58</v>
      </c>
    </row>
    <row r="142" spans="1:11">
      <c r="A142" s="1" t="s">
        <v>348</v>
      </c>
      <c r="B142" s="1" t="s">
        <v>349</v>
      </c>
      <c r="C142" s="1" t="s">
        <v>116</v>
      </c>
      <c r="D142" s="1" t="s">
        <v>117</v>
      </c>
      <c r="E142" s="4">
        <v>21.4</v>
      </c>
      <c r="F142" s="4">
        <v>21.03</v>
      </c>
      <c r="G142" s="4">
        <v>20.65</v>
      </c>
      <c r="H142" s="5">
        <f>G142/F142-1</f>
        <v>-0.01806942463147898</v>
      </c>
      <c r="I142" s="5">
        <f>G142/E142-1</f>
        <v>-0.03504672897196259</v>
      </c>
      <c r="J142" s="5">
        <v>-0.0466297322253002</v>
      </c>
      <c r="K142" s="4">
        <v>14238737919</v>
      </c>
    </row>
    <row r="143" spans="1:11">
      <c r="A143" s="1" t="s">
        <v>350</v>
      </c>
      <c r="B143" s="1" t="s">
        <v>351</v>
      </c>
      <c r="C143" s="1" t="s">
        <v>70</v>
      </c>
      <c r="D143" s="1" t="s">
        <v>100</v>
      </c>
      <c r="E143" s="4">
        <v>201.92</v>
      </c>
      <c r="F143" s="4">
        <v>191.07</v>
      </c>
      <c r="G143" s="4">
        <v>192.88</v>
      </c>
      <c r="H143" s="5">
        <f>G143/F143-1</f>
        <v>0.009472968022190775</v>
      </c>
      <c r="I143" s="5">
        <f>G143/E143-1</f>
        <v>-0.044770206022186954</v>
      </c>
      <c r="J143" s="5">
        <v>-0.07700576566011919</v>
      </c>
      <c r="K143" s="4">
        <v>25977121798</v>
      </c>
    </row>
    <row r="144" spans="1:11">
      <c r="A144" s="1" t="s">
        <v>352</v>
      </c>
      <c r="B144" s="1" t="s">
        <v>353</v>
      </c>
      <c r="C144" s="1" t="s">
        <v>93</v>
      </c>
      <c r="D144" s="1" t="s">
        <v>93</v>
      </c>
      <c r="E144" s="4">
        <v>32.35</v>
      </c>
      <c r="F144" s="4">
        <v>30.36</v>
      </c>
      <c r="G144" s="4">
        <v>29.44</v>
      </c>
      <c r="H144" s="5">
        <f>G144/F144-1</f>
        <v>-0.030303030303030276</v>
      </c>
      <c r="I144" s="5">
        <f>G144/E144-1</f>
        <v>-0.08995363214837715</v>
      </c>
      <c r="J144" s="5">
        <v>-0.08995363214837715</v>
      </c>
      <c r="K144" s="4">
        <v>21265710531.84</v>
      </c>
    </row>
    <row r="145" spans="1:11">
      <c r="A145" s="1" t="s">
        <v>354</v>
      </c>
      <c r="B145" s="1" t="s">
        <v>355</v>
      </c>
      <c r="C145" s="1" t="s">
        <v>47</v>
      </c>
      <c r="D145" s="1" t="s">
        <v>48</v>
      </c>
      <c r="E145" s="4">
        <v>341.85</v>
      </c>
      <c r="F145" s="4">
        <v>347.03</v>
      </c>
      <c r="G145" s="4">
        <v>341.08</v>
      </c>
      <c r="H145" s="5">
        <f>G145/F145-1</f>
        <v>-0.017145491744229524</v>
      </c>
      <c r="I145" s="5">
        <f>G145/E145-1</f>
        <v>-0.0022524499049291213</v>
      </c>
      <c r="J145" s="5">
        <v>-0.05102740704752651</v>
      </c>
      <c r="K145" s="4">
        <v>11283518173.8</v>
      </c>
    </row>
    <row r="146" spans="1:11">
      <c r="A146" s="1" t="s">
        <v>356</v>
      </c>
      <c r="B146" s="1" t="s">
        <v>357</v>
      </c>
      <c r="C146" s="1" t="s">
        <v>47</v>
      </c>
      <c r="D146" s="1" t="s">
        <v>48</v>
      </c>
      <c r="E146" s="4">
        <v>221.6</v>
      </c>
      <c r="F146" s="4">
        <v>218.04</v>
      </c>
      <c r="G146" s="4">
        <v>216.88</v>
      </c>
      <c r="H146" s="5">
        <f>G146/F146-1</f>
        <v>-0.005320124747752675</v>
      </c>
      <c r="I146" s="5">
        <f>G146/E146-1</f>
        <v>-0.021299638989169645</v>
      </c>
      <c r="J146" s="5">
        <v>-0.06397410888455402</v>
      </c>
      <c r="K146" s="4">
        <v>24624936041.28</v>
      </c>
    </row>
    <row r="147" spans="1:11">
      <c r="A147" s="1" t="s">
        <v>358</v>
      </c>
      <c r="B147" s="1" t="s">
        <v>359</v>
      </c>
      <c r="C147" s="1" t="s">
        <v>76</v>
      </c>
      <c r="D147" s="1" t="s">
        <v>76</v>
      </c>
      <c r="E147" s="4">
        <v>135.22</v>
      </c>
      <c r="F147" s="4">
        <v>137.07</v>
      </c>
      <c r="G147" s="4">
        <v>136.08</v>
      </c>
      <c r="H147" s="5">
        <f>G147/F147-1</f>
        <v>-0.007222586999343306</v>
      </c>
      <c r="I147" s="5">
        <f>G147/E147-1</f>
        <v>0.006360005916284717</v>
      </c>
      <c r="J147" s="5">
        <v>-0.01510420448769156</v>
      </c>
      <c r="K147" s="4">
        <v>28308466161.36</v>
      </c>
    </row>
    <row r="148" spans="1:11">
      <c r="A148" s="1" t="s">
        <v>360</v>
      </c>
      <c r="B148" s="1" t="s">
        <v>361</v>
      </c>
      <c r="C148" s="1" t="s">
        <v>76</v>
      </c>
      <c r="D148" s="1" t="s">
        <v>76</v>
      </c>
      <c r="E148" s="4">
        <v>119.85</v>
      </c>
      <c r="F148" s="4">
        <v>121.4</v>
      </c>
      <c r="G148" s="4">
        <v>120.22</v>
      </c>
      <c r="H148" s="5">
        <f>G148/F148-1</f>
        <v>-0.00971993410214178</v>
      </c>
      <c r="I148" s="5">
        <f>G148/E148-1</f>
        <v>0.0030871923237381083</v>
      </c>
      <c r="J148" s="5">
        <v>-0.01688939903254905</v>
      </c>
      <c r="K148" s="4">
        <v>93771600000</v>
      </c>
    </row>
    <row r="149" spans="1:11">
      <c r="A149" s="1" t="s">
        <v>362</v>
      </c>
      <c r="B149" s="1" t="s">
        <v>363</v>
      </c>
      <c r="C149" s="1" t="s">
        <v>37</v>
      </c>
      <c r="D149" s="1" t="s">
        <v>51</v>
      </c>
      <c r="E149" s="4">
        <v>173.82</v>
      </c>
      <c r="F149" s="4">
        <v>181.66</v>
      </c>
      <c r="G149" s="4">
        <v>183.99</v>
      </c>
      <c r="H149" s="5">
        <f>G149/F149-1</f>
        <v>0.012826158758119544</v>
      </c>
      <c r="I149" s="5">
        <f>G149/E149-1</f>
        <v>0.058508802209181976</v>
      </c>
      <c r="J149" s="5">
        <v>-0.02584680097409797</v>
      </c>
      <c r="K149" s="4">
        <v>11738562000</v>
      </c>
    </row>
    <row r="150" spans="1:11">
      <c r="A150" s="1" t="s">
        <v>364</v>
      </c>
      <c r="B150" s="1" t="s">
        <v>365</v>
      </c>
      <c r="C150" s="1" t="s">
        <v>129</v>
      </c>
      <c r="D150" s="1" t="s">
        <v>129</v>
      </c>
      <c r="E150" s="4">
        <v>49.1</v>
      </c>
      <c r="F150" s="4">
        <v>48.79</v>
      </c>
      <c r="G150" s="4">
        <v>48.06</v>
      </c>
      <c r="H150" s="5">
        <f>G150/F150-1</f>
        <v>-0.014962082393933152</v>
      </c>
      <c r="I150" s="5">
        <f>G150/E150-1</f>
        <v>-0.02118126272912424</v>
      </c>
      <c r="J150" s="5">
        <v>-0.04623217922606926</v>
      </c>
      <c r="K150" s="4">
        <v>52866000000</v>
      </c>
    </row>
    <row r="151" spans="1:11">
      <c r="A151" s="1" t="s">
        <v>366</v>
      </c>
      <c r="B151" s="1" t="s">
        <v>367</v>
      </c>
      <c r="C151" s="1" t="s">
        <v>37</v>
      </c>
      <c r="D151" s="1" t="s">
        <v>51</v>
      </c>
      <c r="E151" s="4">
        <v>92.34</v>
      </c>
      <c r="F151" s="4">
        <v>89.70999999999999</v>
      </c>
      <c r="G151" s="4">
        <v>87.90000000000001</v>
      </c>
      <c r="H151" s="5">
        <f>G151/F151-1</f>
        <v>-0.020176123063203488</v>
      </c>
      <c r="I151" s="5">
        <f>G151/E151-1</f>
        <v>-0.04808317089018843</v>
      </c>
      <c r="J151" s="5">
        <v>-0.04808317089018843</v>
      </c>
      <c r="K151" s="4">
        <v>33170011243.5</v>
      </c>
    </row>
    <row r="152" spans="1:11">
      <c r="A152" s="1" t="s">
        <v>368</v>
      </c>
      <c r="B152" s="1" t="s">
        <v>369</v>
      </c>
      <c r="C152" s="1" t="s">
        <v>47</v>
      </c>
      <c r="D152" s="1" t="s">
        <v>120</v>
      </c>
      <c r="E152" s="4">
        <v>104.13</v>
      </c>
      <c r="F152" s="4">
        <v>105.86</v>
      </c>
      <c r="G152" s="4">
        <v>103.41</v>
      </c>
      <c r="H152" s="5">
        <f>G152/F152-1</f>
        <v>-0.02314377479690155</v>
      </c>
      <c r="I152" s="5">
        <f>G152/E152-1</f>
        <v>-0.00691443388072599</v>
      </c>
      <c r="J152" s="5">
        <v>-0.04491968621591336</v>
      </c>
      <c r="K152" s="4">
        <v>46017450000</v>
      </c>
    </row>
    <row r="153" spans="1:11">
      <c r="A153" s="1" t="s">
        <v>370</v>
      </c>
      <c r="B153" s="1" t="s">
        <v>371</v>
      </c>
      <c r="C153" s="1" t="s">
        <v>138</v>
      </c>
      <c r="D153" s="1" t="s">
        <v>139</v>
      </c>
      <c r="E153" s="4">
        <v>86.81</v>
      </c>
      <c r="F153" s="4">
        <v>89.79000000000001</v>
      </c>
      <c r="G153" s="4">
        <v>89.8</v>
      </c>
      <c r="H153" s="5">
        <f>G153/F153-1</f>
        <v>0.00011137097672331286</v>
      </c>
      <c r="I153" s="5">
        <f>G153/E153-1</f>
        <v>0.034443036516530245</v>
      </c>
      <c r="J153" s="5">
        <v>-0.01716392120723431</v>
      </c>
      <c r="K153" s="4">
        <v>26086065578.4</v>
      </c>
    </row>
    <row r="154" spans="1:11">
      <c r="A154" s="1" t="s">
        <v>372</v>
      </c>
      <c r="B154" s="1" t="s">
        <v>373</v>
      </c>
      <c r="C154" s="1" t="s">
        <v>93</v>
      </c>
      <c r="D154" s="1" t="s">
        <v>93</v>
      </c>
      <c r="E154" s="4">
        <v>281.63</v>
      </c>
      <c r="F154" s="4">
        <v>278.97</v>
      </c>
      <c r="G154" s="4">
        <v>279.28</v>
      </c>
      <c r="H154" s="5">
        <f>G154/F154-1</f>
        <v>0.0011112305982721171</v>
      </c>
      <c r="I154" s="5">
        <f>G154/E154-1</f>
        <v>-0.008344281504101159</v>
      </c>
      <c r="J154" s="5">
        <v>-0.04002064693737095</v>
      </c>
      <c r="K154" s="4">
        <v>78290172245.84</v>
      </c>
    </row>
    <row r="155" spans="1:11">
      <c r="A155" s="1" t="s">
        <v>374</v>
      </c>
      <c r="B155" s="1" t="s">
        <v>375</v>
      </c>
      <c r="C155" s="1" t="s">
        <v>76</v>
      </c>
      <c r="D155" s="1" t="s">
        <v>76</v>
      </c>
      <c r="E155" s="4">
        <v>106.35</v>
      </c>
      <c r="F155" s="4">
        <v>108.75</v>
      </c>
      <c r="G155" s="4">
        <v>107.29</v>
      </c>
      <c r="H155" s="5">
        <f>G155/F155-1</f>
        <v>-0.013425287356321758</v>
      </c>
      <c r="I155" s="5">
        <f>G155/E155-1</f>
        <v>0.00883874000940299</v>
      </c>
      <c r="J155" s="5">
        <v>-0.01342528735632176</v>
      </c>
      <c r="K155" s="4">
        <v>39678914034.57001</v>
      </c>
    </row>
    <row r="156" spans="1:11">
      <c r="A156" s="1" t="s">
        <v>376</v>
      </c>
      <c r="B156" s="1" t="s">
        <v>377</v>
      </c>
      <c r="C156" s="1" t="s">
        <v>70</v>
      </c>
      <c r="D156" s="1" t="s">
        <v>71</v>
      </c>
      <c r="E156" s="4">
        <v>192.62</v>
      </c>
      <c r="F156" s="4">
        <v>189.09</v>
      </c>
      <c r="G156" s="4">
        <v>177.05</v>
      </c>
      <c r="H156" s="5">
        <f>G156/F156-1</f>
        <v>-0.06367338304511072</v>
      </c>
      <c r="I156" s="5">
        <f>G156/E156-1</f>
        <v>-0.08083272765029592</v>
      </c>
      <c r="J156" s="5">
        <v>-0.09032523249242141</v>
      </c>
      <c r="K156" s="4">
        <v>20800700836.8</v>
      </c>
    </row>
    <row r="157" spans="1:11">
      <c r="A157" s="1" t="s">
        <v>378</v>
      </c>
      <c r="B157" s="1" t="s">
        <v>379</v>
      </c>
      <c r="C157" s="1" t="s">
        <v>54</v>
      </c>
      <c r="D157" s="1" t="s">
        <v>55</v>
      </c>
      <c r="E157" s="4">
        <v>370.06</v>
      </c>
      <c r="F157" s="4">
        <v>386.25</v>
      </c>
      <c r="G157" s="4">
        <v>380.87</v>
      </c>
      <c r="H157" s="5">
        <f>G157/F157-1</f>
        <v>-0.013928802588996758</v>
      </c>
      <c r="I157" s="5">
        <f>G157/E157-1</f>
        <v>0.02921147921958611</v>
      </c>
      <c r="J157" s="5">
        <v>-0.01392880258899676</v>
      </c>
      <c r="K157" s="4">
        <v>14603597098.58</v>
      </c>
    </row>
    <row r="158" spans="1:11">
      <c r="A158" s="1" t="s">
        <v>380</v>
      </c>
      <c r="B158" s="1" t="s">
        <v>381</v>
      </c>
      <c r="C158" s="1" t="s">
        <v>76</v>
      </c>
      <c r="D158" s="1" t="s">
        <v>76</v>
      </c>
      <c r="E158" s="4">
        <v>71.59</v>
      </c>
      <c r="F158" s="4">
        <v>56.3</v>
      </c>
      <c r="G158" s="4">
        <v>56.77</v>
      </c>
      <c r="H158" s="5">
        <f>G158/F158-1</f>
        <v>0.008348134991119194</v>
      </c>
      <c r="I158" s="5">
        <f>G158/E158-1</f>
        <v>-0.20701215253527028</v>
      </c>
      <c r="J158" s="5">
        <v>-0.278149237764108</v>
      </c>
      <c r="K158" s="4">
        <v>21845889587.83</v>
      </c>
    </row>
    <row r="159" spans="1:11">
      <c r="A159" s="1" t="s">
        <v>382</v>
      </c>
      <c r="B159" s="1" t="s">
        <v>383</v>
      </c>
      <c r="C159" s="1" t="s">
        <v>66</v>
      </c>
      <c r="D159" s="1" t="s">
        <v>240</v>
      </c>
      <c r="E159" s="4">
        <v>101.94</v>
      </c>
      <c r="F159" s="4">
        <v>100.86</v>
      </c>
      <c r="G159" s="4">
        <v>103.86</v>
      </c>
      <c r="H159" s="5">
        <f>G159/F159-1</f>
        <v>0.02974419988102328</v>
      </c>
      <c r="I159" s="5">
        <f>G159/E159-1</f>
        <v>0.018834608593290225</v>
      </c>
      <c r="J159" s="5">
        <v>-0.05846907070897278</v>
      </c>
      <c r="K159" s="4">
        <v>37576399168.62</v>
      </c>
    </row>
    <row r="160" spans="1:11">
      <c r="A160" s="1" t="s">
        <v>384</v>
      </c>
      <c r="B160" s="1" t="s">
        <v>385</v>
      </c>
      <c r="C160" s="1" t="s">
        <v>37</v>
      </c>
      <c r="D160" s="1" t="s">
        <v>51</v>
      </c>
      <c r="E160" s="4">
        <v>400.54</v>
      </c>
      <c r="F160" s="4">
        <v>414.78</v>
      </c>
      <c r="G160" s="4">
        <v>407.5</v>
      </c>
      <c r="H160" s="5">
        <f>G160/F160-1</f>
        <v>-0.01755147307006122</v>
      </c>
      <c r="I160" s="5">
        <f>G160/E160-1</f>
        <v>0.017376541668747247</v>
      </c>
      <c r="J160" s="5">
        <v>-0.025060228994362</v>
      </c>
      <c r="K160" s="4">
        <v>88374235675</v>
      </c>
    </row>
    <row r="161" spans="1:11">
      <c r="A161" s="1" t="s">
        <v>386</v>
      </c>
      <c r="B161" s="1" t="s">
        <v>387</v>
      </c>
      <c r="C161" s="1" t="s">
        <v>70</v>
      </c>
      <c r="D161" s="1" t="s">
        <v>100</v>
      </c>
      <c r="E161" s="4">
        <v>776.62</v>
      </c>
      <c r="F161" s="4">
        <v>741.3200000000001</v>
      </c>
      <c r="G161" s="4">
        <v>754.16</v>
      </c>
      <c r="H161" s="5">
        <f>G161/F161-1</f>
        <v>0.01732045540387417</v>
      </c>
      <c r="I161" s="5">
        <f>G161/E161-1</f>
        <v>-0.028920192629600106</v>
      </c>
      <c r="J161" s="5">
        <v>-0.05454404985707295</v>
      </c>
      <c r="K161" s="4">
        <v>33265922938.16</v>
      </c>
    </row>
    <row r="162" spans="1:11">
      <c r="A162" s="1" t="s">
        <v>388</v>
      </c>
      <c r="B162" s="1" t="s">
        <v>389</v>
      </c>
      <c r="C162" s="1" t="s">
        <v>70</v>
      </c>
      <c r="D162" s="1" t="s">
        <v>100</v>
      </c>
      <c r="E162" s="4">
        <v>157.26</v>
      </c>
      <c r="F162" s="4">
        <v>150.21</v>
      </c>
      <c r="G162" s="4">
        <v>152.82</v>
      </c>
      <c r="H162" s="5">
        <f>G162/F162-1</f>
        <v>0.017375674056321122</v>
      </c>
      <c r="I162" s="5">
        <f>G162/E162-1</f>
        <v>-0.028233498664631762</v>
      </c>
      <c r="J162" s="5">
        <v>-0.06734474698338488</v>
      </c>
      <c r="K162" s="4">
        <v>85242655058.58</v>
      </c>
    </row>
    <row r="163" spans="1:11">
      <c r="A163" s="1" t="s">
        <v>390</v>
      </c>
      <c r="B163" s="1" t="s">
        <v>391</v>
      </c>
      <c r="C163" s="1" t="s">
        <v>129</v>
      </c>
      <c r="D163" s="1" t="s">
        <v>129</v>
      </c>
      <c r="E163" s="4">
        <v>153.05</v>
      </c>
      <c r="F163" s="4">
        <v>145.96</v>
      </c>
      <c r="G163" s="4">
        <v>145.19</v>
      </c>
      <c r="H163" s="5">
        <f>G163/F163-1</f>
        <v>-0.005275417922718573</v>
      </c>
      <c r="I163" s="5">
        <f>G163/E163-1</f>
        <v>-0.05135576608951331</v>
      </c>
      <c r="J163" s="5">
        <v>-0.06337798105194392</v>
      </c>
      <c r="K163" s="4">
        <v>76156391063.43999</v>
      </c>
    </row>
    <row r="164" spans="1:11">
      <c r="A164" s="1" t="s">
        <v>392</v>
      </c>
      <c r="B164" s="1" t="s">
        <v>393</v>
      </c>
      <c r="C164" s="1" t="s">
        <v>116</v>
      </c>
      <c r="D164" s="1" t="s">
        <v>117</v>
      </c>
      <c r="E164" s="4">
        <v>1065.39</v>
      </c>
      <c r="F164" s="4">
        <v>1040.83</v>
      </c>
      <c r="G164" s="4">
        <v>1035.98</v>
      </c>
      <c r="H164" s="5">
        <f>G164/F164-1</f>
        <v>-0.0046597427053408635</v>
      </c>
      <c r="I164" s="5">
        <f>G164/E164-1</f>
        <v>-0.027604914632200495</v>
      </c>
      <c r="J164" s="5">
        <v>-0.05591834088235559</v>
      </c>
      <c r="K164" s="4">
        <v>102221893262.28</v>
      </c>
    </row>
    <row r="165" spans="1:11">
      <c r="A165" s="1" t="s">
        <v>394</v>
      </c>
      <c r="B165" s="1" t="s">
        <v>395</v>
      </c>
      <c r="C165" s="1" t="s">
        <v>129</v>
      </c>
      <c r="D165" s="1" t="s">
        <v>129</v>
      </c>
      <c r="E165" s="4">
        <v>53.72</v>
      </c>
      <c r="F165" s="4">
        <v>55.61</v>
      </c>
      <c r="G165" s="4">
        <v>55.17</v>
      </c>
      <c r="H165" s="5">
        <f>G165/F165-1</f>
        <v>-0.007912245998921041</v>
      </c>
      <c r="I165" s="5">
        <f>G165/E165-1</f>
        <v>0.026991809381980758</v>
      </c>
      <c r="J165" s="5">
        <v>-0.01113341850702687</v>
      </c>
      <c r="K165" s="4">
        <v>34509717720</v>
      </c>
    </row>
    <row r="166" spans="1:11">
      <c r="A166" s="1" t="s">
        <v>396</v>
      </c>
      <c r="B166" s="1" t="s">
        <v>397</v>
      </c>
      <c r="C166" s="1" t="s">
        <v>54</v>
      </c>
      <c r="D166" s="1" t="s">
        <v>55</v>
      </c>
      <c r="E166" s="4">
        <v>264.85</v>
      </c>
      <c r="F166" s="4">
        <v>258.37</v>
      </c>
      <c r="G166" s="4">
        <v>252.8</v>
      </c>
      <c r="H166" s="5">
        <f>G166/F166-1</f>
        <v>-0.021558230444711057</v>
      </c>
      <c r="I166" s="5">
        <f>G166/E166-1</f>
        <v>-0.04549745138757788</v>
      </c>
      <c r="J166" s="5">
        <v>-0.05896366885050619</v>
      </c>
      <c r="K166" s="4">
        <v>13218878630.4</v>
      </c>
    </row>
    <row r="167" spans="1:11">
      <c r="A167" s="1" t="s">
        <v>398</v>
      </c>
      <c r="B167" s="1" t="s">
        <v>399</v>
      </c>
      <c r="C167" s="1" t="s">
        <v>76</v>
      </c>
      <c r="D167" s="1" t="s">
        <v>76</v>
      </c>
      <c r="E167" s="4">
        <v>70.20999999999999</v>
      </c>
      <c r="F167" s="4">
        <v>71.47</v>
      </c>
      <c r="G167" s="4">
        <v>71.05</v>
      </c>
      <c r="H167" s="5">
        <f>G167/F167-1</f>
        <v>-0.00587659157688547</v>
      </c>
      <c r="I167" s="5">
        <f>G167/E167-1</f>
        <v>0.011964107676969205</v>
      </c>
      <c r="J167" s="5">
        <v>-0.02134784428631231</v>
      </c>
      <c r="K167" s="4">
        <v>26762741271.7</v>
      </c>
    </row>
    <row r="168" spans="1:11">
      <c r="A168" s="1" t="s">
        <v>400</v>
      </c>
      <c r="B168" s="1" t="s">
        <v>401</v>
      </c>
      <c r="C168" s="1" t="s">
        <v>116</v>
      </c>
      <c r="D168" s="1" t="s">
        <v>117</v>
      </c>
      <c r="E168" s="4">
        <v>289</v>
      </c>
      <c r="F168" s="4">
        <v>278.65</v>
      </c>
      <c r="G168" s="4">
        <v>278.61</v>
      </c>
      <c r="H168" s="5">
        <f>G168/F168-1</f>
        <v>-0.0001435492553381046</v>
      </c>
      <c r="I168" s="5">
        <f>G168/E168-1</f>
        <v>-0.03595155709342557</v>
      </c>
      <c r="J168" s="5">
        <v>-0.05558393787677529</v>
      </c>
      <c r="K168" s="4">
        <v>17905829789.79</v>
      </c>
    </row>
    <row r="169" spans="1:11">
      <c r="A169" s="1" t="s">
        <v>402</v>
      </c>
      <c r="B169" s="1" t="s">
        <v>403</v>
      </c>
      <c r="C169" s="1" t="s">
        <v>70</v>
      </c>
      <c r="D169" s="1" t="s">
        <v>100</v>
      </c>
      <c r="E169" s="4">
        <v>419.2</v>
      </c>
      <c r="F169" s="4">
        <v>397.12</v>
      </c>
      <c r="G169" s="4">
        <v>410.85</v>
      </c>
      <c r="H169" s="5">
        <f>G169/F169-1</f>
        <v>0.034573932312651046</v>
      </c>
      <c r="I169" s="5">
        <f>G169/E169-1</f>
        <v>-0.01991889312977091</v>
      </c>
      <c r="J169" s="5">
        <v>-0.06849609002479495</v>
      </c>
      <c r="K169" s="4">
        <v>159574140000</v>
      </c>
    </row>
    <row r="170" spans="1:11">
      <c r="A170" s="1" t="s">
        <v>404</v>
      </c>
      <c r="B170" s="1" t="s">
        <v>405</v>
      </c>
      <c r="C170" s="1" t="s">
        <v>76</v>
      </c>
      <c r="D170" s="1" t="s">
        <v>76</v>
      </c>
      <c r="E170" s="4">
        <v>104.62</v>
      </c>
      <c r="F170" s="4">
        <v>107.78</v>
      </c>
      <c r="G170" s="4">
        <v>107.27</v>
      </c>
      <c r="H170" s="5">
        <f>G170/F170-1</f>
        <v>-0.004731861198738252</v>
      </c>
      <c r="I170" s="5">
        <f>G170/E170-1</f>
        <v>0.02532976486331484</v>
      </c>
      <c r="J170" s="5">
        <v>-0.01380210761913647</v>
      </c>
      <c r="K170" s="4">
        <v>50055560790.46001</v>
      </c>
    </row>
    <row r="171" spans="1:11">
      <c r="A171" s="1" t="s">
        <v>406</v>
      </c>
      <c r="B171" s="1" t="s">
        <v>407</v>
      </c>
      <c r="C171" s="1" t="s">
        <v>76</v>
      </c>
      <c r="D171" s="1" t="s">
        <v>76</v>
      </c>
      <c r="E171" s="4">
        <v>80.92</v>
      </c>
      <c r="F171" s="4">
        <v>81.93000000000001</v>
      </c>
      <c r="G171" s="4">
        <v>81.54000000000001</v>
      </c>
      <c r="H171" s="5">
        <f>G171/F171-1</f>
        <v>-0.004760161113145367</v>
      </c>
      <c r="I171" s="5">
        <f>G171/E171-1</f>
        <v>0.007661888284725693</v>
      </c>
      <c r="J171" s="5">
        <v>-0.0192143986379667</v>
      </c>
      <c r="K171" s="4">
        <v>18733484192.22</v>
      </c>
    </row>
    <row r="172" spans="1:11">
      <c r="A172" s="1" t="s">
        <v>408</v>
      </c>
      <c r="B172" s="1" t="s">
        <v>409</v>
      </c>
      <c r="C172" s="1" t="s">
        <v>37</v>
      </c>
      <c r="D172" s="1" t="s">
        <v>51</v>
      </c>
      <c r="E172" s="4">
        <v>89.79000000000001</v>
      </c>
      <c r="F172" s="4">
        <v>89.78</v>
      </c>
      <c r="G172" s="4">
        <v>89.90000000000001</v>
      </c>
      <c r="H172" s="5">
        <f>G172/F172-1</f>
        <v>0.0013366005791937141</v>
      </c>
      <c r="I172" s="5">
        <f>G172/E172-1</f>
        <v>0.0012250807439582179</v>
      </c>
      <c r="J172" s="5">
        <v>-0.01199515791790473</v>
      </c>
      <c r="K172" s="4">
        <v>51818360000</v>
      </c>
    </row>
    <row r="173" spans="1:11">
      <c r="A173" s="1" t="s">
        <v>410</v>
      </c>
      <c r="B173" s="1" t="s">
        <v>411</v>
      </c>
      <c r="C173" s="1" t="s">
        <v>76</v>
      </c>
      <c r="D173" s="1" t="s">
        <v>76</v>
      </c>
      <c r="E173" s="4">
        <v>43.78</v>
      </c>
      <c r="F173" s="4">
        <v>44.53</v>
      </c>
      <c r="G173" s="4">
        <v>43.64</v>
      </c>
      <c r="H173" s="5">
        <f>G173/F173-1</f>
        <v>-0.01998652593757022</v>
      </c>
      <c r="I173" s="5">
        <f>G173/E173-1</f>
        <v>-0.0031978072179077444</v>
      </c>
      <c r="J173" s="5">
        <v>-0.01998652593757022</v>
      </c>
      <c r="K173" s="4">
        <v>44651360971.24</v>
      </c>
    </row>
    <row r="174" spans="1:11">
      <c r="A174" s="1" t="s">
        <v>412</v>
      </c>
      <c r="B174" s="1" t="s">
        <v>413</v>
      </c>
      <c r="C174" s="1" t="s">
        <v>129</v>
      </c>
      <c r="D174" s="1" t="s">
        <v>129</v>
      </c>
      <c r="E174" s="4">
        <v>96.09</v>
      </c>
      <c r="F174" s="4">
        <v>99.05</v>
      </c>
      <c r="G174" s="4">
        <v>97.91</v>
      </c>
      <c r="H174" s="5">
        <f>G174/F174-1</f>
        <v>-0.01150933871781934</v>
      </c>
      <c r="I174" s="5">
        <f>G174/E174-1</f>
        <v>0.018940576542824328</v>
      </c>
      <c r="J174" s="5">
        <v>-0.02070414082816574</v>
      </c>
      <c r="K174" s="4">
        <v>22666535980.99</v>
      </c>
    </row>
    <row r="175" spans="1:11">
      <c r="A175" s="1" t="s">
        <v>414</v>
      </c>
      <c r="B175" s="1" t="s">
        <v>415</v>
      </c>
      <c r="C175" s="1" t="s">
        <v>70</v>
      </c>
      <c r="D175" s="1" t="s">
        <v>243</v>
      </c>
      <c r="E175" s="4">
        <v>187.81</v>
      </c>
      <c r="F175" s="4">
        <v>187.13</v>
      </c>
      <c r="G175" s="4">
        <v>188.8</v>
      </c>
      <c r="H175" s="5">
        <f>G175/F175-1</f>
        <v>0.008924277240421219</v>
      </c>
      <c r="I175" s="5">
        <f>G175/E175-1</f>
        <v>0.0052712848091156506</v>
      </c>
      <c r="J175" s="5">
        <v>-0.02518720217835269</v>
      </c>
      <c r="K175" s="4">
        <v>24542229433.6</v>
      </c>
    </row>
    <row r="176" spans="1:11">
      <c r="A176" s="1" t="s">
        <v>416</v>
      </c>
      <c r="B176" s="1" t="s">
        <v>417</v>
      </c>
      <c r="C176" s="1" t="s">
        <v>47</v>
      </c>
      <c r="D176" s="1" t="s">
        <v>48</v>
      </c>
      <c r="E176" s="4">
        <v>321.63</v>
      </c>
      <c r="F176" s="4">
        <v>303.14</v>
      </c>
      <c r="G176" s="4">
        <v>298.04</v>
      </c>
      <c r="H176" s="5">
        <f>G176/F176-1</f>
        <v>-0.016823909744672294</v>
      </c>
      <c r="I176" s="5">
        <f>G176/E176-1</f>
        <v>-0.07334514815160265</v>
      </c>
      <c r="J176" s="5">
        <v>-0.1211500184297825</v>
      </c>
      <c r="K176" s="4">
        <v>35770564987.72</v>
      </c>
    </row>
    <row r="177" spans="1:11">
      <c r="A177" s="1" t="s">
        <v>418</v>
      </c>
      <c r="B177" s="1" t="s">
        <v>419</v>
      </c>
      <c r="C177" s="1" t="s">
        <v>116</v>
      </c>
      <c r="D177" s="1" t="s">
        <v>117</v>
      </c>
      <c r="E177" s="4">
        <v>146.81</v>
      </c>
      <c r="F177" s="4">
        <v>140.98</v>
      </c>
      <c r="G177" s="4">
        <v>139.25</v>
      </c>
      <c r="H177" s="5">
        <f>G177/F177-1</f>
        <v>-0.012271244148106097</v>
      </c>
      <c r="I177" s="5">
        <f>G177/E177-1</f>
        <v>-0.05149512975955317</v>
      </c>
      <c r="J177" s="5">
        <v>-0.05149512975955317</v>
      </c>
      <c r="K177" s="4">
        <v>29418109149.75</v>
      </c>
    </row>
    <row r="178" spans="1:11">
      <c r="A178" s="1" t="s">
        <v>420</v>
      </c>
      <c r="B178" s="1" t="s">
        <v>421</v>
      </c>
      <c r="C178" s="1" t="s">
        <v>47</v>
      </c>
      <c r="D178" s="1" t="s">
        <v>142</v>
      </c>
      <c r="E178" s="4">
        <v>14.41</v>
      </c>
      <c r="F178" s="4">
        <v>14.41</v>
      </c>
      <c r="G178" s="4">
        <v>14.62</v>
      </c>
      <c r="H178" s="5">
        <f>G178/F178-1</f>
        <v>0.014573213046495503</v>
      </c>
      <c r="I178" s="5">
        <f>G178/E178-1</f>
        <v>0.014573213046495503</v>
      </c>
      <c r="J178" s="5">
        <v>-0.03955586398334487</v>
      </c>
      <c r="K178" s="4">
        <v>58298648651.53999</v>
      </c>
    </row>
    <row r="179" spans="1:11">
      <c r="A179" s="1" t="s">
        <v>422</v>
      </c>
      <c r="B179" s="1" t="s">
        <v>423</v>
      </c>
      <c r="C179" s="1" t="s">
        <v>129</v>
      </c>
      <c r="D179" s="1" t="s">
        <v>129</v>
      </c>
      <c r="E179" s="4">
        <v>210.72</v>
      </c>
      <c r="F179" s="4">
        <v>202.94</v>
      </c>
      <c r="G179" s="4">
        <v>199.22</v>
      </c>
      <c r="H179" s="5">
        <f>G179/F179-1</f>
        <v>-0.0183305410466148</v>
      </c>
      <c r="I179" s="5">
        <f>G179/E179-1</f>
        <v>-0.05457479119210329</v>
      </c>
      <c r="J179" s="5">
        <v>-0.06193052391799547</v>
      </c>
      <c r="K179" s="4">
        <v>55786451604.66</v>
      </c>
    </row>
    <row r="180" spans="1:11">
      <c r="A180" s="1" t="s">
        <v>424</v>
      </c>
      <c r="B180" s="1" t="s">
        <v>425</v>
      </c>
      <c r="C180" s="1" t="s">
        <v>70</v>
      </c>
      <c r="D180" s="1" t="s">
        <v>100</v>
      </c>
      <c r="E180" s="4">
        <v>51.26</v>
      </c>
      <c r="F180" s="4">
        <v>49.23</v>
      </c>
      <c r="G180" s="4">
        <v>49.6</v>
      </c>
      <c r="H180" s="5">
        <f>G180/F180-1</f>
        <v>0.007515742433475525</v>
      </c>
      <c r="I180" s="5">
        <f>G180/E180-1</f>
        <v>-0.032383925087787646</v>
      </c>
      <c r="J180" s="5">
        <v>-0.06532761310452417</v>
      </c>
      <c r="K180" s="4">
        <v>56915879620.8</v>
      </c>
    </row>
    <row r="181" spans="1:11">
      <c r="A181" s="1" t="s">
        <v>426</v>
      </c>
      <c r="B181" s="1" t="s">
        <v>427</v>
      </c>
      <c r="C181" s="1" t="s">
        <v>93</v>
      </c>
      <c r="D181" s="1" t="s">
        <v>93</v>
      </c>
      <c r="E181" s="4">
        <v>76.66</v>
      </c>
      <c r="F181" s="4">
        <v>72.56</v>
      </c>
      <c r="G181" s="4">
        <v>72.73</v>
      </c>
      <c r="H181" s="5">
        <f>G181/F181-1</f>
        <v>0.0023428886438809915</v>
      </c>
      <c r="I181" s="5">
        <f>G181/E181-1</f>
        <v>-0.05126532741977552</v>
      </c>
      <c r="J181" s="5">
        <v>-0.09310474283569015</v>
      </c>
      <c r="K181" s="4">
        <v>104441554447.79</v>
      </c>
    </row>
    <row r="182" spans="1:11">
      <c r="A182" s="1" t="s">
        <v>428</v>
      </c>
      <c r="B182" s="1" t="s">
        <v>429</v>
      </c>
      <c r="C182" s="1" t="s">
        <v>54</v>
      </c>
      <c r="D182" s="1" t="s">
        <v>113</v>
      </c>
      <c r="E182" s="4">
        <v>299.91</v>
      </c>
      <c r="F182" s="4">
        <v>312.96</v>
      </c>
      <c r="G182" s="4">
        <v>301.96</v>
      </c>
      <c r="H182" s="5">
        <f>G182/F182-1</f>
        <v>-0.035148261758691235</v>
      </c>
      <c r="I182" s="5">
        <f>G182/E182-1</f>
        <v>0.0068353839485177925</v>
      </c>
      <c r="J182" s="5">
        <v>-0.0369638016265349</v>
      </c>
      <c r="K182" s="4">
        <v>10739371364.28</v>
      </c>
    </row>
    <row r="183" spans="1:11">
      <c r="A183" s="1" t="s">
        <v>430</v>
      </c>
      <c r="B183" s="1" t="s">
        <v>431</v>
      </c>
      <c r="C183" s="1" t="s">
        <v>70</v>
      </c>
      <c r="D183" s="1" t="s">
        <v>243</v>
      </c>
      <c r="E183" s="4">
        <v>325.08</v>
      </c>
      <c r="F183" s="4">
        <v>324.31</v>
      </c>
      <c r="G183" s="4">
        <v>322.52</v>
      </c>
      <c r="H183" s="5">
        <f>G183/F183-1</f>
        <v>-0.00551941044062787</v>
      </c>
      <c r="I183" s="5">
        <f>G183/E183-1</f>
        <v>-0.007874984619170688</v>
      </c>
      <c r="J183" s="5">
        <v>-0.05788862763772729</v>
      </c>
      <c r="K183" s="4">
        <v>76330948696.2</v>
      </c>
    </row>
    <row r="184" spans="1:11">
      <c r="A184" s="1" t="s">
        <v>432</v>
      </c>
      <c r="B184" s="1" t="s">
        <v>433</v>
      </c>
      <c r="C184" s="1" t="s">
        <v>70</v>
      </c>
      <c r="D184" s="1" t="s">
        <v>243</v>
      </c>
      <c r="E184" s="4">
        <v>137.32</v>
      </c>
      <c r="F184" s="4">
        <v>127.19</v>
      </c>
      <c r="G184" s="4">
        <v>129.45</v>
      </c>
      <c r="H184" s="5">
        <f>G184/F184-1</f>
        <v>0.01776869250727242</v>
      </c>
      <c r="I184" s="5">
        <f>G184/E184-1</f>
        <v>-0.05731138945528691</v>
      </c>
      <c r="J184" s="5">
        <v>-0.07806583163413927</v>
      </c>
      <c r="K184" s="4">
        <v>19355122316.85</v>
      </c>
    </row>
    <row r="185" spans="1:11">
      <c r="A185" s="1" t="s">
        <v>434</v>
      </c>
      <c r="B185" s="1" t="s">
        <v>435</v>
      </c>
      <c r="C185" s="1" t="s">
        <v>76</v>
      </c>
      <c r="D185" s="1" t="s">
        <v>76</v>
      </c>
      <c r="E185" s="4">
        <v>45.96</v>
      </c>
      <c r="F185" s="4">
        <v>47.04</v>
      </c>
      <c r="G185" s="4">
        <v>46.77</v>
      </c>
      <c r="H185" s="5">
        <f>G185/F185-1</f>
        <v>-0.005739795918367263</v>
      </c>
      <c r="I185" s="5">
        <f>G185/E185-1</f>
        <v>0.01762402088772852</v>
      </c>
      <c r="J185" s="5">
        <v>-0.01861759041301081</v>
      </c>
      <c r="K185" s="4">
        <v>27053226054.75</v>
      </c>
    </row>
    <row r="186" spans="1:11">
      <c r="A186" s="1" t="s">
        <v>436</v>
      </c>
      <c r="B186" s="1" t="s">
        <v>437</v>
      </c>
      <c r="C186" s="1" t="s">
        <v>70</v>
      </c>
      <c r="D186" s="1" t="s">
        <v>100</v>
      </c>
      <c r="E186" s="4">
        <v>242.24</v>
      </c>
      <c r="F186" s="4">
        <v>223.23</v>
      </c>
      <c r="G186" s="4">
        <v>228.41</v>
      </c>
      <c r="H186" s="5">
        <f>G186/F186-1</f>
        <v>0.023204766384446573</v>
      </c>
      <c r="I186" s="5">
        <f>G186/E186-1</f>
        <v>-0.05709214002642016</v>
      </c>
      <c r="J186" s="5">
        <v>-0.09630944517833562</v>
      </c>
      <c r="K186" s="4">
        <v>44186535089.97</v>
      </c>
    </row>
    <row r="187" spans="1:11">
      <c r="A187" s="1" t="s">
        <v>438</v>
      </c>
      <c r="B187" s="1" t="s">
        <v>439</v>
      </c>
      <c r="C187" s="1" t="s">
        <v>41</v>
      </c>
      <c r="D187" s="1" t="s">
        <v>42</v>
      </c>
      <c r="E187" s="4">
        <v>384.63</v>
      </c>
      <c r="F187" s="4">
        <v>392.15</v>
      </c>
      <c r="G187" s="4">
        <v>390.47</v>
      </c>
      <c r="H187" s="5">
        <f>G187/F187-1</f>
        <v>-0.004284074971311891</v>
      </c>
      <c r="I187" s="5">
        <f>G187/E187-1</f>
        <v>0.015183423029925036</v>
      </c>
      <c r="J187" s="5">
        <v>-0.04814489785968501</v>
      </c>
      <c r="K187" s="4">
        <v>22111215755.54</v>
      </c>
    </row>
    <row r="188" spans="1:11">
      <c r="A188" s="1" t="s">
        <v>440</v>
      </c>
      <c r="B188" s="1" t="s">
        <v>441</v>
      </c>
      <c r="C188" s="1" t="s">
        <v>41</v>
      </c>
      <c r="D188" s="1" t="s">
        <v>58</v>
      </c>
      <c r="E188" s="4">
        <v>1172.67</v>
      </c>
      <c r="F188" s="4">
        <v>1118.93</v>
      </c>
      <c r="G188" s="4">
        <v>932.26</v>
      </c>
      <c r="H188" s="5">
        <f>G188/F188-1</f>
        <v>-0.16682902415700718</v>
      </c>
      <c r="I188" s="5">
        <f>G188/E188-1</f>
        <v>-0.2050107873485295</v>
      </c>
      <c r="J188" s="5">
        <v>-0.2050107873485295</v>
      </c>
      <c r="K188" s="4">
        <v>20134611205.1</v>
      </c>
    </row>
    <row r="189" spans="1:11">
      <c r="A189" s="1" t="s">
        <v>442</v>
      </c>
      <c r="B189" s="1" t="s">
        <v>443</v>
      </c>
      <c r="C189" s="1" t="s">
        <v>54</v>
      </c>
      <c r="D189" s="1" t="s">
        <v>113</v>
      </c>
      <c r="E189" s="4">
        <v>41.34</v>
      </c>
      <c r="F189" s="4">
        <v>42.28</v>
      </c>
      <c r="G189" s="4">
        <v>41.89</v>
      </c>
      <c r="H189" s="5">
        <f>G189/F189-1</f>
        <v>-0.009224219489120111</v>
      </c>
      <c r="I189" s="5">
        <f>G189/E189-1</f>
        <v>0.013304305757135815</v>
      </c>
      <c r="J189" s="5">
        <v>-0.02246376811594197</v>
      </c>
      <c r="K189" s="4">
        <v>21602920863.13</v>
      </c>
    </row>
    <row r="190" spans="1:11">
      <c r="A190" s="1" t="s">
        <v>444</v>
      </c>
      <c r="B190" s="1" t="s">
        <v>445</v>
      </c>
      <c r="C190" s="1" t="s">
        <v>54</v>
      </c>
      <c r="D190" s="1" t="s">
        <v>113</v>
      </c>
      <c r="E190" s="4">
        <v>52.58</v>
      </c>
      <c r="F190" s="4">
        <v>52.73</v>
      </c>
      <c r="G190" s="4">
        <v>53</v>
      </c>
      <c r="H190" s="5">
        <f>G190/F190-1</f>
        <v>0.005120424805613588</v>
      </c>
      <c r="I190" s="5">
        <f>G190/E190-1</f>
        <v>0.007987828071510217</v>
      </c>
      <c r="J190" s="5">
        <v>-0.03076345901331834</v>
      </c>
      <c r="K190" s="4">
        <v>28183636213</v>
      </c>
    </row>
    <row r="191" spans="1:11">
      <c r="A191" s="1" t="s">
        <v>446</v>
      </c>
      <c r="B191" s="1" t="s">
        <v>447</v>
      </c>
      <c r="C191" s="1" t="s">
        <v>54</v>
      </c>
      <c r="D191" s="1" t="s">
        <v>165</v>
      </c>
      <c r="E191" s="4">
        <v>54.82</v>
      </c>
      <c r="F191" s="4">
        <v>54.97</v>
      </c>
      <c r="G191" s="4">
        <v>54.87</v>
      </c>
      <c r="H191" s="5">
        <f>G191/F191-1</f>
        <v>-0.001819174094960907</v>
      </c>
      <c r="I191" s="5">
        <f>G191/E191-1</f>
        <v>0.0009120758847136479</v>
      </c>
      <c r="J191" s="5">
        <v>-0.0379310344827587</v>
      </c>
      <c r="K191" s="4">
        <v>49761194986.68</v>
      </c>
    </row>
    <row r="192" spans="1:11">
      <c r="A192" s="1" t="s">
        <v>448</v>
      </c>
      <c r="B192" s="1" t="s">
        <v>449</v>
      </c>
      <c r="C192" s="1" t="s">
        <v>70</v>
      </c>
      <c r="D192" s="1" t="s">
        <v>100</v>
      </c>
      <c r="E192" s="4">
        <v>1655.61</v>
      </c>
      <c r="F192" s="4">
        <v>1580.19</v>
      </c>
      <c r="G192" s="4">
        <v>1610.34</v>
      </c>
      <c r="H192" s="5">
        <f>G192/F192-1</f>
        <v>0.019079984052550625</v>
      </c>
      <c r="I192" s="5">
        <f>G192/E192-1</f>
        <v>-0.027343396089658745</v>
      </c>
      <c r="J192" s="5">
        <v>-0.08267647574005954</v>
      </c>
      <c r="K192" s="4">
        <v>56674835761.86001</v>
      </c>
    </row>
    <row r="193" spans="1:11">
      <c r="A193" s="1" t="s">
        <v>450</v>
      </c>
      <c r="B193" s="1" t="s">
        <v>451</v>
      </c>
      <c r="C193" s="1" t="s">
        <v>41</v>
      </c>
      <c r="D193" s="1" t="s">
        <v>42</v>
      </c>
      <c r="E193" s="4">
        <v>110.45</v>
      </c>
      <c r="F193" s="4">
        <v>107.89</v>
      </c>
      <c r="G193" s="4">
        <v>109.51</v>
      </c>
      <c r="H193" s="5">
        <f>G193/F193-1</f>
        <v>0.015015293354342374</v>
      </c>
      <c r="I193" s="5">
        <f>G193/E193-1</f>
        <v>-0.008510638297872353</v>
      </c>
      <c r="J193" s="5">
        <v>-0.08109280138768427</v>
      </c>
      <c r="K193" s="4">
        <v>40453320120.78</v>
      </c>
    </row>
    <row r="194" spans="1:11">
      <c r="A194" s="1" t="s">
        <v>452</v>
      </c>
      <c r="B194" s="1" t="s">
        <v>453</v>
      </c>
      <c r="C194" s="1" t="s">
        <v>138</v>
      </c>
      <c r="D194" s="1" t="s">
        <v>139</v>
      </c>
      <c r="E194" s="4">
        <v>61.05</v>
      </c>
      <c r="F194" s="4">
        <v>60.47</v>
      </c>
      <c r="G194" s="4">
        <v>58.42</v>
      </c>
      <c r="H194" s="5">
        <f>G194/F194-1</f>
        <v>-0.03390110798743173</v>
      </c>
      <c r="I194" s="5">
        <f>G194/E194-1</f>
        <v>-0.043079443079443</v>
      </c>
      <c r="J194" s="5">
        <v>-0.0681129366725155</v>
      </c>
      <c r="K194" s="4">
        <v>25938431541.84</v>
      </c>
    </row>
    <row r="195" spans="1:11">
      <c r="A195" s="1" t="s">
        <v>454</v>
      </c>
      <c r="B195" s="1" t="s">
        <v>453</v>
      </c>
      <c r="C195" s="1" t="s">
        <v>138</v>
      </c>
      <c r="D195" s="1" t="s">
        <v>139</v>
      </c>
      <c r="E195" s="4">
        <v>68.54000000000001</v>
      </c>
      <c r="F195" s="4">
        <v>67.70999999999999</v>
      </c>
      <c r="G195" s="4">
        <v>65.42</v>
      </c>
      <c r="H195" s="5">
        <f>G195/F195-1</f>
        <v>-0.03382070595185338</v>
      </c>
      <c r="I195" s="5">
        <f>G195/E195-1</f>
        <v>-0.04552086372920927</v>
      </c>
      <c r="J195" s="5">
        <v>-0.06981373524811596</v>
      </c>
      <c r="K195" s="4">
        <v>25938431541.84</v>
      </c>
    </row>
    <row r="196" spans="1:11">
      <c r="A196" s="1" t="s">
        <v>455</v>
      </c>
      <c r="B196" s="1" t="s">
        <v>456</v>
      </c>
      <c r="C196" s="1" t="s">
        <v>116</v>
      </c>
      <c r="D196" s="1" t="s">
        <v>117</v>
      </c>
      <c r="E196" s="4">
        <v>116.74</v>
      </c>
      <c r="F196" s="4">
        <v>117.16</v>
      </c>
      <c r="G196" s="4">
        <v>117.09</v>
      </c>
      <c r="H196" s="5">
        <f>G196/F196-1</f>
        <v>-0.0005974735404574716</v>
      </c>
      <c r="I196" s="5">
        <f>G196/E196-1</f>
        <v>0.0029981154702758417</v>
      </c>
      <c r="J196" s="5">
        <v>-0.01460721868365178</v>
      </c>
      <c r="K196" s="4">
        <v>10173848582.97</v>
      </c>
    </row>
    <row r="197" spans="1:11">
      <c r="A197" s="1" t="s">
        <v>457</v>
      </c>
      <c r="B197" s="1" t="s">
        <v>458</v>
      </c>
      <c r="C197" s="1" t="s">
        <v>41</v>
      </c>
      <c r="D197" s="1" t="s">
        <v>63</v>
      </c>
      <c r="E197" s="4">
        <v>214.28</v>
      </c>
      <c r="F197" s="4">
        <v>207.42</v>
      </c>
      <c r="G197" s="4">
        <v>204.45</v>
      </c>
      <c r="H197" s="5">
        <f>G197/F197-1</f>
        <v>-0.01431877350303734</v>
      </c>
      <c r="I197" s="5">
        <f>G197/E197-1</f>
        <v>-0.04587455665484419</v>
      </c>
      <c r="J197" s="5">
        <v>-0.06827515400410678</v>
      </c>
      <c r="K197" s="4">
        <v>21968840065.35</v>
      </c>
    </row>
    <row r="198" spans="1:11">
      <c r="A198" s="1" t="s">
        <v>459</v>
      </c>
      <c r="B198" s="1" t="s">
        <v>460</v>
      </c>
      <c r="C198" s="1" t="s">
        <v>41</v>
      </c>
      <c r="D198" s="1" t="s">
        <v>58</v>
      </c>
      <c r="E198" s="4">
        <v>153.51</v>
      </c>
      <c r="F198" s="4">
        <v>156.36</v>
      </c>
      <c r="G198" s="4">
        <v>156.29</v>
      </c>
      <c r="H198" s="5">
        <f>G198/F198-1</f>
        <v>-0.0004476848298798908</v>
      </c>
      <c r="I198" s="5">
        <f>G198/E198-1</f>
        <v>0.018109569409159088</v>
      </c>
      <c r="J198" s="5">
        <v>-0.1055677740479223</v>
      </c>
      <c r="K198" s="4">
        <v>114671648116.22</v>
      </c>
    </row>
    <row r="199" spans="1:11">
      <c r="A199" s="1" t="s">
        <v>461</v>
      </c>
      <c r="B199" s="1" t="s">
        <v>462</v>
      </c>
      <c r="C199" s="1" t="s">
        <v>70</v>
      </c>
      <c r="D199" s="1" t="s">
        <v>100</v>
      </c>
      <c r="E199" s="4">
        <v>60.08</v>
      </c>
      <c r="F199" s="4">
        <v>57.57</v>
      </c>
      <c r="G199" s="4">
        <v>56.94</v>
      </c>
      <c r="H199" s="5">
        <f>G199/F199-1</f>
        <v>-0.010943199583116292</v>
      </c>
      <c r="I199" s="5">
        <f>G199/E199-1</f>
        <v>-0.052263648468708346</v>
      </c>
      <c r="J199" s="5">
        <v>-0.06384386371154482</v>
      </c>
      <c r="K199" s="4">
        <v>17196850940.88</v>
      </c>
    </row>
    <row r="200" spans="1:11">
      <c r="A200" s="1" t="s">
        <v>463</v>
      </c>
      <c r="B200" s="1" t="s">
        <v>464</v>
      </c>
      <c r="C200" s="1" t="s">
        <v>70</v>
      </c>
      <c r="D200" s="1" t="s">
        <v>100</v>
      </c>
      <c r="E200" s="4">
        <v>384.29</v>
      </c>
      <c r="F200" s="4">
        <v>365.87</v>
      </c>
      <c r="G200" s="4">
        <v>359.39</v>
      </c>
      <c r="H200" s="5">
        <f>G200/F200-1</f>
        <v>-0.017711208899335862</v>
      </c>
      <c r="I200" s="5">
        <f>G200/E200-1</f>
        <v>-0.06479481641468687</v>
      </c>
      <c r="J200" s="5">
        <v>-0.06479481641468687</v>
      </c>
      <c r="K200" s="4">
        <v>97235550311.04999</v>
      </c>
    </row>
    <row r="201" spans="1:11">
      <c r="A201" s="1" t="s">
        <v>465</v>
      </c>
      <c r="B201" s="1" t="s">
        <v>466</v>
      </c>
      <c r="C201" s="1" t="s">
        <v>41</v>
      </c>
      <c r="D201" s="1" t="s">
        <v>58</v>
      </c>
      <c r="E201" s="4">
        <v>97.06999999999999</v>
      </c>
      <c r="F201" s="4">
        <v>103.63</v>
      </c>
      <c r="G201" s="4">
        <v>101.31</v>
      </c>
      <c r="H201" s="5">
        <f>G201/F201-1</f>
        <v>-0.02238733957348249</v>
      </c>
      <c r="I201" s="5">
        <f>G201/E201-1</f>
        <v>0.04367981868754511</v>
      </c>
      <c r="J201" s="5">
        <v>-0.04954237962594499</v>
      </c>
      <c r="K201" s="4">
        <v>12830681424.99</v>
      </c>
    </row>
    <row r="202" spans="1:11">
      <c r="A202" s="1" t="s">
        <v>467</v>
      </c>
      <c r="B202" s="1" t="s">
        <v>468</v>
      </c>
      <c r="C202" s="1" t="s">
        <v>70</v>
      </c>
      <c r="D202" s="1" t="s">
        <v>100</v>
      </c>
      <c r="E202" s="4">
        <v>348.37</v>
      </c>
      <c r="F202" s="4">
        <v>333.48</v>
      </c>
      <c r="G202" s="4">
        <v>337.12</v>
      </c>
      <c r="H202" s="5">
        <f>G202/F202-1</f>
        <v>0.010915197313182246</v>
      </c>
      <c r="I202" s="5">
        <f>G202/E202-1</f>
        <v>-0.03229325142807937</v>
      </c>
      <c r="J202" s="5">
        <v>-0.07023335872908376</v>
      </c>
      <c r="K202" s="4">
        <v>349783074382.5601</v>
      </c>
    </row>
    <row r="203" spans="1:11">
      <c r="A203" s="1" t="s">
        <v>469</v>
      </c>
      <c r="B203" s="1" t="s">
        <v>470</v>
      </c>
      <c r="C203" s="1" t="s">
        <v>37</v>
      </c>
      <c r="D203" s="1" t="s">
        <v>51</v>
      </c>
      <c r="E203" s="4">
        <v>74.81999999999999</v>
      </c>
      <c r="F203" s="4">
        <v>69.72</v>
      </c>
      <c r="G203" s="4">
        <v>68.86</v>
      </c>
      <c r="H203" s="5">
        <f>G203/F203-1</f>
        <v>-0.012335054503729181</v>
      </c>
      <c r="I203" s="5">
        <f>G203/E203-1</f>
        <v>-0.07965784549585664</v>
      </c>
      <c r="J203" s="5">
        <v>-0.07965784549585664</v>
      </c>
      <c r="K203" s="4">
        <v>31103115312.72</v>
      </c>
    </row>
    <row r="204" spans="1:11">
      <c r="A204" s="1" t="s">
        <v>471</v>
      </c>
      <c r="B204" s="1" t="s">
        <v>472</v>
      </c>
      <c r="C204" s="1" t="s">
        <v>41</v>
      </c>
      <c r="D204" s="1" t="s">
        <v>58</v>
      </c>
      <c r="E204" s="4">
        <v>28.93</v>
      </c>
      <c r="F204" s="4">
        <v>31.33</v>
      </c>
      <c r="G204" s="4">
        <v>30.65</v>
      </c>
      <c r="H204" s="5">
        <f>G204/F204-1</f>
        <v>-0.021704436642196012</v>
      </c>
      <c r="I204" s="5">
        <f>G204/E204-1</f>
        <v>0.05945385413066018</v>
      </c>
      <c r="J204" s="5">
        <v>-0.03223726627981949</v>
      </c>
      <c r="K204" s="4">
        <v>18346692530.8</v>
      </c>
    </row>
    <row r="205" spans="1:11">
      <c r="A205" s="1" t="s">
        <v>473</v>
      </c>
      <c r="B205" s="1" t="s">
        <v>474</v>
      </c>
      <c r="C205" s="1" t="s">
        <v>70</v>
      </c>
      <c r="D205" s="1" t="s">
        <v>100</v>
      </c>
      <c r="E205" s="4">
        <v>956.85</v>
      </c>
      <c r="F205" s="4">
        <v>941.84</v>
      </c>
      <c r="G205" s="4">
        <v>941.95</v>
      </c>
      <c r="H205" s="5">
        <f>G205/F205-1</f>
        <v>0.0001167926611738146</v>
      </c>
      <c r="I205" s="5">
        <f>G205/E205-1</f>
        <v>-0.015571928724460449</v>
      </c>
      <c r="J205" s="5">
        <v>-0.06094999216178087</v>
      </c>
      <c r="K205" s="4">
        <v>250872916622.95</v>
      </c>
    </row>
    <row r="206" spans="1:11">
      <c r="A206" s="1" t="s">
        <v>475</v>
      </c>
      <c r="B206" s="1" t="s">
        <v>476</v>
      </c>
      <c r="C206" s="1" t="s">
        <v>37</v>
      </c>
      <c r="D206" s="1" t="s">
        <v>38</v>
      </c>
      <c r="E206" s="4">
        <v>146.12</v>
      </c>
      <c r="F206" s="4">
        <v>151.22</v>
      </c>
      <c r="G206" s="4">
        <v>150.995</v>
      </c>
      <c r="H206" s="5">
        <f>G206/F206-1</f>
        <v>-0.00148789842613406</v>
      </c>
      <c r="I206" s="5">
        <f>G206/E206-1</f>
        <v>0.033362989323843406</v>
      </c>
      <c r="J206" s="5">
        <v>-0.02136235388956076</v>
      </c>
      <c r="K206" s="4">
        <v>187226279694.025</v>
      </c>
    </row>
    <row r="207" spans="1:11">
      <c r="A207" s="1" t="s">
        <v>477</v>
      </c>
      <c r="B207" s="1" t="s">
        <v>478</v>
      </c>
      <c r="C207" s="1" t="s">
        <v>66</v>
      </c>
      <c r="D207" s="1" t="s">
        <v>67</v>
      </c>
      <c r="E207" s="4">
        <v>39.97</v>
      </c>
      <c r="F207" s="4">
        <v>39.26</v>
      </c>
      <c r="G207" s="4">
        <v>38.29</v>
      </c>
      <c r="H207" s="5">
        <f>G207/F207-1</f>
        <v>-0.024707080998471742</v>
      </c>
      <c r="I207" s="5">
        <f>G207/E207-1</f>
        <v>-0.042031523642731994</v>
      </c>
      <c r="J207" s="5">
        <v>-0.07845968712394702</v>
      </c>
      <c r="K207" s="4">
        <v>20435674035.98</v>
      </c>
    </row>
    <row r="208" spans="1:11">
      <c r="A208" s="1" t="s">
        <v>479</v>
      </c>
      <c r="B208" s="1" t="s">
        <v>480</v>
      </c>
      <c r="C208" s="1" t="s">
        <v>54</v>
      </c>
      <c r="D208" s="1" t="s">
        <v>55</v>
      </c>
      <c r="E208" s="4">
        <v>171.08</v>
      </c>
      <c r="F208" s="4">
        <v>176.52</v>
      </c>
      <c r="G208" s="4">
        <v>174.27</v>
      </c>
      <c r="H208" s="5">
        <f>G208/F208-1</f>
        <v>-0.012746430999320157</v>
      </c>
      <c r="I208" s="5">
        <f>G208/E208-1</f>
        <v>0.018646247369651592</v>
      </c>
      <c r="J208" s="5">
        <v>-0.01979747411537147</v>
      </c>
      <c r="K208" s="4">
        <v>13392553128.69</v>
      </c>
    </row>
    <row r="209" spans="1:11">
      <c r="A209" s="1" t="s">
        <v>481</v>
      </c>
      <c r="B209" s="1" t="s">
        <v>482</v>
      </c>
      <c r="C209" s="1" t="s">
        <v>41</v>
      </c>
      <c r="D209" s="1" t="s">
        <v>42</v>
      </c>
      <c r="E209" s="4">
        <v>149.84</v>
      </c>
      <c r="F209" s="4">
        <v>146</v>
      </c>
      <c r="G209" s="4">
        <v>154.3</v>
      </c>
      <c r="H209" s="5">
        <f>G209/F209-1</f>
        <v>0.05684931506849322</v>
      </c>
      <c r="I209" s="5">
        <f>G209/E209-1</f>
        <v>0.02976508275493872</v>
      </c>
      <c r="J209" s="5">
        <v>-0.0567408376963352</v>
      </c>
      <c r="K209" s="4">
        <v>132912219473.3</v>
      </c>
    </row>
    <row r="210" spans="1:11">
      <c r="A210" s="1" t="s">
        <v>483</v>
      </c>
      <c r="B210" s="1" t="s">
        <v>484</v>
      </c>
      <c r="C210" s="1" t="s">
        <v>47</v>
      </c>
      <c r="D210" s="1" t="s">
        <v>142</v>
      </c>
      <c r="E210" s="4">
        <v>87.93000000000001</v>
      </c>
      <c r="F210" s="4">
        <v>87.22</v>
      </c>
      <c r="G210" s="4">
        <v>87.76000000000001</v>
      </c>
      <c r="H210" s="5">
        <f>G210/F210-1</f>
        <v>0.006191240541160381</v>
      </c>
      <c r="I210" s="5">
        <f>G210/E210-1</f>
        <v>-0.0019333560786989334</v>
      </c>
      <c r="J210" s="5">
        <v>-0.03480040941658136</v>
      </c>
      <c r="K210" s="4">
        <v>77005147238.16</v>
      </c>
    </row>
    <row r="211" spans="1:11">
      <c r="A211" s="1" t="s">
        <v>485</v>
      </c>
      <c r="B211" s="1" t="s">
        <v>486</v>
      </c>
      <c r="C211" s="1" t="s">
        <v>70</v>
      </c>
      <c r="D211" s="1" t="s">
        <v>100</v>
      </c>
      <c r="E211" s="4">
        <v>205.98</v>
      </c>
      <c r="F211" s="4">
        <v>183.02</v>
      </c>
      <c r="G211" s="4">
        <v>187.35</v>
      </c>
      <c r="H211" s="5">
        <f>G211/F211-1</f>
        <v>0.023658616544639743</v>
      </c>
      <c r="I211" s="5">
        <f>G211/E211-1</f>
        <v>-0.09044567433731432</v>
      </c>
      <c r="J211" s="5">
        <v>-0.1251572935824219</v>
      </c>
      <c r="K211" s="4">
        <v>11054841733.35</v>
      </c>
    </row>
    <row r="212" spans="1:11">
      <c r="A212" s="1" t="s">
        <v>487</v>
      </c>
      <c r="B212" s="1" t="s">
        <v>488</v>
      </c>
      <c r="C212" s="1" t="s">
        <v>138</v>
      </c>
      <c r="D212" s="1" t="s">
        <v>139</v>
      </c>
      <c r="E212" s="4">
        <v>341.75</v>
      </c>
      <c r="F212" s="4">
        <v>339.08</v>
      </c>
      <c r="G212" s="4">
        <v>335.31</v>
      </c>
      <c r="H212" s="5">
        <f>G212/F212-1</f>
        <v>-0.011118320160434014</v>
      </c>
      <c r="I212" s="5">
        <f>G212/E212-1</f>
        <v>-0.018844184345281678</v>
      </c>
      <c r="J212" s="5">
        <v>-0.03644911343915958</v>
      </c>
      <c r="K212" s="4">
        <v>4120640625000</v>
      </c>
    </row>
    <row r="213" spans="1:11">
      <c r="A213" s="1" t="s">
        <v>489</v>
      </c>
      <c r="B213" s="1" t="s">
        <v>488</v>
      </c>
      <c r="C213" s="1" t="s">
        <v>138</v>
      </c>
      <c r="D213" s="1" t="s">
        <v>139</v>
      </c>
      <c r="E213" s="4">
        <v>344.82</v>
      </c>
      <c r="F213" s="4">
        <v>342.48</v>
      </c>
      <c r="G213" s="4">
        <v>338.46</v>
      </c>
      <c r="H213" s="5">
        <f>G213/F213-1</f>
        <v>-0.011737911702873305</v>
      </c>
      <c r="I213" s="5">
        <f>G213/E213-1</f>
        <v>-0.018444405776927186</v>
      </c>
      <c r="J213" s="5">
        <v>-0.0374648049186922</v>
      </c>
      <c r="K213" s="4">
        <v>4120640625000</v>
      </c>
    </row>
    <row r="214" spans="1:11">
      <c r="A214" s="1" t="s">
        <v>490</v>
      </c>
      <c r="B214" s="1" t="s">
        <v>491</v>
      </c>
      <c r="C214" s="1" t="s">
        <v>47</v>
      </c>
      <c r="D214" s="1" t="s">
        <v>120</v>
      </c>
      <c r="E214" s="4">
        <v>133.96</v>
      </c>
      <c r="F214" s="4">
        <v>137.62</v>
      </c>
      <c r="G214" s="4">
        <v>138.08</v>
      </c>
      <c r="H214" s="5">
        <f>G214/F214-1</f>
        <v>0.0033425374218865045</v>
      </c>
      <c r="I214" s="5">
        <f>G214/E214-1</f>
        <v>0.030755449387877</v>
      </c>
      <c r="J214" s="5">
        <v>-0.03333572299089549</v>
      </c>
      <c r="K214" s="4">
        <v>19035675384.64</v>
      </c>
    </row>
    <row r="215" spans="1:11">
      <c r="A215" s="1" t="s">
        <v>492</v>
      </c>
      <c r="B215" s="1" t="s">
        <v>493</v>
      </c>
      <c r="C215" s="1" t="s">
        <v>54</v>
      </c>
      <c r="D215" s="1" t="s">
        <v>113</v>
      </c>
      <c r="E215" s="4">
        <v>93.48999999999999</v>
      </c>
      <c r="F215" s="4">
        <v>91.77</v>
      </c>
      <c r="G215" s="4">
        <v>92.54000000000001</v>
      </c>
      <c r="H215" s="5">
        <f>G215/F215-1</f>
        <v>0.008390541571319687</v>
      </c>
      <c r="I215" s="5">
        <f>G215/E215-1</f>
        <v>-0.010161514600491861</v>
      </c>
      <c r="J215" s="5">
        <v>-0.0449628844114528</v>
      </c>
      <c r="K215" s="4">
        <v>24487785810.6</v>
      </c>
    </row>
    <row r="216" spans="1:11">
      <c r="A216" s="1" t="s">
        <v>494</v>
      </c>
      <c r="B216" s="1" t="s">
        <v>495</v>
      </c>
      <c r="C216" s="1" t="s">
        <v>47</v>
      </c>
      <c r="D216" s="1" t="s">
        <v>331</v>
      </c>
      <c r="E216" s="4">
        <v>294.85</v>
      </c>
      <c r="F216" s="4">
        <v>277.18</v>
      </c>
      <c r="G216" s="4">
        <v>277.03</v>
      </c>
      <c r="H216" s="5">
        <f>G216/F216-1</f>
        <v>-0.0005411645861895797</v>
      </c>
      <c r="I216" s="5">
        <f>G216/E216-1</f>
        <v>-0.06043751059860958</v>
      </c>
      <c r="J216" s="5">
        <v>-0.06674580295065291</v>
      </c>
      <c r="K216" s="4">
        <v>53425938048.07999</v>
      </c>
    </row>
    <row r="217" spans="1:11">
      <c r="A217" s="1" t="s">
        <v>496</v>
      </c>
      <c r="B217" s="1" t="s">
        <v>497</v>
      </c>
      <c r="C217" s="1" t="s">
        <v>54</v>
      </c>
      <c r="D217" s="1" t="s">
        <v>113</v>
      </c>
      <c r="E217" s="4">
        <v>1039.28</v>
      </c>
      <c r="F217" s="4">
        <v>1037.93</v>
      </c>
      <c r="G217" s="4">
        <v>1038.61</v>
      </c>
      <c r="H217" s="5">
        <f>G217/F217-1</f>
        <v>0.0006551501546345762</v>
      </c>
      <c r="I217" s="5">
        <f>G217/E217-1</f>
        <v>-0.0006446770841352922</v>
      </c>
      <c r="J217" s="5">
        <v>-0.05318827440314311</v>
      </c>
      <c r="K217" s="4">
        <v>314411472578.2499</v>
      </c>
    </row>
    <row r="218" spans="1:11">
      <c r="A218" s="1" t="s">
        <v>498</v>
      </c>
      <c r="B218" s="1" t="s">
        <v>499</v>
      </c>
      <c r="C218" s="1" t="s">
        <v>70</v>
      </c>
      <c r="D218" s="1" t="s">
        <v>100</v>
      </c>
      <c r="E218" s="4">
        <v>1312.24</v>
      </c>
      <c r="F218" s="4">
        <v>1312.84</v>
      </c>
      <c r="G218" s="4">
        <v>1324.49</v>
      </c>
      <c r="H218" s="5">
        <f>G218/F218-1</f>
        <v>0.00887389171566988</v>
      </c>
      <c r="I218" s="5">
        <f>G218/E218-1</f>
        <v>0.009335182588550817</v>
      </c>
      <c r="J218" s="5">
        <v>-0.03784662158620344</v>
      </c>
      <c r="K218" s="4">
        <v>62384726669.58001</v>
      </c>
    </row>
    <row r="219" spans="1:11">
      <c r="A219" s="1" t="s">
        <v>500</v>
      </c>
      <c r="B219" s="1" t="s">
        <v>501</v>
      </c>
      <c r="C219" s="1" t="s">
        <v>129</v>
      </c>
      <c r="D219" s="1" t="s">
        <v>129</v>
      </c>
      <c r="E219" s="4">
        <v>35.34</v>
      </c>
      <c r="F219" s="4">
        <v>37.29</v>
      </c>
      <c r="G219" s="4">
        <v>37.07</v>
      </c>
      <c r="H219" s="5">
        <f>G219/F219-1</f>
        <v>-0.005899705014749235</v>
      </c>
      <c r="I219" s="5">
        <f>G219/E219-1</f>
        <v>0.048953027730616716</v>
      </c>
      <c r="J219" s="5">
        <v>-0.04357668364459555</v>
      </c>
      <c r="K219" s="4">
        <v>30884142704.69</v>
      </c>
    </row>
    <row r="220" spans="1:11">
      <c r="A220" s="1" t="s">
        <v>502</v>
      </c>
      <c r="B220" s="1" t="s">
        <v>503</v>
      </c>
      <c r="C220" s="1" t="s">
        <v>47</v>
      </c>
      <c r="D220" s="1" t="s">
        <v>331</v>
      </c>
      <c r="E220" s="4">
        <v>93.54000000000001</v>
      </c>
      <c r="F220" s="4">
        <v>93</v>
      </c>
      <c r="G220" s="4">
        <v>92.53</v>
      </c>
      <c r="H220" s="5">
        <f>G220/F220-1</f>
        <v>-0.005053763440860171</v>
      </c>
      <c r="I220" s="5">
        <f>G220/E220-1</f>
        <v>-0.010797519777635323</v>
      </c>
      <c r="J220" s="5">
        <v>-0.04351870994418017</v>
      </c>
      <c r="K220" s="4">
        <v>13050844531.51</v>
      </c>
    </row>
    <row r="221" spans="1:11">
      <c r="A221" s="1" t="s">
        <v>504</v>
      </c>
      <c r="B221" s="1" t="s">
        <v>505</v>
      </c>
      <c r="C221" s="1" t="s">
        <v>54</v>
      </c>
      <c r="D221" s="1" t="s">
        <v>165</v>
      </c>
      <c r="E221" s="4">
        <v>17.03</v>
      </c>
      <c r="F221" s="4">
        <v>17.06</v>
      </c>
      <c r="G221" s="4">
        <v>17.03</v>
      </c>
      <c r="H221" s="5">
        <f>G221/F221-1</f>
        <v>-0.0017584994138334364</v>
      </c>
      <c r="I221" s="5">
        <f>G221/E221-1</f>
        <v>0.0</v>
      </c>
      <c r="J221" s="5">
        <v>-0.0363849765258214</v>
      </c>
      <c r="K221" s="4">
        <v>34407664486.78</v>
      </c>
    </row>
    <row r="222" spans="1:11">
      <c r="A222" s="1" t="s">
        <v>506</v>
      </c>
      <c r="B222" s="1" t="s">
        <v>507</v>
      </c>
      <c r="C222" s="1" t="s">
        <v>37</v>
      </c>
      <c r="D222" s="1" t="s">
        <v>51</v>
      </c>
      <c r="E222" s="4">
        <v>429.19</v>
      </c>
      <c r="F222" s="4">
        <v>409.2</v>
      </c>
      <c r="G222" s="4">
        <v>405</v>
      </c>
      <c r="H222" s="5">
        <f>G222/F222-1</f>
        <v>-0.01026392961876832</v>
      </c>
      <c r="I222" s="5">
        <f>G222/E222-1</f>
        <v>-0.056361984202800586</v>
      </c>
      <c r="J222" s="5">
        <v>-0.06332121889851827</v>
      </c>
      <c r="K222" s="4">
        <v>87683107500</v>
      </c>
    </row>
    <row r="223" spans="1:11">
      <c r="A223" s="1" t="s">
        <v>508</v>
      </c>
      <c r="B223" s="1" t="s">
        <v>509</v>
      </c>
      <c r="C223" s="1" t="s">
        <v>47</v>
      </c>
      <c r="D223" s="1" t="s">
        <v>120</v>
      </c>
      <c r="E223" s="4">
        <v>335.61</v>
      </c>
      <c r="F223" s="4">
        <v>318.07</v>
      </c>
      <c r="G223" s="4">
        <v>321.05</v>
      </c>
      <c r="H223" s="5">
        <f>G223/F223-1</f>
        <v>0.009369006822397719</v>
      </c>
      <c r="I223" s="5">
        <f>G223/E223-1</f>
        <v>-0.04338368940138848</v>
      </c>
      <c r="J223" s="5">
        <v>-0.05863028294068906</v>
      </c>
      <c r="K223" s="4">
        <v>320308254427.3</v>
      </c>
    </row>
    <row r="224" spans="1:11">
      <c r="A224" s="1" t="s">
        <v>510</v>
      </c>
      <c r="B224" s="1" t="s">
        <v>511</v>
      </c>
      <c r="C224" s="1" t="s">
        <v>54</v>
      </c>
      <c r="D224" s="1" t="s">
        <v>55</v>
      </c>
      <c r="E224" s="4">
        <v>136.1</v>
      </c>
      <c r="F224" s="4">
        <v>140</v>
      </c>
      <c r="G224" s="4">
        <v>138.37</v>
      </c>
      <c r="H224" s="5">
        <f>G224/F224-1</f>
        <v>-0.011642857142857066</v>
      </c>
      <c r="I224" s="5">
        <f>G224/E224-1</f>
        <v>0.016678912564290993</v>
      </c>
      <c r="J224" s="5">
        <v>-0.01951951951951969</v>
      </c>
      <c r="K224" s="4">
        <v>37480409062.03001</v>
      </c>
    </row>
    <row r="225" spans="1:11">
      <c r="A225" s="1" t="s">
        <v>512</v>
      </c>
      <c r="B225" s="1" t="s">
        <v>513</v>
      </c>
      <c r="C225" s="1" t="s">
        <v>70</v>
      </c>
      <c r="D225" s="1" t="s">
        <v>100</v>
      </c>
      <c r="E225" s="4">
        <v>298.2</v>
      </c>
      <c r="F225" s="4">
        <v>290.73</v>
      </c>
      <c r="G225" s="4">
        <v>285.93</v>
      </c>
      <c r="H225" s="5">
        <f>G225/F225-1</f>
        <v>-0.016510164069755473</v>
      </c>
      <c r="I225" s="5">
        <f>G225/E225-1</f>
        <v>-0.041146881287726256</v>
      </c>
      <c r="J225" s="5">
        <v>-0.04114688128772626</v>
      </c>
      <c r="K225" s="4">
        <v>11266956706.14</v>
      </c>
    </row>
    <row r="226" spans="1:11">
      <c r="A226" s="1" t="s">
        <v>514</v>
      </c>
      <c r="B226" s="1" t="s">
        <v>515</v>
      </c>
      <c r="C226" s="1" t="s">
        <v>47</v>
      </c>
      <c r="D226" s="1" t="s">
        <v>48</v>
      </c>
      <c r="E226" s="4">
        <v>326.63</v>
      </c>
      <c r="F226" s="4">
        <v>314.35</v>
      </c>
      <c r="G226" s="4">
        <v>311.18</v>
      </c>
      <c r="H226" s="5">
        <f>G226/F226-1</f>
        <v>-0.01008430093844448</v>
      </c>
      <c r="I226" s="5">
        <f>G226/E226-1</f>
        <v>-0.04730122768882217</v>
      </c>
      <c r="J226" s="5">
        <v>-0.06428915082992537</v>
      </c>
      <c r="K226" s="4">
        <v>70035698693.8</v>
      </c>
    </row>
    <row r="227" spans="1:11">
      <c r="A227" s="1" t="s">
        <v>516</v>
      </c>
      <c r="B227" s="1" t="s">
        <v>517</v>
      </c>
      <c r="C227" s="1" t="s">
        <v>70</v>
      </c>
      <c r="D227" s="1" t="s">
        <v>100</v>
      </c>
      <c r="E227" s="4">
        <v>215.9</v>
      </c>
      <c r="F227" s="4">
        <v>207.63</v>
      </c>
      <c r="G227" s="4">
        <v>209.61</v>
      </c>
      <c r="H227" s="5">
        <f>G227/F227-1</f>
        <v>0.009536194191590797</v>
      </c>
      <c r="I227" s="5">
        <f>G227/E227-1</f>
        <v>-0.029133858267716528</v>
      </c>
      <c r="J227" s="5">
        <v>-0.0661621425658222</v>
      </c>
      <c r="K227" s="4">
        <v>66433795496.09999</v>
      </c>
    </row>
    <row r="228" spans="1:11">
      <c r="A228" s="1" t="s">
        <v>518</v>
      </c>
      <c r="B228" s="1" t="s">
        <v>519</v>
      </c>
      <c r="C228" s="1" t="s">
        <v>70</v>
      </c>
      <c r="D228" s="1" t="s">
        <v>100</v>
      </c>
      <c r="E228" s="4">
        <v>164.73</v>
      </c>
      <c r="F228" s="4">
        <v>154.96</v>
      </c>
      <c r="G228" s="4">
        <v>161.01</v>
      </c>
      <c r="H228" s="5">
        <f>G228/F228-1</f>
        <v>0.039042333505420634</v>
      </c>
      <c r="I228" s="5">
        <f>G228/E228-1</f>
        <v>-0.02258240757603347</v>
      </c>
      <c r="J228" s="5">
        <v>-0.07393917319249665</v>
      </c>
      <c r="K228" s="4">
        <v>51032558252.25</v>
      </c>
    </row>
    <row r="229" spans="1:11">
      <c r="A229" s="1" t="s">
        <v>520</v>
      </c>
      <c r="B229" s="1" t="s">
        <v>521</v>
      </c>
      <c r="C229" s="1" t="s">
        <v>54</v>
      </c>
      <c r="D229" s="1" t="s">
        <v>113</v>
      </c>
      <c r="E229" s="4">
        <v>108.13</v>
      </c>
      <c r="F229" s="4">
        <v>124.72</v>
      </c>
      <c r="G229" s="4">
        <v>122.11</v>
      </c>
      <c r="H229" s="5">
        <f>G229/F229-1</f>
        <v>-0.020926876202694067</v>
      </c>
      <c r="I229" s="5">
        <f>G229/E229-1</f>
        <v>0.12928881901414968</v>
      </c>
      <c r="J229" s="5">
        <v>-0.07654563297350336</v>
      </c>
      <c r="K229" s="4">
        <v>109944895531.94</v>
      </c>
    </row>
    <row r="230" spans="1:11">
      <c r="A230" s="1" t="s">
        <v>522</v>
      </c>
      <c r="B230" s="1" t="s">
        <v>523</v>
      </c>
      <c r="C230" s="1" t="s">
        <v>41</v>
      </c>
      <c r="D230" s="1" t="s">
        <v>42</v>
      </c>
      <c r="E230" s="4">
        <v>53.45</v>
      </c>
      <c r="F230" s="4">
        <v>54.44</v>
      </c>
      <c r="G230" s="4">
        <v>52</v>
      </c>
      <c r="H230" s="5">
        <f>G230/F230-1</f>
        <v>-0.044819985304922816</v>
      </c>
      <c r="I230" s="5">
        <f>G230/E230-1</f>
        <v>-0.027128157156220856</v>
      </c>
      <c r="J230" s="5">
        <v>-0.07894260365743255</v>
      </c>
      <c r="K230" s="4">
        <v>69028168508</v>
      </c>
    </row>
    <row r="231" spans="1:11">
      <c r="A231" s="1" t="s">
        <v>524</v>
      </c>
      <c r="B231" s="1" t="s">
        <v>525</v>
      </c>
      <c r="C231" s="1" t="s">
        <v>41</v>
      </c>
      <c r="D231" s="1" t="s">
        <v>42</v>
      </c>
      <c r="E231" s="4">
        <v>29.71</v>
      </c>
      <c r="F231" s="4">
        <v>31.93</v>
      </c>
      <c r="G231" s="4">
        <v>32.64</v>
      </c>
      <c r="H231" s="5">
        <f>G231/F231-1</f>
        <v>0.022236141559661693</v>
      </c>
      <c r="I231" s="5">
        <f>G231/E231-1</f>
        <v>0.09861999326825988</v>
      </c>
      <c r="J231" s="5">
        <v>-0.03803433187478977</v>
      </c>
      <c r="K231" s="4">
        <v>29434457228.16</v>
      </c>
    </row>
    <row r="232" spans="1:11">
      <c r="A232" s="1" t="s">
        <v>526</v>
      </c>
      <c r="B232" s="1" t="s">
        <v>527</v>
      </c>
      <c r="C232" s="1" t="s">
        <v>66</v>
      </c>
      <c r="D232" s="1" t="s">
        <v>67</v>
      </c>
      <c r="E232" s="4">
        <v>23.88</v>
      </c>
      <c r="F232" s="4">
        <v>21.68</v>
      </c>
      <c r="G232" s="4">
        <v>21.54</v>
      </c>
      <c r="H232" s="5">
        <f>G232/F232-1</f>
        <v>-0.0064575645756458355</v>
      </c>
      <c r="I232" s="5">
        <f>G232/E232-1</f>
        <v>-0.09798994974874375</v>
      </c>
      <c r="J232" s="5">
        <v>-0.1166459111664591</v>
      </c>
      <c r="K232" s="4">
        <v>11854556232</v>
      </c>
    </row>
    <row r="233" spans="1:11">
      <c r="A233" s="1" t="s">
        <v>528</v>
      </c>
      <c r="B233" s="1" t="s">
        <v>529</v>
      </c>
      <c r="C233" s="1" t="s">
        <v>37</v>
      </c>
      <c r="D233" s="1" t="s">
        <v>51</v>
      </c>
      <c r="E233" s="4">
        <v>88.5</v>
      </c>
      <c r="F233" s="4">
        <v>90.86</v>
      </c>
      <c r="G233" s="4">
        <v>89.81</v>
      </c>
      <c r="H233" s="5">
        <f>G233/F233-1</f>
        <v>-0.01155624036979963</v>
      </c>
      <c r="I233" s="5">
        <f>G233/E233-1</f>
        <v>0.014802259887005675</v>
      </c>
      <c r="J233" s="5">
        <v>-0.0205797742863465</v>
      </c>
      <c r="K233" s="4">
        <v>10051195897.82</v>
      </c>
    </row>
    <row r="234" spans="1:11">
      <c r="A234" s="1" t="s">
        <v>530</v>
      </c>
      <c r="B234" s="1" t="s">
        <v>531</v>
      </c>
      <c r="C234" s="1" t="s">
        <v>116</v>
      </c>
      <c r="D234" s="1" t="s">
        <v>117</v>
      </c>
      <c r="E234" s="4">
        <v>23.21</v>
      </c>
      <c r="F234" s="4">
        <v>21.99</v>
      </c>
      <c r="G234" s="4">
        <v>22.05</v>
      </c>
      <c r="H234" s="5">
        <f>G234/F234-1</f>
        <v>0.0027285129604366354</v>
      </c>
      <c r="I234" s="5">
        <f>G234/E234-1</f>
        <v>-0.04997845756139596</v>
      </c>
      <c r="J234" s="5">
        <v>-0.06764325721671693</v>
      </c>
      <c r="K234" s="4">
        <v>15106992997.95</v>
      </c>
    </row>
    <row r="235" spans="1:11">
      <c r="A235" s="1" t="s">
        <v>532</v>
      </c>
      <c r="B235" s="1" t="s">
        <v>533</v>
      </c>
      <c r="C235" s="1" t="s">
        <v>66</v>
      </c>
      <c r="D235" s="1" t="s">
        <v>67</v>
      </c>
      <c r="E235" s="4">
        <v>186.46</v>
      </c>
      <c r="F235" s="4">
        <v>175.06</v>
      </c>
      <c r="G235" s="4">
        <v>173.15</v>
      </c>
      <c r="H235" s="5">
        <f>G235/F235-1</f>
        <v>-0.010910544956015067</v>
      </c>
      <c r="I235" s="5">
        <f>G235/E235-1</f>
        <v>-0.07138260216668457</v>
      </c>
      <c r="J235" s="5">
        <v>-0.08839633568495309</v>
      </c>
      <c r="K235" s="4">
        <v>34790277509.55</v>
      </c>
    </row>
    <row r="236" spans="1:11">
      <c r="A236" s="1" t="s">
        <v>534</v>
      </c>
      <c r="B236" s="1" t="s">
        <v>535</v>
      </c>
      <c r="C236" s="1" t="s">
        <v>70</v>
      </c>
      <c r="D236" s="1" t="s">
        <v>100</v>
      </c>
      <c r="E236" s="4">
        <v>470.03</v>
      </c>
      <c r="F236" s="4">
        <v>460.15</v>
      </c>
      <c r="G236" s="4">
        <v>460.72</v>
      </c>
      <c r="H236" s="5">
        <f>G236/F236-1</f>
        <v>0.0012387265022275606</v>
      </c>
      <c r="I236" s="5">
        <f>G236/E236-1</f>
        <v>-0.019807246345977747</v>
      </c>
      <c r="J236" s="5">
        <v>-0.06169834483342496</v>
      </c>
      <c r="K236" s="4">
        <v>24341022111.12</v>
      </c>
    </row>
    <row r="237" spans="1:11">
      <c r="A237" s="1" t="s">
        <v>536</v>
      </c>
      <c r="B237" s="1" t="s">
        <v>537</v>
      </c>
      <c r="C237" s="1" t="s">
        <v>37</v>
      </c>
      <c r="D237" s="1" t="s">
        <v>51</v>
      </c>
      <c r="E237" s="4">
        <v>378.88</v>
      </c>
      <c r="F237" s="4">
        <v>406.52</v>
      </c>
      <c r="G237" s="4">
        <v>401.54</v>
      </c>
      <c r="H237" s="5">
        <f>G237/F237-1</f>
        <v>-0.01225031978746427</v>
      </c>
      <c r="I237" s="5">
        <f>G237/E237-1</f>
        <v>0.059807854729729826</v>
      </c>
      <c r="J237" s="5">
        <v>-0.02394111504469854</v>
      </c>
      <c r="K237" s="4">
        <v>48217046874.32001</v>
      </c>
    </row>
    <row r="238" spans="1:11">
      <c r="A238" s="1" t="s">
        <v>538</v>
      </c>
      <c r="B238" s="1" t="s">
        <v>539</v>
      </c>
      <c r="C238" s="1" t="s">
        <v>70</v>
      </c>
      <c r="D238" s="1" t="s">
        <v>100</v>
      </c>
      <c r="E238" s="4">
        <v>271.68</v>
      </c>
      <c r="F238" s="4">
        <v>260.49</v>
      </c>
      <c r="G238" s="4">
        <v>259.27</v>
      </c>
      <c r="H238" s="5">
        <f>G238/F238-1</f>
        <v>-0.004683481131713463</v>
      </c>
      <c r="I238" s="5">
        <f>G238/E238-1</f>
        <v>-0.045678739693757464</v>
      </c>
      <c r="J238" s="5">
        <v>-0.09838780918727918</v>
      </c>
      <c r="K238" s="4">
        <v>103397238718.73</v>
      </c>
    </row>
    <row r="239" spans="1:11">
      <c r="A239" s="1" t="s">
        <v>540</v>
      </c>
      <c r="B239" s="1" t="s">
        <v>541</v>
      </c>
      <c r="C239" s="1" t="s">
        <v>54</v>
      </c>
      <c r="D239" s="1" t="s">
        <v>113</v>
      </c>
      <c r="E239" s="4">
        <v>93.87</v>
      </c>
      <c r="F239" s="4">
        <v>92.95</v>
      </c>
      <c r="G239" s="4">
        <v>92.62</v>
      </c>
      <c r="H239" s="5">
        <f>G239/F239-1</f>
        <v>-0.0035502958579881616</v>
      </c>
      <c r="I239" s="5">
        <f>G239/E239-1</f>
        <v>-0.013316288484073735</v>
      </c>
      <c r="J239" s="5">
        <v>-0.09237193196863214</v>
      </c>
      <c r="K239" s="4">
        <v>158162689987.94</v>
      </c>
    </row>
    <row r="240" spans="1:11">
      <c r="A240" s="1" t="s">
        <v>542</v>
      </c>
      <c r="B240" s="1" t="s">
        <v>543</v>
      </c>
      <c r="C240" s="1" t="s">
        <v>41</v>
      </c>
      <c r="D240" s="1" t="s">
        <v>58</v>
      </c>
      <c r="E240" s="4">
        <v>235.68</v>
      </c>
      <c r="F240" s="4">
        <v>234.71</v>
      </c>
      <c r="G240" s="4">
        <v>234.89</v>
      </c>
      <c r="H240" s="5">
        <f>G240/F240-1</f>
        <v>0.0007669038387796423</v>
      </c>
      <c r="I240" s="5">
        <f>G240/E240-1</f>
        <v>-0.003352002715546587</v>
      </c>
      <c r="J240" s="5">
        <v>-0.03094769462707814</v>
      </c>
      <c r="K240" s="4">
        <v>221297946867.1</v>
      </c>
    </row>
    <row r="241" spans="1:11">
      <c r="A241" s="1" t="s">
        <v>544</v>
      </c>
      <c r="B241" s="1" t="s">
        <v>545</v>
      </c>
      <c r="C241" s="1" t="s">
        <v>54</v>
      </c>
      <c r="D241" s="1" t="s">
        <v>113</v>
      </c>
      <c r="E241" s="4">
        <v>161.25</v>
      </c>
      <c r="F241" s="4">
        <v>164.59</v>
      </c>
      <c r="G241" s="4">
        <v>161.26</v>
      </c>
      <c r="H241" s="5">
        <f>G241/F241-1</f>
        <v>-0.020232091864633373</v>
      </c>
      <c r="I241" s="5">
        <f>G241/E241-1</f>
        <v>6.201550387596733e-05</v>
      </c>
      <c r="J241" s="5">
        <v>-0.03153567703540106</v>
      </c>
      <c r="K241" s="4">
        <v>90530112783.65999</v>
      </c>
    </row>
    <row r="242" spans="1:11">
      <c r="A242" s="1" t="s">
        <v>546</v>
      </c>
      <c r="B242" s="1" t="s">
        <v>547</v>
      </c>
      <c r="C242" s="1" t="s">
        <v>37</v>
      </c>
      <c r="D242" s="1" t="s">
        <v>51</v>
      </c>
      <c r="E242" s="4">
        <v>556.9299999999999</v>
      </c>
      <c r="F242" s="4">
        <v>529.29</v>
      </c>
      <c r="G242" s="4">
        <v>535.38</v>
      </c>
      <c r="H242" s="5">
        <f>G242/F242-1</f>
        <v>0.011505979708666292</v>
      </c>
      <c r="I242" s="5">
        <f>G242/E242-1</f>
        <v>-0.03869427037509199</v>
      </c>
      <c r="J242" s="5">
        <v>-0.05401154581687551</v>
      </c>
      <c r="K242" s="4">
        <v>42177833884.08</v>
      </c>
    </row>
    <row r="243" spans="1:11">
      <c r="A243" s="1" t="s">
        <v>548</v>
      </c>
      <c r="B243" s="1" t="s">
        <v>549</v>
      </c>
      <c r="C243" s="1" t="s">
        <v>70</v>
      </c>
      <c r="D243" s="1" t="s">
        <v>100</v>
      </c>
      <c r="E243" s="4">
        <v>234.39</v>
      </c>
      <c r="F243" s="4">
        <v>223.1</v>
      </c>
      <c r="G243" s="4">
        <v>223.74</v>
      </c>
      <c r="H243" s="5">
        <f>G243/F243-1</f>
        <v>0.0028686687584043025</v>
      </c>
      <c r="I243" s="5">
        <f>G243/E243-1</f>
        <v>-0.04543709202611024</v>
      </c>
      <c r="J243" s="5">
        <v>-0.05121546255694143</v>
      </c>
      <c r="K243" s="4">
        <v>16494089531.04</v>
      </c>
    </row>
    <row r="244" spans="1:11">
      <c r="A244" s="1" t="s">
        <v>550</v>
      </c>
      <c r="B244" s="1" t="s">
        <v>551</v>
      </c>
      <c r="C244" s="1" t="s">
        <v>93</v>
      </c>
      <c r="D244" s="1" t="s">
        <v>93</v>
      </c>
      <c r="E244" s="4">
        <v>84.28</v>
      </c>
      <c r="F244" s="4">
        <v>86.45999999999999</v>
      </c>
      <c r="G244" s="4">
        <v>86.34999999999999</v>
      </c>
      <c r="H244" s="5">
        <f>G244/F244-1</f>
        <v>-0.0012722646310432406</v>
      </c>
      <c r="I244" s="5">
        <f>G244/E244-1</f>
        <v>0.02456098718557187</v>
      </c>
      <c r="J244" s="5">
        <v>-0.02467310972143266</v>
      </c>
      <c r="K244" s="4">
        <v>22032199305.05</v>
      </c>
    </row>
    <row r="245" spans="1:11">
      <c r="A245" s="1" t="s">
        <v>552</v>
      </c>
      <c r="B245" s="1" t="s">
        <v>553</v>
      </c>
      <c r="C245" s="1" t="s">
        <v>37</v>
      </c>
      <c r="D245" s="1" t="s">
        <v>38</v>
      </c>
      <c r="E245" s="4">
        <v>127.81</v>
      </c>
      <c r="F245" s="4">
        <v>128</v>
      </c>
      <c r="G245" s="4">
        <v>126.75</v>
      </c>
      <c r="H245" s="5">
        <f>G245/F245-1</f>
        <v>-0.009765625</v>
      </c>
      <c r="I245" s="5">
        <f>G245/E245-1</f>
        <v>-0.008293560754244589</v>
      </c>
      <c r="J245" s="5">
        <v>-0.05010792476102377</v>
      </c>
      <c r="K245" s="4">
        <v>25691939305.5</v>
      </c>
    </row>
    <row r="246" spans="1:11">
      <c r="A246" s="1" t="s">
        <v>554</v>
      </c>
      <c r="B246" s="1" t="s">
        <v>555</v>
      </c>
      <c r="C246" s="1" t="s">
        <v>41</v>
      </c>
      <c r="D246" s="1" t="s">
        <v>63</v>
      </c>
      <c r="E246" s="4">
        <v>90.06999999999999</v>
      </c>
      <c r="F246" s="4">
        <v>91.67</v>
      </c>
      <c r="G246" s="4">
        <v>95.8</v>
      </c>
      <c r="H246" s="5">
        <f>G246/F246-1</f>
        <v>0.045052907167012046</v>
      </c>
      <c r="I246" s="5">
        <f>G246/E246-1</f>
        <v>0.06361718663261917</v>
      </c>
      <c r="J246" s="5">
        <v>-0.03387990009773056</v>
      </c>
      <c r="K246" s="4">
        <v>506309659153.7999</v>
      </c>
    </row>
    <row r="247" spans="1:11">
      <c r="A247" s="1" t="s">
        <v>556</v>
      </c>
      <c r="B247" s="1" t="s">
        <v>557</v>
      </c>
      <c r="C247" s="1" t="s">
        <v>41</v>
      </c>
      <c r="D247" s="1" t="s">
        <v>58</v>
      </c>
      <c r="E247" s="4">
        <v>367</v>
      </c>
      <c r="F247" s="4">
        <v>344.3</v>
      </c>
      <c r="G247" s="4">
        <v>332.7</v>
      </c>
      <c r="H247" s="5">
        <f>G247/F247-1</f>
        <v>-0.03369154806854491</v>
      </c>
      <c r="I247" s="5">
        <f>G247/E247-1</f>
        <v>-0.09346049046321525</v>
      </c>
      <c r="J247" s="5">
        <v>-0.100616349480969</v>
      </c>
      <c r="K247" s="4">
        <v>91005759899.99998</v>
      </c>
    </row>
    <row r="248" spans="1:11">
      <c r="A248" s="1" t="s">
        <v>558</v>
      </c>
      <c r="B248" s="1" t="s">
        <v>559</v>
      </c>
      <c r="C248" s="1" t="s">
        <v>116</v>
      </c>
      <c r="D248" s="1" t="s">
        <v>117</v>
      </c>
      <c r="E248" s="4">
        <v>30.11</v>
      </c>
      <c r="F248" s="4">
        <v>28.45</v>
      </c>
      <c r="G248" s="4">
        <v>28.39</v>
      </c>
      <c r="H248" s="5">
        <f>G248/F248-1</f>
        <v>-0.002108963093145788</v>
      </c>
      <c r="I248" s="5">
        <f>G248/E248-1</f>
        <v>-0.05712387910993022</v>
      </c>
      <c r="J248" s="5">
        <v>-0.06795797767564016</v>
      </c>
      <c r="K248" s="4">
        <v>16767793386.14</v>
      </c>
    </row>
    <row r="249" spans="1:11">
      <c r="A249" s="1" t="s">
        <v>560</v>
      </c>
      <c r="B249" s="1" t="s">
        <v>561</v>
      </c>
      <c r="C249" s="1" t="s">
        <v>93</v>
      </c>
      <c r="D249" s="1" t="s">
        <v>93</v>
      </c>
      <c r="E249" s="4">
        <v>41.49</v>
      </c>
      <c r="F249" s="4">
        <v>36.44</v>
      </c>
      <c r="G249" s="4">
        <v>37.24</v>
      </c>
      <c r="H249" s="5">
        <f>G249/F249-1</f>
        <v>0.021953896816685026</v>
      </c>
      <c r="I249" s="5">
        <f>G249/E249-1</f>
        <v>-0.1024343215232586</v>
      </c>
      <c r="J249" s="5">
        <v>-0.1250903832248735</v>
      </c>
      <c r="K249" s="4">
        <v>19720985666.76</v>
      </c>
    </row>
    <row r="250" spans="1:11">
      <c r="A250" s="1" t="s">
        <v>562</v>
      </c>
      <c r="B250" s="1" t="s">
        <v>563</v>
      </c>
      <c r="C250" s="1" t="s">
        <v>37</v>
      </c>
      <c r="D250" s="1" t="s">
        <v>38</v>
      </c>
      <c r="E250" s="4">
        <v>259.82</v>
      </c>
      <c r="F250" s="4">
        <v>271.62</v>
      </c>
      <c r="G250" s="4">
        <v>267.77</v>
      </c>
      <c r="H250" s="5">
        <f>G250/F250-1</f>
        <v>-0.014174213975406857</v>
      </c>
      <c r="I250" s="5">
        <f>G250/E250-1</f>
        <v>0.030598106381340973</v>
      </c>
      <c r="J250" s="5">
        <v>-0.015359402393475</v>
      </c>
      <c r="K250" s="4">
        <v>44074941999.99999</v>
      </c>
    </row>
    <row r="251" spans="1:11">
      <c r="A251" s="1" t="s">
        <v>564</v>
      </c>
      <c r="B251" s="1" t="s">
        <v>565</v>
      </c>
      <c r="C251" s="1" t="s">
        <v>70</v>
      </c>
      <c r="D251" s="1" t="s">
        <v>100</v>
      </c>
      <c r="E251" s="4">
        <v>80.51000000000001</v>
      </c>
      <c r="F251" s="4">
        <v>75.40000000000001</v>
      </c>
      <c r="G251" s="4">
        <v>76.36</v>
      </c>
      <c r="H251" s="5">
        <f>G251/F251-1</f>
        <v>0.012732095490716189</v>
      </c>
      <c r="I251" s="5">
        <f>G251/E251-1</f>
        <v>-0.05154639175257736</v>
      </c>
      <c r="J251" s="5">
        <v>-0.07291019749099492</v>
      </c>
      <c r="K251" s="4">
        <v>29627636398.44</v>
      </c>
    </row>
    <row r="252" spans="1:11">
      <c r="A252" s="1" t="s">
        <v>566</v>
      </c>
      <c r="B252" s="1" t="s">
        <v>567</v>
      </c>
      <c r="C252" s="1" t="s">
        <v>116</v>
      </c>
      <c r="D252" s="1" t="s">
        <v>117</v>
      </c>
      <c r="E252" s="4">
        <v>122.02</v>
      </c>
      <c r="F252" s="4">
        <v>114.98</v>
      </c>
      <c r="G252" s="4">
        <v>116.86</v>
      </c>
      <c r="H252" s="5">
        <f>G252/F252-1</f>
        <v>0.01635066968168375</v>
      </c>
      <c r="I252" s="5">
        <f>G252/E252-1</f>
        <v>-0.042288149483691195</v>
      </c>
      <c r="J252" s="5">
        <v>-0.08843426522128939</v>
      </c>
      <c r="K252" s="4">
        <v>34789411430.06</v>
      </c>
    </row>
    <row r="253" spans="1:11">
      <c r="A253" s="1" t="s">
        <v>568</v>
      </c>
      <c r="B253" s="1" t="s">
        <v>569</v>
      </c>
      <c r="C253" s="1" t="s">
        <v>37</v>
      </c>
      <c r="D253" s="1" t="s">
        <v>51</v>
      </c>
      <c r="E253" s="4">
        <v>378.81</v>
      </c>
      <c r="F253" s="4">
        <v>369.83</v>
      </c>
      <c r="G253" s="4">
        <v>366.7</v>
      </c>
      <c r="H253" s="5">
        <f>G253/F253-1</f>
        <v>-0.008463348024768114</v>
      </c>
      <c r="I253" s="5">
        <f>G253/E253-1</f>
        <v>-0.031968533037670666</v>
      </c>
      <c r="J253" s="5">
        <v>-0.03196853303767067</v>
      </c>
      <c r="K253" s="4">
        <v>129547056534.6</v>
      </c>
    </row>
    <row r="254" spans="1:11">
      <c r="A254" s="1" t="s">
        <v>570</v>
      </c>
      <c r="B254" s="1" t="s">
        <v>571</v>
      </c>
      <c r="C254" s="1" t="s">
        <v>41</v>
      </c>
      <c r="D254" s="1" t="s">
        <v>58</v>
      </c>
      <c r="E254" s="4">
        <v>195.9</v>
      </c>
      <c r="F254" s="4">
        <v>195.46</v>
      </c>
      <c r="G254" s="4">
        <v>186.42</v>
      </c>
      <c r="H254" s="5">
        <f>G254/F254-1</f>
        <v>-0.046249872096592703</v>
      </c>
      <c r="I254" s="5">
        <f>G254/E254-1</f>
        <v>-0.04839203675344572</v>
      </c>
      <c r="J254" s="5">
        <v>-0.08067856790610517</v>
      </c>
      <c r="K254" s="4">
        <v>11772232105.92</v>
      </c>
    </row>
    <row r="255" spans="1:11">
      <c r="A255" s="1" t="s">
        <v>572</v>
      </c>
      <c r="B255" s="1" t="s">
        <v>573</v>
      </c>
      <c r="C255" s="1" t="s">
        <v>70</v>
      </c>
      <c r="D255" s="1" t="s">
        <v>100</v>
      </c>
      <c r="E255" s="4">
        <v>282.29</v>
      </c>
      <c r="F255" s="4">
        <v>271.65</v>
      </c>
      <c r="G255" s="4">
        <v>270.12</v>
      </c>
      <c r="H255" s="5">
        <f>G255/F255-1</f>
        <v>-0.005632247377139632</v>
      </c>
      <c r="I255" s="5">
        <f>G255/E255-1</f>
        <v>-0.04311169364837586</v>
      </c>
      <c r="J255" s="5">
        <v>-0.05751112045112261</v>
      </c>
      <c r="K255" s="4">
        <v>76930176000</v>
      </c>
    </row>
    <row r="256" spans="1:11">
      <c r="A256" s="1" t="s">
        <v>574</v>
      </c>
      <c r="B256" s="1" t="s">
        <v>575</v>
      </c>
      <c r="C256" s="1" t="s">
        <v>54</v>
      </c>
      <c r="D256" s="1" t="s">
        <v>113</v>
      </c>
      <c r="E256" s="4">
        <v>32.02</v>
      </c>
      <c r="F256" s="4">
        <v>32.71</v>
      </c>
      <c r="G256" s="4">
        <v>33.07</v>
      </c>
      <c r="H256" s="5">
        <f>G256/F256-1</f>
        <v>0.011005808621216806</v>
      </c>
      <c r="I256" s="5">
        <f>G256/E256-1</f>
        <v>0.032792004996876845</v>
      </c>
      <c r="J256" s="5">
        <v>-0.04773341338937265</v>
      </c>
      <c r="K256" s="4">
        <v>14600397724.6</v>
      </c>
    </row>
    <row r="257" spans="1:11">
      <c r="A257" s="1" t="s">
        <v>576</v>
      </c>
      <c r="B257" s="1" t="s">
        <v>577</v>
      </c>
      <c r="C257" s="1" t="s">
        <v>70</v>
      </c>
      <c r="D257" s="1" t="s">
        <v>71</v>
      </c>
      <c r="E257" s="4">
        <v>150.08</v>
      </c>
      <c r="F257" s="4">
        <v>147.54</v>
      </c>
      <c r="G257" s="4">
        <v>146.23</v>
      </c>
      <c r="H257" s="5">
        <f>G257/F257-1</f>
        <v>-0.00887894808187617</v>
      </c>
      <c r="I257" s="5">
        <f>G257/E257-1</f>
        <v>-0.02565298507462699</v>
      </c>
      <c r="J257" s="5">
        <v>-0.03783392551651532</v>
      </c>
      <c r="K257" s="4">
        <v>17114556086.53</v>
      </c>
    </row>
    <row r="258" spans="1:11">
      <c r="A258" s="1" t="s">
        <v>578</v>
      </c>
      <c r="B258" s="1" t="s">
        <v>579</v>
      </c>
      <c r="C258" s="1" t="s">
        <v>70</v>
      </c>
      <c r="D258" s="1" t="s">
        <v>243</v>
      </c>
      <c r="E258" s="4">
        <v>275.45</v>
      </c>
      <c r="F258" s="4">
        <v>266.28</v>
      </c>
      <c r="G258" s="4">
        <v>273.77</v>
      </c>
      <c r="H258" s="5">
        <f>G258/F258-1</f>
        <v>0.028128286014721393</v>
      </c>
      <c r="I258" s="5">
        <f>G258/E258-1</f>
        <v>-0.006099110546378683</v>
      </c>
      <c r="J258" s="5">
        <v>-0.06886912325285888</v>
      </c>
      <c r="K258" s="4">
        <v>25711092850.03</v>
      </c>
    </row>
    <row r="259" spans="1:11">
      <c r="A259" s="1" t="s">
        <v>580</v>
      </c>
      <c r="B259" s="1" t="s">
        <v>581</v>
      </c>
      <c r="C259" s="1" t="s">
        <v>41</v>
      </c>
      <c r="D259" s="1" t="s">
        <v>42</v>
      </c>
      <c r="E259" s="4">
        <v>313.21</v>
      </c>
      <c r="F259" s="4">
        <v>305.92</v>
      </c>
      <c r="G259" s="4">
        <v>310.57</v>
      </c>
      <c r="H259" s="5">
        <f>G259/F259-1</f>
        <v>0.015200052301255207</v>
      </c>
      <c r="I259" s="5">
        <f>G259/E259-1</f>
        <v>-0.008428849653587034</v>
      </c>
      <c r="J259" s="5">
        <v>-0.04492193735832184</v>
      </c>
      <c r="K259" s="4">
        <v>32543726230.73</v>
      </c>
    </row>
    <row r="260" spans="1:11">
      <c r="A260" s="1" t="s">
        <v>582</v>
      </c>
      <c r="B260" s="1" t="s">
        <v>583</v>
      </c>
      <c r="C260" s="1" t="s">
        <v>70</v>
      </c>
      <c r="D260" s="1" t="s">
        <v>100</v>
      </c>
      <c r="E260" s="4">
        <v>143.05</v>
      </c>
      <c r="F260" s="4">
        <v>142.23</v>
      </c>
      <c r="G260" s="4">
        <v>144.94</v>
      </c>
      <c r="H260" s="5">
        <f>G260/F260-1</f>
        <v>0.01905364550376154</v>
      </c>
      <c r="I260" s="5">
        <f>G260/E260-1</f>
        <v>0.01321216357916799</v>
      </c>
      <c r="J260" s="5">
        <v>-0.04219496986073579</v>
      </c>
      <c r="K260" s="4">
        <v>87796607685.06001</v>
      </c>
    </row>
    <row r="261" spans="1:11">
      <c r="A261" s="1" t="s">
        <v>584</v>
      </c>
      <c r="B261" s="1" t="s">
        <v>585</v>
      </c>
      <c r="C261" s="1" t="s">
        <v>54</v>
      </c>
      <c r="D261" s="1" t="s">
        <v>113</v>
      </c>
      <c r="E261" s="4">
        <v>166.2</v>
      </c>
      <c r="F261" s="4">
        <v>168.37</v>
      </c>
      <c r="G261" s="4">
        <v>165.64</v>
      </c>
      <c r="H261" s="5">
        <f>G261/F261-1</f>
        <v>-0.016214289956643202</v>
      </c>
      <c r="I261" s="5">
        <f>G261/E261-1</f>
        <v>-0.003369434416365835</v>
      </c>
      <c r="J261" s="5">
        <v>-0.04596244672272787</v>
      </c>
      <c r="K261" s="4">
        <v>11613452389.12</v>
      </c>
    </row>
    <row r="262" spans="1:11">
      <c r="A262" s="1" t="s">
        <v>586</v>
      </c>
      <c r="B262" s="1" t="s">
        <v>587</v>
      </c>
      <c r="C262" s="1" t="s">
        <v>37</v>
      </c>
      <c r="D262" s="1" t="s">
        <v>38</v>
      </c>
      <c r="E262" s="4">
        <v>270.24</v>
      </c>
      <c r="F262" s="4">
        <v>278.43</v>
      </c>
      <c r="G262" s="4">
        <v>275.23</v>
      </c>
      <c r="H262" s="5">
        <f>G262/F262-1</f>
        <v>-0.011493014402183643</v>
      </c>
      <c r="I262" s="5">
        <f>G262/E262-1</f>
        <v>0.018465068087625935</v>
      </c>
      <c r="J262" s="5">
        <v>-0.02698249981694367</v>
      </c>
      <c r="K262" s="4">
        <v>663276390852.3099</v>
      </c>
    </row>
    <row r="263" spans="1:11">
      <c r="A263" s="1" t="s">
        <v>588</v>
      </c>
      <c r="B263" s="1" t="s">
        <v>589</v>
      </c>
      <c r="C263" s="1" t="s">
        <v>54</v>
      </c>
      <c r="D263" s="1" t="s">
        <v>165</v>
      </c>
      <c r="E263" s="4">
        <v>351.58</v>
      </c>
      <c r="F263" s="4">
        <v>362.06</v>
      </c>
      <c r="G263" s="4">
        <v>358.64</v>
      </c>
      <c r="H263" s="5">
        <f>G263/F263-1</f>
        <v>-0.00944594818538369</v>
      </c>
      <c r="I263" s="5">
        <f>G263/E263-1</f>
        <v>0.02008077820126286</v>
      </c>
      <c r="J263" s="5">
        <v>-0.00944594818538369</v>
      </c>
      <c r="K263" s="4">
        <v>953331896974.8</v>
      </c>
    </row>
    <row r="264" spans="1:11">
      <c r="A264" s="1" t="s">
        <v>590</v>
      </c>
      <c r="B264" s="1" t="s">
        <v>591</v>
      </c>
      <c r="C264" s="1" t="s">
        <v>66</v>
      </c>
      <c r="D264" s="1" t="s">
        <v>67</v>
      </c>
      <c r="E264" s="4">
        <v>32.04</v>
      </c>
      <c r="F264" s="4">
        <v>32.88</v>
      </c>
      <c r="G264" s="4">
        <v>32.59</v>
      </c>
      <c r="H264" s="5">
        <f>G264/F264-1</f>
        <v>-0.008819951338199461</v>
      </c>
      <c r="I264" s="5">
        <f>G264/E264-1</f>
        <v>0.017166042446941532</v>
      </c>
      <c r="J264" s="5">
        <v>-0.02060904337127034</v>
      </c>
      <c r="K264" s="4">
        <v>44349320578.42001</v>
      </c>
    </row>
    <row r="265" spans="1:11">
      <c r="A265" s="1" t="s">
        <v>592</v>
      </c>
      <c r="B265" s="1" t="s">
        <v>593</v>
      </c>
      <c r="C265" s="1" t="s">
        <v>54</v>
      </c>
      <c r="D265" s="1" t="s">
        <v>165</v>
      </c>
      <c r="E265" s="4">
        <v>21.87</v>
      </c>
      <c r="F265" s="4">
        <v>22.12</v>
      </c>
      <c r="G265" s="4">
        <v>22.18</v>
      </c>
      <c r="H265" s="5">
        <f>G265/F265-1</f>
        <v>0.002712477396021651</v>
      </c>
      <c r="I265" s="5">
        <f>G265/E265-1</f>
        <v>0.014174668495656073</v>
      </c>
      <c r="J265" s="5">
        <v>-0.03983703033046626</v>
      </c>
      <c r="K265" s="4">
        <v>23668911327.72</v>
      </c>
    </row>
    <row r="266" spans="1:11">
      <c r="A266" s="1" t="s">
        <v>594</v>
      </c>
      <c r="B266" s="1" t="s">
        <v>595</v>
      </c>
      <c r="C266" s="1" t="s">
        <v>41</v>
      </c>
      <c r="D266" s="1" t="s">
        <v>42</v>
      </c>
      <c r="E266" s="4">
        <v>316.13</v>
      </c>
      <c r="F266" s="4">
        <v>322.62</v>
      </c>
      <c r="G266" s="4">
        <v>327.21</v>
      </c>
      <c r="H266" s="5">
        <f>G266/F266-1</f>
        <v>0.014227264273758422</v>
      </c>
      <c r="I266" s="5">
        <f>G266/E266-1</f>
        <v>0.03504887229937048</v>
      </c>
      <c r="J266" s="5">
        <v>-0.02010312442452888</v>
      </c>
      <c r="K266" s="4">
        <v>55705783011.45</v>
      </c>
    </row>
    <row r="267" spans="1:11">
      <c r="A267" s="1" t="s">
        <v>596</v>
      </c>
      <c r="B267" s="1" t="s">
        <v>597</v>
      </c>
      <c r="C267" s="1" t="s">
        <v>66</v>
      </c>
      <c r="D267" s="1" t="s">
        <v>67</v>
      </c>
      <c r="E267" s="4">
        <v>25.58</v>
      </c>
      <c r="F267" s="4">
        <v>25.42</v>
      </c>
      <c r="G267" s="4">
        <v>24.85</v>
      </c>
      <c r="H267" s="5">
        <f>G267/F267-1</f>
        <v>-0.022423288749016557</v>
      </c>
      <c r="I267" s="5">
        <f>G267/E267-1</f>
        <v>-0.028537920250195303</v>
      </c>
      <c r="J267" s="5">
        <v>-0.05369383092155366</v>
      </c>
      <c r="K267" s="4">
        <v>29467720386.3</v>
      </c>
    </row>
    <row r="268" spans="1:11">
      <c r="A268" s="1" t="s">
        <v>598</v>
      </c>
      <c r="B268" s="1" t="s">
        <v>599</v>
      </c>
      <c r="C268" s="1" t="s">
        <v>116</v>
      </c>
      <c r="D268" s="1" t="s">
        <v>117</v>
      </c>
      <c r="E268" s="4">
        <v>24.02</v>
      </c>
      <c r="F268" s="4">
        <v>23.92</v>
      </c>
      <c r="G268" s="4">
        <v>23.6</v>
      </c>
      <c r="H268" s="5">
        <f>G268/F268-1</f>
        <v>-0.013377926421404673</v>
      </c>
      <c r="I268" s="5">
        <f>G268/E268-1</f>
        <v>-0.017485428809325465</v>
      </c>
      <c r="J268" s="5">
        <v>-0.02559867877786948</v>
      </c>
      <c r="K268" s="4">
        <v>15915915803.2</v>
      </c>
    </row>
    <row r="269" spans="1:11">
      <c r="A269" s="1" t="s">
        <v>600</v>
      </c>
      <c r="B269" s="1" t="s">
        <v>601</v>
      </c>
      <c r="C269" s="1" t="s">
        <v>54</v>
      </c>
      <c r="D269" s="1" t="s">
        <v>113</v>
      </c>
      <c r="E269" s="4">
        <v>108.48</v>
      </c>
      <c r="F269" s="4">
        <v>109.76</v>
      </c>
      <c r="G269" s="4">
        <v>107.73</v>
      </c>
      <c r="H269" s="5">
        <f>G269/F269-1</f>
        <v>-0.018494897959183687</v>
      </c>
      <c r="I269" s="5">
        <f>G269/E269-1</f>
        <v>-0.00691371681415931</v>
      </c>
      <c r="J269" s="5">
        <v>-0.03016769959897925</v>
      </c>
      <c r="K269" s="4">
        <v>96702283295.73</v>
      </c>
    </row>
    <row r="270" spans="1:11">
      <c r="A270" s="1" t="s">
        <v>602</v>
      </c>
      <c r="B270" s="1" t="s">
        <v>603</v>
      </c>
      <c r="C270" s="1" t="s">
        <v>41</v>
      </c>
      <c r="D270" s="1" t="s">
        <v>63</v>
      </c>
      <c r="E270" s="4">
        <v>183.99</v>
      </c>
      <c r="F270" s="4">
        <v>172.94</v>
      </c>
      <c r="G270" s="4">
        <v>185.6</v>
      </c>
      <c r="H270" s="5">
        <f>G270/F270-1</f>
        <v>0.07320457962299054</v>
      </c>
      <c r="I270" s="5">
        <f>G270/E270-1</f>
        <v>0.0087504755693244</v>
      </c>
      <c r="J270" s="5">
        <v>-0.0711995217131367</v>
      </c>
      <c r="K270" s="4">
        <v>242495082924.8</v>
      </c>
    </row>
    <row r="271" spans="1:11">
      <c r="A271" s="1" t="s">
        <v>604</v>
      </c>
      <c r="B271" s="1" t="s">
        <v>605</v>
      </c>
      <c r="C271" s="1" t="s">
        <v>66</v>
      </c>
      <c r="D271" s="1" t="s">
        <v>240</v>
      </c>
      <c r="E271" s="4">
        <v>109.31</v>
      </c>
      <c r="F271" s="4">
        <v>107.95</v>
      </c>
      <c r="G271" s="4">
        <v>104.96</v>
      </c>
      <c r="H271" s="5">
        <f>G271/F271-1</f>
        <v>-0.02769800833719327</v>
      </c>
      <c r="I271" s="5">
        <f>G271/E271-1</f>
        <v>-0.039795078217912394</v>
      </c>
      <c r="J271" s="5">
        <v>-0.05755589476519718</v>
      </c>
      <c r="K271" s="4">
        <v>34907495828.48</v>
      </c>
    </row>
    <row r="272" spans="1:11">
      <c r="A272" s="1" t="s">
        <v>606</v>
      </c>
      <c r="B272" s="1" t="s">
        <v>607</v>
      </c>
      <c r="C272" s="1" t="s">
        <v>129</v>
      </c>
      <c r="D272" s="1" t="s">
        <v>129</v>
      </c>
      <c r="E272" s="4">
        <v>30.98</v>
      </c>
      <c r="F272" s="4">
        <v>31.6</v>
      </c>
      <c r="G272" s="4">
        <v>31.4</v>
      </c>
      <c r="H272" s="5">
        <f>G272/F272-1</f>
        <v>-0.006329113924050778</v>
      </c>
      <c r="I272" s="5">
        <f>G272/E272-1</f>
        <v>0.01355713363460298</v>
      </c>
      <c r="J272" s="5">
        <v>-0.02605459057071968</v>
      </c>
      <c r="K272" s="4">
        <v>69921515666.8</v>
      </c>
    </row>
    <row r="273" spans="1:11">
      <c r="A273" s="1" t="s">
        <v>608</v>
      </c>
      <c r="B273" s="1" t="s">
        <v>609</v>
      </c>
      <c r="C273" s="1" t="s">
        <v>66</v>
      </c>
      <c r="D273" s="1" t="s">
        <v>67</v>
      </c>
      <c r="E273" s="4">
        <v>91.09999999999999</v>
      </c>
      <c r="F273" s="4">
        <v>88.81</v>
      </c>
      <c r="G273" s="4">
        <v>88.06999999999999</v>
      </c>
      <c r="H273" s="5">
        <f>G273/F273-1</f>
        <v>-0.008332395000563153</v>
      </c>
      <c r="I273" s="5">
        <f>G273/E273-1</f>
        <v>-0.03326015367727775</v>
      </c>
      <c r="J273" s="5">
        <v>-0.04337427981302311</v>
      </c>
      <c r="K273" s="4">
        <v>378925511831.01</v>
      </c>
    </row>
    <row r="274" spans="1:11">
      <c r="A274" s="1" t="s">
        <v>610</v>
      </c>
      <c r="B274" s="1" t="s">
        <v>611</v>
      </c>
      <c r="C274" s="1" t="s">
        <v>66</v>
      </c>
      <c r="D274" s="1" t="s">
        <v>214</v>
      </c>
      <c r="E274" s="4">
        <v>57.9</v>
      </c>
      <c r="F274" s="4">
        <v>58.51</v>
      </c>
      <c r="G274" s="4">
        <v>58.59</v>
      </c>
      <c r="H274" s="5">
        <f>G274/F274-1</f>
        <v>0.0013672876431380931</v>
      </c>
      <c r="I274" s="5">
        <f>G274/E274-1</f>
        <v>0.011917098445595853</v>
      </c>
      <c r="J274" s="5">
        <v>-0.03639133378469872</v>
      </c>
      <c r="K274" s="4">
        <v>35895076025.13</v>
      </c>
    </row>
    <row r="275" spans="1:11">
      <c r="A275" s="1" t="s">
        <v>612</v>
      </c>
      <c r="B275" s="1" t="s">
        <v>613</v>
      </c>
      <c r="C275" s="1" t="s">
        <v>66</v>
      </c>
      <c r="D275" s="1" t="s">
        <v>240</v>
      </c>
      <c r="E275" s="4">
        <v>19.06</v>
      </c>
      <c r="F275" s="4">
        <v>18.95</v>
      </c>
      <c r="G275" s="4">
        <v>18.74</v>
      </c>
      <c r="H275" s="5">
        <f>G275/F275-1</f>
        <v>-0.011081794195250683</v>
      </c>
      <c r="I275" s="5">
        <f>G275/E275-1</f>
        <v>-0.016789087093389332</v>
      </c>
      <c r="J275" s="5">
        <v>-0.03551209469891925</v>
      </c>
      <c r="K275" s="4">
        <v>35995294771.57999</v>
      </c>
    </row>
    <row r="276" spans="1:11">
      <c r="A276" s="1" t="s">
        <v>614</v>
      </c>
      <c r="B276" s="1" t="s">
        <v>615</v>
      </c>
      <c r="C276" s="1" t="s">
        <v>54</v>
      </c>
      <c r="D276" s="1" t="s">
        <v>55</v>
      </c>
      <c r="E276" s="4">
        <v>109.83</v>
      </c>
      <c r="F276" s="4">
        <v>110.04</v>
      </c>
      <c r="G276" s="4">
        <v>109.3</v>
      </c>
      <c r="H276" s="5">
        <f>G276/F276-1</f>
        <v>-0.006724827335514494</v>
      </c>
      <c r="I276" s="5">
        <f>G276/E276-1</f>
        <v>-0.004825639624874811</v>
      </c>
      <c r="J276" s="5">
        <v>-0.02835352175863615</v>
      </c>
      <c r="K276" s="4">
        <v>22343949796</v>
      </c>
    </row>
    <row r="277" spans="1:11">
      <c r="A277" s="1" t="s">
        <v>616</v>
      </c>
      <c r="B277" s="1" t="s">
        <v>617</v>
      </c>
      <c r="C277" s="1" t="s">
        <v>70</v>
      </c>
      <c r="D277" s="1" t="s">
        <v>71</v>
      </c>
      <c r="E277" s="4">
        <v>141.39</v>
      </c>
      <c r="F277" s="4">
        <v>132.36</v>
      </c>
      <c r="G277" s="4">
        <v>133.05</v>
      </c>
      <c r="H277" s="5">
        <f>G277/F277-1</f>
        <v>0.0052130553037170735</v>
      </c>
      <c r="I277" s="5">
        <f>G277/E277-1</f>
        <v>-0.058985784001697295</v>
      </c>
      <c r="J277" s="5">
        <v>-0.06386590282198157</v>
      </c>
      <c r="K277" s="4">
        <v>16696738407.45</v>
      </c>
    </row>
    <row r="278" spans="1:11">
      <c r="A278" s="1" t="s">
        <v>618</v>
      </c>
      <c r="B278" s="1" t="s">
        <v>619</v>
      </c>
      <c r="C278" s="1" t="s">
        <v>47</v>
      </c>
      <c r="D278" s="1" t="s">
        <v>331</v>
      </c>
      <c r="E278" s="4">
        <v>87.02</v>
      </c>
      <c r="F278" s="4">
        <v>84.45</v>
      </c>
      <c r="G278" s="4">
        <v>83.58</v>
      </c>
      <c r="H278" s="5">
        <f>G278/F278-1</f>
        <v>-0.010301953818827814</v>
      </c>
      <c r="I278" s="5">
        <f>G278/E278-1</f>
        <v>-0.039531142266145736</v>
      </c>
      <c r="J278" s="5">
        <v>-0.06136569872958253</v>
      </c>
      <c r="K278" s="4">
        <v>20150640613.65</v>
      </c>
    </row>
    <row r="279" spans="1:11">
      <c r="A279" s="1" t="s">
        <v>620</v>
      </c>
      <c r="B279" s="1" t="s">
        <v>621</v>
      </c>
      <c r="C279" s="1" t="s">
        <v>37</v>
      </c>
      <c r="D279" s="1" t="s">
        <v>51</v>
      </c>
      <c r="E279" s="4">
        <v>336.34</v>
      </c>
      <c r="F279" s="4">
        <v>331.5</v>
      </c>
      <c r="G279" s="4">
        <v>326.89</v>
      </c>
      <c r="H279" s="5">
        <f>G279/F279-1</f>
        <v>-0.01390648567119157</v>
      </c>
      <c r="I279" s="5">
        <f>G279/E279-1</f>
        <v>-0.028096568948088207</v>
      </c>
      <c r="J279" s="5">
        <v>-0.0366888666234455</v>
      </c>
      <c r="K279" s="4">
        <v>26510779000</v>
      </c>
    </row>
    <row r="280" spans="1:11">
      <c r="A280" s="1" t="s">
        <v>622</v>
      </c>
      <c r="B280" s="1" t="s">
        <v>623</v>
      </c>
      <c r="C280" s="1" t="s">
        <v>70</v>
      </c>
      <c r="D280" s="1" t="s">
        <v>100</v>
      </c>
      <c r="E280" s="4">
        <v>266.73</v>
      </c>
      <c r="F280" s="4">
        <v>262.14</v>
      </c>
      <c r="G280" s="4">
        <v>256.45</v>
      </c>
      <c r="H280" s="5">
        <f>G280/F280-1</f>
        <v>-0.021705958648050694</v>
      </c>
      <c r="I280" s="5">
        <f>G280/E280-1</f>
        <v>-0.03854084654894474</v>
      </c>
      <c r="J280" s="5">
        <v>-0.03854084654894474</v>
      </c>
      <c r="K280" s="4">
        <v>47754738273.2</v>
      </c>
    </row>
    <row r="281" spans="1:11">
      <c r="A281" s="1" t="s">
        <v>624</v>
      </c>
      <c r="B281" s="1" t="s">
        <v>625</v>
      </c>
      <c r="C281" s="1" t="s">
        <v>70</v>
      </c>
      <c r="D281" s="1" t="s">
        <v>100</v>
      </c>
      <c r="E281" s="4">
        <v>402.87</v>
      </c>
      <c r="F281" s="4">
        <v>386.08</v>
      </c>
      <c r="G281" s="4">
        <v>390.53</v>
      </c>
      <c r="H281" s="5">
        <f>G281/F281-1</f>
        <v>0.011526108578532979</v>
      </c>
      <c r="I281" s="5">
        <f>G281/E281-1</f>
        <v>-0.030630228113287195</v>
      </c>
      <c r="J281" s="5">
        <v>-0.07166083351949759</v>
      </c>
      <c r="K281" s="4">
        <v>13496980407.75</v>
      </c>
    </row>
    <row r="282" spans="1:11">
      <c r="A282" s="1" t="s">
        <v>626</v>
      </c>
      <c r="B282" s="1" t="s">
        <v>627</v>
      </c>
      <c r="C282" s="1" t="s">
        <v>93</v>
      </c>
      <c r="D282" s="1" t="s">
        <v>93</v>
      </c>
      <c r="E282" s="4">
        <v>487.57</v>
      </c>
      <c r="F282" s="4">
        <v>482.19</v>
      </c>
      <c r="G282" s="4">
        <v>477.57</v>
      </c>
      <c r="H282" s="5">
        <f>G282/F282-1</f>
        <v>-0.009581285385429017</v>
      </c>
      <c r="I282" s="5">
        <f>G282/E282-1</f>
        <v>-0.020509875505055675</v>
      </c>
      <c r="J282" s="5">
        <v>-0.02602329043705254</v>
      </c>
      <c r="K282" s="4">
        <v>220150296443.91</v>
      </c>
    </row>
    <row r="283" spans="1:11">
      <c r="A283" s="1" t="s">
        <v>628</v>
      </c>
      <c r="B283" s="1" t="s">
        <v>629</v>
      </c>
      <c r="C283" s="1" t="s">
        <v>41</v>
      </c>
      <c r="D283" s="1" t="s">
        <v>42</v>
      </c>
      <c r="E283" s="4">
        <v>866.71</v>
      </c>
      <c r="F283" s="4">
        <v>847.37</v>
      </c>
      <c r="G283" s="4">
        <v>881.255</v>
      </c>
      <c r="H283" s="5">
        <f>G283/F283-1</f>
        <v>0.03998843480415881</v>
      </c>
      <c r="I283" s="5">
        <f>G283/E283-1</f>
        <v>0.01678185321503145</v>
      </c>
      <c r="J283" s="5">
        <v>-0.1137594912878866</v>
      </c>
      <c r="K283" s="4">
        <v>79048573500</v>
      </c>
    </row>
    <row r="284" spans="1:11">
      <c r="A284" s="1" t="s">
        <v>630</v>
      </c>
      <c r="B284" s="1" t="s">
        <v>631</v>
      </c>
      <c r="C284" s="1" t="s">
        <v>37</v>
      </c>
      <c r="D284" s="1" t="s">
        <v>38</v>
      </c>
      <c r="E284" s="4">
        <v>1255.4</v>
      </c>
      <c r="F284" s="4">
        <v>1159.6</v>
      </c>
      <c r="G284" s="4">
        <v>1149.36</v>
      </c>
      <c r="H284" s="5">
        <f>G284/F284-1</f>
        <v>-0.008830631252155885</v>
      </c>
      <c r="I284" s="5">
        <f>G284/E284-1</f>
        <v>-0.08446710211884678</v>
      </c>
      <c r="J284" s="5">
        <v>-0.08446710211884678</v>
      </c>
      <c r="K284" s="4">
        <v>1081958156228.4</v>
      </c>
    </row>
    <row r="285" spans="1:11">
      <c r="A285" s="1" t="s">
        <v>632</v>
      </c>
      <c r="B285" s="1" t="s">
        <v>633</v>
      </c>
      <c r="C285" s="1" t="s">
        <v>70</v>
      </c>
      <c r="D285" s="1" t="s">
        <v>100</v>
      </c>
      <c r="E285" s="4">
        <v>563.5700000000001</v>
      </c>
      <c r="F285" s="4">
        <v>532.95</v>
      </c>
      <c r="G285" s="4">
        <v>525.28</v>
      </c>
      <c r="H285" s="5">
        <f>G285/F285-1</f>
        <v>-0.014391593958157589</v>
      </c>
      <c r="I285" s="5">
        <f>G285/E285-1</f>
        <v>-0.06794187057508394</v>
      </c>
      <c r="J285" s="5">
        <v>-0.07176306349290495</v>
      </c>
      <c r="K285" s="4">
        <v>121229766735.84</v>
      </c>
    </row>
    <row r="286" spans="1:11">
      <c r="A286" s="1" t="s">
        <v>634</v>
      </c>
      <c r="B286" s="1" t="s">
        <v>635</v>
      </c>
      <c r="C286" s="1" t="s">
        <v>76</v>
      </c>
      <c r="D286" s="1" t="s">
        <v>76</v>
      </c>
      <c r="E286" s="4">
        <v>67.86</v>
      </c>
      <c r="F286" s="4">
        <v>68</v>
      </c>
      <c r="G286" s="4">
        <v>67.97</v>
      </c>
      <c r="H286" s="5">
        <f>G286/F286-1</f>
        <v>-0.00044117647058827814</v>
      </c>
      <c r="I286" s="5">
        <f>G286/E286-1</f>
        <v>0.001620984379605117</v>
      </c>
      <c r="J286" s="5">
        <v>-0.01712130005803836</v>
      </c>
      <c r="K286" s="4">
        <v>17623580991.03</v>
      </c>
    </row>
    <row r="287" spans="1:11">
      <c r="A287" s="1" t="s">
        <v>636</v>
      </c>
      <c r="B287" s="1" t="s">
        <v>637</v>
      </c>
      <c r="C287" s="1" t="s">
        <v>47</v>
      </c>
      <c r="D287" s="1" t="s">
        <v>120</v>
      </c>
      <c r="E287" s="4">
        <v>216.09</v>
      </c>
      <c r="F287" s="4">
        <v>201.9</v>
      </c>
      <c r="G287" s="4">
        <v>204.45</v>
      </c>
      <c r="H287" s="5">
        <f>G287/F287-1</f>
        <v>0.012630014858840966</v>
      </c>
      <c r="I287" s="5">
        <f>G287/E287-1</f>
        <v>-0.053866444536998515</v>
      </c>
      <c r="J287" s="5">
        <v>-0.07899345561802928</v>
      </c>
      <c r="K287" s="4">
        <v>114707494184.55</v>
      </c>
    </row>
    <row r="288" spans="1:11">
      <c r="A288" s="1" t="s">
        <v>638</v>
      </c>
      <c r="B288" s="1" t="s">
        <v>639</v>
      </c>
      <c r="C288" s="1" t="s">
        <v>41</v>
      </c>
      <c r="D288" s="1" t="s">
        <v>63</v>
      </c>
      <c r="E288" s="4">
        <v>314</v>
      </c>
      <c r="F288" s="4">
        <v>292.66</v>
      </c>
      <c r="G288" s="4">
        <v>307.65</v>
      </c>
      <c r="H288" s="5">
        <f>G288/F288-1</f>
        <v>0.051219845554568266</v>
      </c>
      <c r="I288" s="5">
        <f>G288/E288-1</f>
        <v>-0.02022292993630581</v>
      </c>
      <c r="J288" s="5">
        <v>-0.09498399146211312</v>
      </c>
      <c r="K288" s="4">
        <v>384968905650</v>
      </c>
    </row>
    <row r="289" spans="1:11">
      <c r="A289" s="1" t="s">
        <v>640</v>
      </c>
      <c r="B289" s="1" t="s">
        <v>641</v>
      </c>
      <c r="C289" s="1" t="s">
        <v>47</v>
      </c>
      <c r="D289" s="1" t="s">
        <v>331</v>
      </c>
      <c r="E289" s="4">
        <v>121.07</v>
      </c>
      <c r="F289" s="4">
        <v>121.77</v>
      </c>
      <c r="G289" s="4">
        <v>100.61</v>
      </c>
      <c r="H289" s="5">
        <f>G289/F289-1</f>
        <v>-0.17377022255071028</v>
      </c>
      <c r="I289" s="5">
        <f>G289/E289-1</f>
        <v>-0.16899314446188152</v>
      </c>
      <c r="J289" s="5">
        <v>-0.1805668675680079</v>
      </c>
      <c r="K289" s="4">
        <v>11138535615.25</v>
      </c>
    </row>
    <row r="290" spans="1:11">
      <c r="A290" s="1" t="s">
        <v>642</v>
      </c>
      <c r="B290" s="1" t="s">
        <v>643</v>
      </c>
      <c r="C290" s="1" t="s">
        <v>70</v>
      </c>
      <c r="D290" s="1" t="s">
        <v>243</v>
      </c>
      <c r="E290" s="4">
        <v>40.38</v>
      </c>
      <c r="F290" s="4">
        <v>38.73</v>
      </c>
      <c r="G290" s="4">
        <v>39.62</v>
      </c>
      <c r="H290" s="5">
        <f>G290/F290-1</f>
        <v>0.022979602375419628</v>
      </c>
      <c r="I290" s="5">
        <f>G290/E290-1</f>
        <v>-0.018821198613174994</v>
      </c>
      <c r="J290" s="5">
        <v>-0.07692307692307698</v>
      </c>
      <c r="K290" s="4">
        <v>19382428923.62</v>
      </c>
    </row>
    <row r="291" spans="1:11">
      <c r="A291" s="1" t="s">
        <v>644</v>
      </c>
      <c r="B291" s="1" t="s">
        <v>645</v>
      </c>
      <c r="C291" s="1" t="s">
        <v>47</v>
      </c>
      <c r="D291" s="1" t="s">
        <v>48</v>
      </c>
      <c r="E291" s="4">
        <v>47.03</v>
      </c>
      <c r="F291" s="4">
        <v>44.51</v>
      </c>
      <c r="G291" s="4">
        <v>44.37</v>
      </c>
      <c r="H291" s="5">
        <f>G291/F291-1</f>
        <v>-0.0031453605931252016</v>
      </c>
      <c r="I291" s="5">
        <f>G291/E291-1</f>
        <v>-0.05655964278120351</v>
      </c>
      <c r="J291" s="5">
        <v>-0.07319653056907127</v>
      </c>
      <c r="K291" s="4">
        <v>28738501534.08</v>
      </c>
    </row>
    <row r="292" spans="1:11">
      <c r="A292" s="1" t="s">
        <v>646</v>
      </c>
      <c r="B292" s="1" t="s">
        <v>647</v>
      </c>
      <c r="C292" s="1" t="s">
        <v>93</v>
      </c>
      <c r="D292" s="1" t="s">
        <v>93</v>
      </c>
      <c r="E292" s="4">
        <v>67.53</v>
      </c>
      <c r="F292" s="4">
        <v>64.76000000000001</v>
      </c>
      <c r="G292" s="4">
        <v>63.52</v>
      </c>
      <c r="H292" s="5">
        <f>G292/F292-1</f>
        <v>-0.01914762198888209</v>
      </c>
      <c r="I292" s="5">
        <f>G292/E292-1</f>
        <v>-0.059381015844809704</v>
      </c>
      <c r="J292" s="5">
        <v>-0.07374500222123503</v>
      </c>
      <c r="K292" s="4">
        <v>20519370711.04</v>
      </c>
    </row>
    <row r="293" spans="1:11">
      <c r="A293" s="1" t="s">
        <v>648</v>
      </c>
      <c r="B293" s="1" t="s">
        <v>649</v>
      </c>
      <c r="C293" s="1" t="s">
        <v>138</v>
      </c>
      <c r="D293" s="1" t="s">
        <v>139</v>
      </c>
      <c r="E293" s="4">
        <v>181.82</v>
      </c>
      <c r="F293" s="4">
        <v>177.49</v>
      </c>
      <c r="G293" s="4">
        <v>173.5</v>
      </c>
      <c r="H293" s="5">
        <f>G293/F293-1</f>
        <v>-0.02248013972618179</v>
      </c>
      <c r="I293" s="5">
        <f>G293/E293-1</f>
        <v>-0.045759542404575915</v>
      </c>
      <c r="J293" s="5">
        <v>-0.07104995448947904</v>
      </c>
      <c r="K293" s="4">
        <v>40882474710</v>
      </c>
    </row>
    <row r="294" spans="1:11">
      <c r="A294" s="1" t="s">
        <v>650</v>
      </c>
      <c r="B294" s="1" t="s">
        <v>651</v>
      </c>
      <c r="C294" s="1" t="s">
        <v>54</v>
      </c>
      <c r="D294" s="1" t="s">
        <v>113</v>
      </c>
      <c r="E294" s="4">
        <v>580.63</v>
      </c>
      <c r="F294" s="4">
        <v>585.71</v>
      </c>
      <c r="G294" s="4">
        <v>579.21</v>
      </c>
      <c r="H294" s="5">
        <f>G294/F294-1</f>
        <v>-0.011097642177869571</v>
      </c>
      <c r="I294" s="5">
        <f>G294/E294-1</f>
        <v>-0.0024456194133957165</v>
      </c>
      <c r="J294" s="5">
        <v>-0.03442469909645585</v>
      </c>
      <c r="K294" s="4">
        <v>507504832993.8</v>
      </c>
    </row>
    <row r="295" spans="1:11">
      <c r="A295" s="1" t="s">
        <v>652</v>
      </c>
      <c r="B295" s="1" t="s">
        <v>653</v>
      </c>
      <c r="C295" s="1" t="s">
        <v>116</v>
      </c>
      <c r="D295" s="1" t="s">
        <v>117</v>
      </c>
      <c r="E295" s="4">
        <v>131.31</v>
      </c>
      <c r="F295" s="4">
        <v>128.56</v>
      </c>
      <c r="G295" s="4">
        <v>128.32</v>
      </c>
      <c r="H295" s="5">
        <f>G295/F295-1</f>
        <v>-0.0018668326073429942</v>
      </c>
      <c r="I295" s="5">
        <f>G295/E295-1</f>
        <v>-0.022770542989871356</v>
      </c>
      <c r="J295" s="5">
        <v>-0.03634725142685491</v>
      </c>
      <c r="K295" s="4">
        <v>14887877981.76</v>
      </c>
    </row>
    <row r="296" spans="1:11">
      <c r="A296" s="1" t="s">
        <v>654</v>
      </c>
      <c r="B296" s="1" t="s">
        <v>655</v>
      </c>
      <c r="C296" s="1" t="s">
        <v>47</v>
      </c>
      <c r="D296" s="1" t="s">
        <v>48</v>
      </c>
      <c r="E296" s="4">
        <v>356.39</v>
      </c>
      <c r="F296" s="4">
        <v>336.07</v>
      </c>
      <c r="G296" s="4">
        <v>336.51</v>
      </c>
      <c r="H296" s="5">
        <f>G296/F296-1</f>
        <v>0.0013092510488885711</v>
      </c>
      <c r="I296" s="5">
        <f>G296/E296-1</f>
        <v>-0.05578158758663265</v>
      </c>
      <c r="J296" s="5">
        <v>-0.0751249305941144</v>
      </c>
      <c r="K296" s="4">
        <v>87750463574.87999</v>
      </c>
    </row>
    <row r="297" spans="1:11">
      <c r="A297" s="1" t="s">
        <v>656</v>
      </c>
      <c r="B297" s="1" t="s">
        <v>657</v>
      </c>
      <c r="C297" s="1" t="s">
        <v>70</v>
      </c>
      <c r="D297" s="1" t="s">
        <v>100</v>
      </c>
      <c r="E297" s="4">
        <v>73.29000000000001</v>
      </c>
      <c r="F297" s="4">
        <v>71.42</v>
      </c>
      <c r="G297" s="4">
        <v>72.7</v>
      </c>
      <c r="H297" s="5">
        <f>G297/F297-1</f>
        <v>0.017922150658078895</v>
      </c>
      <c r="I297" s="5">
        <f>G297/E297-1</f>
        <v>-0.008050211488606962</v>
      </c>
      <c r="J297" s="5">
        <v>-0.04551630434782605</v>
      </c>
      <c r="K297" s="4">
        <v>14335526161</v>
      </c>
    </row>
    <row r="298" spans="1:11">
      <c r="A298" s="1" t="s">
        <v>658</v>
      </c>
      <c r="B298" s="1" t="s">
        <v>659</v>
      </c>
      <c r="C298" s="1" t="s">
        <v>47</v>
      </c>
      <c r="D298" s="1" t="s">
        <v>48</v>
      </c>
      <c r="E298" s="4">
        <v>270.95</v>
      </c>
      <c r="F298" s="4">
        <v>259.63</v>
      </c>
      <c r="G298" s="4">
        <v>255.69</v>
      </c>
      <c r="H298" s="5">
        <f>G298/F298-1</f>
        <v>-0.015175441975118442</v>
      </c>
      <c r="I298" s="5">
        <f>G298/E298-1</f>
        <v>-0.05632035430891302</v>
      </c>
      <c r="J298" s="5">
        <v>-0.06182578704043451</v>
      </c>
      <c r="K298" s="4">
        <v>180936863061.39</v>
      </c>
    </row>
    <row r="299" spans="1:11">
      <c r="A299" s="1" t="s">
        <v>660</v>
      </c>
      <c r="B299" s="1" t="s">
        <v>661</v>
      </c>
      <c r="C299" s="1" t="s">
        <v>41</v>
      </c>
      <c r="D299" s="1" t="s">
        <v>63</v>
      </c>
      <c r="E299" s="4">
        <v>76.08</v>
      </c>
      <c r="F299" s="4">
        <v>73.11</v>
      </c>
      <c r="G299" s="4">
        <v>74.17</v>
      </c>
      <c r="H299" s="5">
        <f>G299/F299-1</f>
        <v>0.014498700588154945</v>
      </c>
      <c r="I299" s="5">
        <f>G299/E299-1</f>
        <v>-0.025105152471083025</v>
      </c>
      <c r="J299" s="5">
        <v>-0.06138275499474244</v>
      </c>
      <c r="K299" s="4">
        <v>40274954611.47</v>
      </c>
    </row>
    <row r="300" spans="1:11">
      <c r="A300" s="1" t="s">
        <v>662</v>
      </c>
      <c r="B300" s="1" t="s">
        <v>663</v>
      </c>
      <c r="C300" s="1" t="s">
        <v>37</v>
      </c>
      <c r="D300" s="1" t="s">
        <v>51</v>
      </c>
      <c r="E300" s="4">
        <v>858.9</v>
      </c>
      <c r="F300" s="4">
        <v>921.38</v>
      </c>
      <c r="G300" s="4">
        <v>907.99</v>
      </c>
      <c r="H300" s="5">
        <f>G300/F300-1</f>
        <v>-0.01453254900258305</v>
      </c>
      <c r="I300" s="5">
        <f>G300/E300-1</f>
        <v>0.05715449994178612</v>
      </c>
      <c r="J300" s="5">
        <v>-0.02184313162226958</v>
      </c>
      <c r="K300" s="4">
        <v>105862883700.37</v>
      </c>
    </row>
    <row r="301" spans="1:11">
      <c r="A301" s="1" t="s">
        <v>664</v>
      </c>
      <c r="B301" s="1" t="s">
        <v>665</v>
      </c>
      <c r="C301" s="1" t="s">
        <v>54</v>
      </c>
      <c r="D301" s="1" t="s">
        <v>113</v>
      </c>
      <c r="E301" s="4">
        <v>503.32</v>
      </c>
      <c r="F301" s="4">
        <v>504.3</v>
      </c>
      <c r="G301" s="4">
        <v>493.55</v>
      </c>
      <c r="H301" s="5">
        <f>G301/F301-1</f>
        <v>-0.021316676581399907</v>
      </c>
      <c r="I301" s="5">
        <f>G301/E301-1</f>
        <v>-0.019411110228085504</v>
      </c>
      <c r="J301" s="5">
        <v>-0.04845130595203428</v>
      </c>
      <c r="K301" s="4">
        <v>85482860000</v>
      </c>
    </row>
    <row r="302" spans="1:11">
      <c r="A302" s="1" t="s">
        <v>666</v>
      </c>
      <c r="B302" s="1" t="s">
        <v>667</v>
      </c>
      <c r="C302" s="1" t="s">
        <v>66</v>
      </c>
      <c r="D302" s="1" t="s">
        <v>67</v>
      </c>
      <c r="E302" s="4">
        <v>64.45</v>
      </c>
      <c r="F302" s="4">
        <v>61.45</v>
      </c>
      <c r="G302" s="4">
        <v>61.28</v>
      </c>
      <c r="H302" s="5">
        <f>G302/F302-1</f>
        <v>-0.002766476810414975</v>
      </c>
      <c r="I302" s="5">
        <f>G302/E302-1</f>
        <v>-0.04918541505042673</v>
      </c>
      <c r="J302" s="5">
        <v>-0.05285935085007731</v>
      </c>
      <c r="K302" s="4">
        <v>78212157732.95999</v>
      </c>
    </row>
    <row r="303" spans="1:11">
      <c r="A303" s="1" t="s">
        <v>668</v>
      </c>
      <c r="B303" s="1" t="s">
        <v>669</v>
      </c>
      <c r="C303" s="1" t="s">
        <v>37</v>
      </c>
      <c r="D303" s="1" t="s">
        <v>51</v>
      </c>
      <c r="E303" s="4">
        <v>93.34999999999999</v>
      </c>
      <c r="F303" s="4">
        <v>93.09999999999999</v>
      </c>
      <c r="G303" s="4">
        <v>94.17</v>
      </c>
      <c r="H303" s="5">
        <f>G303/F303-1</f>
        <v>0.011493018259935539</v>
      </c>
      <c r="I303" s="5">
        <f>G303/E303-1</f>
        <v>0.008784145688270018</v>
      </c>
      <c r="J303" s="5">
        <v>-0.03620782003213707</v>
      </c>
      <c r="K303" s="4">
        <v>120456415101.3</v>
      </c>
    </row>
    <row r="304" spans="1:11">
      <c r="A304" s="1" t="s">
        <v>670</v>
      </c>
      <c r="B304" s="1" t="s">
        <v>671</v>
      </c>
      <c r="C304" s="1" t="s">
        <v>54</v>
      </c>
      <c r="D304" s="1" t="s">
        <v>55</v>
      </c>
      <c r="E304" s="4">
        <v>94.34</v>
      </c>
      <c r="F304" s="4">
        <v>99.23</v>
      </c>
      <c r="G304" s="4">
        <v>97.62</v>
      </c>
      <c r="H304" s="5">
        <f>G304/F304-1</f>
        <v>-0.016224931976216883</v>
      </c>
      <c r="I304" s="5">
        <f>G304/E304-1</f>
        <v>0.034767860928556216</v>
      </c>
      <c r="J304" s="5">
        <v>-0.02175714877745538</v>
      </c>
      <c r="K304" s="4">
        <v>62035257613.74001</v>
      </c>
    </row>
    <row r="305" spans="1:11">
      <c r="A305" s="1" t="s">
        <v>672</v>
      </c>
      <c r="B305" s="1" t="s">
        <v>673</v>
      </c>
      <c r="C305" s="1" t="s">
        <v>138</v>
      </c>
      <c r="D305" s="1" t="s">
        <v>139</v>
      </c>
      <c r="E305" s="4">
        <v>549.9</v>
      </c>
      <c r="F305" s="4">
        <v>610.6799999999999</v>
      </c>
      <c r="G305" s="4">
        <v>616.77</v>
      </c>
      <c r="H305" s="5">
        <f>G305/F305-1</f>
        <v>0.009972489683631514</v>
      </c>
      <c r="I305" s="5">
        <f>G305/E305-1</f>
        <v>0.12160392798690678</v>
      </c>
      <c r="J305" s="5">
        <v>-0.009826649596899717</v>
      </c>
      <c r="K305" s="4">
        <v>1571225414393.25</v>
      </c>
    </row>
    <row r="306" spans="1:11">
      <c r="A306" s="1" t="s">
        <v>674</v>
      </c>
      <c r="B306" s="1" t="s">
        <v>675</v>
      </c>
      <c r="C306" s="1" t="s">
        <v>47</v>
      </c>
      <c r="D306" s="1" t="s">
        <v>48</v>
      </c>
      <c r="E306" s="4">
        <v>43.74</v>
      </c>
      <c r="F306" s="4">
        <v>41.13</v>
      </c>
      <c r="G306" s="4">
        <v>41.22</v>
      </c>
      <c r="H306" s="5">
        <f>G306/F306-1</f>
        <v>0.002188183807439792</v>
      </c>
      <c r="I306" s="5">
        <f>G306/E306-1</f>
        <v>-0.057613168724279906</v>
      </c>
      <c r="J306" s="5">
        <v>-0.0679012345679012</v>
      </c>
      <c r="K306" s="4">
        <v>10370653402.32</v>
      </c>
    </row>
    <row r="307" spans="1:11">
      <c r="A307" s="1" t="s">
        <v>676</v>
      </c>
      <c r="B307" s="1" t="s">
        <v>677</v>
      </c>
      <c r="C307" s="1" t="s">
        <v>66</v>
      </c>
      <c r="D307" s="1" t="s">
        <v>67</v>
      </c>
      <c r="E307" s="4">
        <v>55.41</v>
      </c>
      <c r="F307" s="4">
        <v>52.58</v>
      </c>
      <c r="G307" s="4">
        <v>52.08</v>
      </c>
      <c r="H307" s="5">
        <f>G307/F307-1</f>
        <v>-0.009509319132750105</v>
      </c>
      <c r="I307" s="5">
        <f>G307/E307-1</f>
        <v>-0.060097455332972394</v>
      </c>
      <c r="J307" s="5">
        <v>-0.07330960854092539</v>
      </c>
      <c r="K307" s="4">
        <v>14003416432.38</v>
      </c>
    </row>
    <row r="308" spans="1:11">
      <c r="A308" s="1" t="s">
        <v>678</v>
      </c>
      <c r="B308" s="1" t="s">
        <v>679</v>
      </c>
      <c r="C308" s="1" t="s">
        <v>93</v>
      </c>
      <c r="D308" s="1" t="s">
        <v>93</v>
      </c>
      <c r="E308" s="4">
        <v>534.92</v>
      </c>
      <c r="F308" s="4">
        <v>508.94</v>
      </c>
      <c r="G308" s="4">
        <v>514.77</v>
      </c>
      <c r="H308" s="5">
        <f>G308/F308-1</f>
        <v>0.011455181357330924</v>
      </c>
      <c r="I308" s="5">
        <f>G308/E308-1</f>
        <v>-0.03766918417707321</v>
      </c>
      <c r="J308" s="5">
        <v>-0.05608315262095254</v>
      </c>
      <c r="K308" s="4">
        <v>36559135788.87</v>
      </c>
    </row>
    <row r="309" spans="1:11">
      <c r="A309" s="1" t="s">
        <v>680</v>
      </c>
      <c r="B309" s="1" t="s">
        <v>681</v>
      </c>
      <c r="C309" s="1" t="s">
        <v>70</v>
      </c>
      <c r="D309" s="1" t="s">
        <v>100</v>
      </c>
      <c r="E309" s="4">
        <v>178.96</v>
      </c>
      <c r="F309" s="4">
        <v>168.31</v>
      </c>
      <c r="G309" s="4">
        <v>168.56</v>
      </c>
      <c r="H309" s="5">
        <f>G309/F309-1</f>
        <v>0.001485354405561079</v>
      </c>
      <c r="I309" s="5">
        <f>G309/E309-1</f>
        <v>-0.058113544926240546</v>
      </c>
      <c r="J309" s="5">
        <v>-0.06494444444444447</v>
      </c>
      <c r="K309" s="4">
        <v>86930170609.51999</v>
      </c>
    </row>
    <row r="310" spans="1:11">
      <c r="A310" s="1" t="s">
        <v>682</v>
      </c>
      <c r="B310" s="1" t="s">
        <v>683</v>
      </c>
      <c r="C310" s="1" t="s">
        <v>66</v>
      </c>
      <c r="D310" s="1" t="s">
        <v>67</v>
      </c>
      <c r="E310" s="4">
        <v>47.79</v>
      </c>
      <c r="F310" s="4">
        <v>44.08</v>
      </c>
      <c r="G310" s="4">
        <v>43.82</v>
      </c>
      <c r="H310" s="5">
        <f>G310/F310-1</f>
        <v>-0.005898366606170602</v>
      </c>
      <c r="I310" s="5">
        <f>G310/E310-1</f>
        <v>-0.083071772337309</v>
      </c>
      <c r="J310" s="5">
        <v>-0.1042518397383484</v>
      </c>
      <c r="K310" s="4">
        <v>85845648298.48001</v>
      </c>
    </row>
    <row r="311" spans="1:11">
      <c r="A311" s="1" t="s">
        <v>684</v>
      </c>
      <c r="B311" s="1" t="s">
        <v>685</v>
      </c>
      <c r="C311" s="1" t="s">
        <v>66</v>
      </c>
      <c r="D311" s="1" t="s">
        <v>67</v>
      </c>
      <c r="E311" s="4">
        <v>66.09</v>
      </c>
      <c r="F311" s="4">
        <v>69.48999999999999</v>
      </c>
      <c r="G311" s="4">
        <v>68.88</v>
      </c>
      <c r="H311" s="5">
        <f>G311/F311-1</f>
        <v>-0.008778241473593296</v>
      </c>
      <c r="I311" s="5">
        <f>G311/E311-1</f>
        <v>0.042215161143894564</v>
      </c>
      <c r="J311" s="5">
        <v>-0.0209780092592593</v>
      </c>
      <c r="K311" s="4">
        <v>115011961622.88</v>
      </c>
    </row>
    <row r="312" spans="1:11">
      <c r="A312" s="1" t="s">
        <v>686</v>
      </c>
      <c r="B312" s="1" t="s">
        <v>687</v>
      </c>
      <c r="C312" s="1" t="s">
        <v>93</v>
      </c>
      <c r="D312" s="1" t="s">
        <v>93</v>
      </c>
      <c r="E312" s="4">
        <v>24.41</v>
      </c>
      <c r="F312" s="4">
        <v>25.49</v>
      </c>
      <c r="G312" s="4">
        <v>25.85</v>
      </c>
      <c r="H312" s="5">
        <f>G312/F312-1</f>
        <v>0.01412318556296599</v>
      </c>
      <c r="I312" s="5">
        <f>G312/E312-1</f>
        <v>0.05899221630479312</v>
      </c>
      <c r="J312" s="5">
        <v>-0.0331831216714461</v>
      </c>
      <c r="K312" s="4">
        <v>8217602449.1</v>
      </c>
    </row>
    <row r="313" spans="1:11">
      <c r="A313" s="1" t="s">
        <v>688</v>
      </c>
      <c r="B313" s="1" t="s">
        <v>689</v>
      </c>
      <c r="C313" s="1" t="s">
        <v>129</v>
      </c>
      <c r="D313" s="1" t="s">
        <v>129</v>
      </c>
      <c r="E313" s="4">
        <v>360.72</v>
      </c>
      <c r="F313" s="4">
        <v>387.71</v>
      </c>
      <c r="G313" s="4">
        <v>388.9</v>
      </c>
      <c r="H313" s="5">
        <f>G313/F313-1</f>
        <v>0.0030693043769827177</v>
      </c>
      <c r="I313" s="5">
        <f>G313/E313-1</f>
        <v>0.0781215347083608</v>
      </c>
      <c r="J313" s="5">
        <v>-0.02107469932693362</v>
      </c>
      <c r="K313" s="4">
        <v>109212750330.7</v>
      </c>
    </row>
    <row r="314" spans="1:11">
      <c r="A314" s="1" t="s">
        <v>690</v>
      </c>
      <c r="B314" s="1" t="s">
        <v>691</v>
      </c>
      <c r="C314" s="1" t="s">
        <v>41</v>
      </c>
      <c r="D314" s="1" t="s">
        <v>63</v>
      </c>
      <c r="E314" s="4">
        <v>1316.28</v>
      </c>
      <c r="F314" s="4">
        <v>1213.65</v>
      </c>
      <c r="G314" s="4">
        <v>1223.86</v>
      </c>
      <c r="H314" s="5">
        <f>G314/F314-1</f>
        <v>0.008412639558356805</v>
      </c>
      <c r="I314" s="5">
        <f>G314/E314-1</f>
        <v>-0.07021302458443501</v>
      </c>
      <c r="J314" s="5">
        <v>-0.07796973288358089</v>
      </c>
      <c r="K314" s="4">
        <v>60144151979.99999</v>
      </c>
    </row>
    <row r="315" spans="1:11">
      <c r="A315" s="1" t="s">
        <v>692</v>
      </c>
      <c r="B315" s="1" t="s">
        <v>693</v>
      </c>
      <c r="C315" s="1" t="s">
        <v>37</v>
      </c>
      <c r="D315" s="1" t="s">
        <v>38</v>
      </c>
      <c r="E315" s="4">
        <v>152.55</v>
      </c>
      <c r="F315" s="4">
        <v>152.34</v>
      </c>
      <c r="G315" s="4">
        <v>150.33</v>
      </c>
      <c r="H315" s="5">
        <f>G315/F315-1</f>
        <v>-0.013194170933438332</v>
      </c>
      <c r="I315" s="5">
        <f>G315/E315-1</f>
        <v>-0.014552605703048171</v>
      </c>
      <c r="J315" s="5">
        <v>-0.05554490252476829</v>
      </c>
      <c r="K315" s="4">
        <v>370889912340.54</v>
      </c>
    </row>
    <row r="316" spans="1:11">
      <c r="A316" s="1" t="s">
        <v>694</v>
      </c>
      <c r="B316" s="1" t="s">
        <v>695</v>
      </c>
      <c r="C316" s="1" t="s">
        <v>37</v>
      </c>
      <c r="D316" s="1" t="s">
        <v>38</v>
      </c>
      <c r="E316" s="4">
        <v>145.13</v>
      </c>
      <c r="F316" s="4">
        <v>148.87</v>
      </c>
      <c r="G316" s="4">
        <v>145.55</v>
      </c>
      <c r="H316" s="5">
        <f>G316/F316-1</f>
        <v>-0.022301336736750166</v>
      </c>
      <c r="I316" s="5">
        <f>G316/E316-1</f>
        <v>0.002893957141872905</v>
      </c>
      <c r="J316" s="5">
        <v>-0.1312094692438456</v>
      </c>
      <c r="K316" s="4">
        <v>58108783643.95</v>
      </c>
    </row>
    <row r="317" spans="1:11">
      <c r="A317" s="1" t="s">
        <v>696</v>
      </c>
      <c r="B317" s="1" t="s">
        <v>697</v>
      </c>
      <c r="C317" s="1" t="s">
        <v>54</v>
      </c>
      <c r="D317" s="1" t="s">
        <v>55</v>
      </c>
      <c r="E317" s="4">
        <v>192.01</v>
      </c>
      <c r="F317" s="4">
        <v>188.46</v>
      </c>
      <c r="G317" s="4">
        <v>185.74</v>
      </c>
      <c r="H317" s="5">
        <f>G317/F317-1</f>
        <v>-0.014432770879762247</v>
      </c>
      <c r="I317" s="5">
        <f>G317/E317-1</f>
        <v>-0.03265454924222688</v>
      </c>
      <c r="J317" s="5">
        <v>-0.04587250218318173</v>
      </c>
      <c r="K317" s="4">
        <v>88637220918.32001</v>
      </c>
    </row>
    <row r="318" spans="1:11">
      <c r="A318" s="1" t="s">
        <v>698</v>
      </c>
      <c r="B318" s="1" t="s">
        <v>699</v>
      </c>
      <c r="C318" s="1" t="s">
        <v>41</v>
      </c>
      <c r="D318" s="1" t="s">
        <v>63</v>
      </c>
      <c r="E318" s="4">
        <v>237.04</v>
      </c>
      <c r="F318" s="4">
        <v>208.83</v>
      </c>
      <c r="G318" s="4">
        <v>223.55</v>
      </c>
      <c r="H318" s="5">
        <f>G318/F318-1</f>
        <v>0.07048795671120045</v>
      </c>
      <c r="I318" s="5">
        <f>G318/E318-1</f>
        <v>-0.056910226122173446</v>
      </c>
      <c r="J318" s="5">
        <v>-0.1576027089878015</v>
      </c>
      <c r="K318" s="4">
        <v>196030995000</v>
      </c>
    </row>
    <row r="319" spans="1:11">
      <c r="A319" s="1" t="s">
        <v>700</v>
      </c>
      <c r="B319" s="1" t="s">
        <v>701</v>
      </c>
      <c r="C319" s="1" t="s">
        <v>54</v>
      </c>
      <c r="D319" s="1" t="s">
        <v>113</v>
      </c>
      <c r="E319" s="4">
        <v>214.2</v>
      </c>
      <c r="F319" s="4">
        <v>217.15</v>
      </c>
      <c r="G319" s="4">
        <v>217.72</v>
      </c>
      <c r="H319" s="5">
        <f>G319/F319-1</f>
        <v>0.002624913654156069</v>
      </c>
      <c r="I319" s="5">
        <f>G319/E319-1</f>
        <v>0.01643323996265167</v>
      </c>
      <c r="J319" s="5">
        <v>-0.02643354707754775</v>
      </c>
      <c r="K319" s="4">
        <v>341943693094.24</v>
      </c>
    </row>
    <row r="320" spans="1:11">
      <c r="A320" s="1" t="s">
        <v>702</v>
      </c>
      <c r="B320" s="1" t="s">
        <v>703</v>
      </c>
      <c r="C320" s="1" t="s">
        <v>54</v>
      </c>
      <c r="D320" s="1" t="s">
        <v>113</v>
      </c>
      <c r="E320" s="4">
        <v>563.49</v>
      </c>
      <c r="F320" s="4">
        <v>574.65</v>
      </c>
      <c r="G320" s="4">
        <v>573.01</v>
      </c>
      <c r="H320" s="5">
        <f>G320/F320-1</f>
        <v>-0.0028539110763072806</v>
      </c>
      <c r="I320" s="5">
        <f>G320/E320-1</f>
        <v>0.016894709755275183</v>
      </c>
      <c r="J320" s="5">
        <v>-0.01877975357042849</v>
      </c>
      <c r="K320" s="4">
        <v>41657827000</v>
      </c>
    </row>
    <row r="321" spans="1:11">
      <c r="A321" s="1" t="s">
        <v>704</v>
      </c>
      <c r="B321" s="1" t="s">
        <v>705</v>
      </c>
      <c r="C321" s="1" t="s">
        <v>41</v>
      </c>
      <c r="D321" s="1" t="s">
        <v>58</v>
      </c>
      <c r="E321" s="4">
        <v>483.24</v>
      </c>
      <c r="F321" s="4">
        <v>510.12</v>
      </c>
      <c r="G321" s="4">
        <v>499.7</v>
      </c>
      <c r="H321" s="5">
        <f>G321/F321-1</f>
        <v>-0.020426566298126003</v>
      </c>
      <c r="I321" s="5">
        <f>G321/E321-1</f>
        <v>0.03406174985514432</v>
      </c>
      <c r="J321" s="5">
        <v>-0.0325394816271688</v>
      </c>
      <c r="K321" s="4">
        <v>3710545081852.7</v>
      </c>
    </row>
    <row r="322" spans="1:11">
      <c r="A322" s="1" t="s">
        <v>706</v>
      </c>
      <c r="B322" s="1" t="s">
        <v>707</v>
      </c>
      <c r="C322" s="1" t="s">
        <v>41</v>
      </c>
      <c r="D322" s="1" t="s">
        <v>42</v>
      </c>
      <c r="E322" s="4">
        <v>480.47</v>
      </c>
      <c r="F322" s="4">
        <v>472.23</v>
      </c>
      <c r="G322" s="4">
        <v>468.05</v>
      </c>
      <c r="H322" s="5">
        <f>G322/F322-1</f>
        <v>-0.008851618914512027</v>
      </c>
      <c r="I322" s="5">
        <f>G322/E322-1</f>
        <v>-0.02584968884633798</v>
      </c>
      <c r="J322" s="5">
        <v>-0.04720706782835271</v>
      </c>
      <c r="K322" s="4">
        <v>77459367473.39999</v>
      </c>
    </row>
    <row r="323" spans="1:11">
      <c r="A323" s="1" t="s">
        <v>708</v>
      </c>
      <c r="B323" s="1" t="s">
        <v>709</v>
      </c>
      <c r="C323" s="1" t="s">
        <v>54</v>
      </c>
      <c r="D323" s="1" t="s">
        <v>165</v>
      </c>
      <c r="E323" s="4">
        <v>240.34</v>
      </c>
      <c r="F323" s="4">
        <v>240.06</v>
      </c>
      <c r="G323" s="4">
        <v>239.84</v>
      </c>
      <c r="H323" s="5">
        <f>G323/F323-1</f>
        <v>-0.0009164375572773276</v>
      </c>
      <c r="I323" s="5">
        <f>G323/E323-1</f>
        <v>-0.0020803861196637685</v>
      </c>
      <c r="J323" s="5">
        <v>-0.04040696472145244</v>
      </c>
      <c r="K323" s="4">
        <v>34636796278.08</v>
      </c>
    </row>
    <row r="324" spans="1:11">
      <c r="A324" s="1" t="s">
        <v>710</v>
      </c>
      <c r="B324" s="1" t="s">
        <v>711</v>
      </c>
      <c r="C324" s="1" t="s">
        <v>37</v>
      </c>
      <c r="D324" s="1" t="s">
        <v>38</v>
      </c>
      <c r="E324" s="4">
        <v>1395.25</v>
      </c>
      <c r="F324" s="4">
        <v>1356.23</v>
      </c>
      <c r="G324" s="4">
        <v>1345.26</v>
      </c>
      <c r="H324" s="5">
        <f>G324/F324-1</f>
        <v>-0.008088598541545311</v>
      </c>
      <c r="I324" s="5">
        <f>G324/E324-1</f>
        <v>-0.03582870453323783</v>
      </c>
      <c r="J324" s="5">
        <v>-0.04417271196436057</v>
      </c>
      <c r="K324" s="4">
        <v>26954381360.34</v>
      </c>
    </row>
    <row r="325" spans="1:11">
      <c r="A325" s="1" t="s">
        <v>712</v>
      </c>
      <c r="B325" s="1" t="s">
        <v>713</v>
      </c>
      <c r="C325" s="1" t="s">
        <v>41</v>
      </c>
      <c r="D325" s="1" t="s">
        <v>63</v>
      </c>
      <c r="E325" s="4">
        <v>966.78</v>
      </c>
      <c r="F325" s="4">
        <v>958.16</v>
      </c>
      <c r="G325" s="4">
        <v>1016.59</v>
      </c>
      <c r="H325" s="5">
        <f>G325/F325-1</f>
        <v>0.06098146447357444</v>
      </c>
      <c r="I325" s="5">
        <f>G325/E325-1</f>
        <v>0.051521545749808606</v>
      </c>
      <c r="J325" s="5">
        <v>-0.0582862698855996</v>
      </c>
      <c r="K325" s="4">
        <v>1148129783375.09</v>
      </c>
    </row>
    <row r="326" spans="1:11">
      <c r="A326" s="1" t="s">
        <v>714</v>
      </c>
      <c r="B326" s="1" t="s">
        <v>715</v>
      </c>
      <c r="C326" s="1" t="s">
        <v>47</v>
      </c>
      <c r="D326" s="1" t="s">
        <v>48</v>
      </c>
      <c r="E326" s="4">
        <v>17.24</v>
      </c>
      <c r="F326" s="4">
        <v>15.59</v>
      </c>
      <c r="G326" s="4">
        <v>15.57</v>
      </c>
      <c r="H326" s="5">
        <f>G326/F326-1</f>
        <v>-0.0012828736369466798</v>
      </c>
      <c r="I326" s="5">
        <f>G326/E326-1</f>
        <v>-0.09686774941995346</v>
      </c>
      <c r="J326" s="5">
        <v>-0.1060254924681345</v>
      </c>
      <c r="K326" s="4">
        <v>7149554762.22</v>
      </c>
    </row>
    <row r="327" spans="1:11">
      <c r="A327" s="1" t="s">
        <v>716</v>
      </c>
      <c r="B327" s="1" t="s">
        <v>717</v>
      </c>
      <c r="C327" s="1" t="s">
        <v>54</v>
      </c>
      <c r="D327" s="1" t="s">
        <v>113</v>
      </c>
      <c r="E327" s="4">
        <v>98.22</v>
      </c>
      <c r="F327" s="4">
        <v>98.70999999999999</v>
      </c>
      <c r="G327" s="4">
        <v>96.88</v>
      </c>
      <c r="H327" s="5">
        <f>G327/F327-1</f>
        <v>-0.018539155100800286</v>
      </c>
      <c r="I327" s="5">
        <f>G327/E327-1</f>
        <v>-0.013642842598248883</v>
      </c>
      <c r="J327" s="5">
        <v>-0.03769980898763448</v>
      </c>
      <c r="K327" s="4">
        <v>54153727799.35999</v>
      </c>
    </row>
    <row r="328" spans="1:11">
      <c r="A328" s="1" t="s">
        <v>718</v>
      </c>
      <c r="B328" s="1" t="s">
        <v>719</v>
      </c>
      <c r="C328" s="1" t="s">
        <v>70</v>
      </c>
      <c r="D328" s="1" t="s">
        <v>100</v>
      </c>
      <c r="E328" s="4">
        <v>332.24</v>
      </c>
      <c r="F328" s="4">
        <v>317.49</v>
      </c>
      <c r="G328" s="4">
        <v>318.36</v>
      </c>
      <c r="H328" s="5">
        <f>G328/F328-1</f>
        <v>0.0027402437872059426</v>
      </c>
      <c r="I328" s="5">
        <f>G328/E328-1</f>
        <v>-0.04177702865398503</v>
      </c>
      <c r="J328" s="5">
        <v>-0.06031442405403797</v>
      </c>
      <c r="K328" s="4">
        <v>17732450159.76</v>
      </c>
    </row>
    <row r="329" spans="1:11">
      <c r="A329" s="1" t="s">
        <v>720</v>
      </c>
      <c r="B329" s="1" t="s">
        <v>721</v>
      </c>
      <c r="C329" s="1" t="s">
        <v>76</v>
      </c>
      <c r="D329" s="1" t="s">
        <v>76</v>
      </c>
      <c r="E329" s="4">
        <v>83.65000000000001</v>
      </c>
      <c r="F329" s="4">
        <v>84.06</v>
      </c>
      <c r="G329" s="4">
        <v>83.43000000000001</v>
      </c>
      <c r="H329" s="5">
        <f>G329/F329-1</f>
        <v>-0.00749464668094213</v>
      </c>
      <c r="I329" s="5">
        <f>G329/E329-1</f>
        <v>-0.0026300059772862427</v>
      </c>
      <c r="J329" s="5">
        <v>-0.02825932082640703</v>
      </c>
      <c r="K329" s="4">
        <v>174033161976.87</v>
      </c>
    </row>
    <row r="330" spans="1:11">
      <c r="A330" s="1" t="s">
        <v>722</v>
      </c>
      <c r="B330" s="1" t="s">
        <v>723</v>
      </c>
      <c r="C330" s="1" t="s">
        <v>93</v>
      </c>
      <c r="D330" s="1" t="s">
        <v>93</v>
      </c>
      <c r="E330" s="4">
        <v>131.58</v>
      </c>
      <c r="F330" s="4">
        <v>130.43</v>
      </c>
      <c r="G330" s="4">
        <v>128.09</v>
      </c>
      <c r="H330" s="5">
        <f>G330/F330-1</f>
        <v>-0.017940657824120243</v>
      </c>
      <c r="I330" s="5">
        <f>G330/E330-1</f>
        <v>-0.026523787809697552</v>
      </c>
      <c r="J330" s="5">
        <v>-0.09257066745597153</v>
      </c>
      <c r="K330" s="4">
        <v>134967442992.39</v>
      </c>
    </row>
    <row r="331" spans="1:11">
      <c r="A331" s="1" t="s">
        <v>724</v>
      </c>
      <c r="B331" s="1" t="s">
        <v>725</v>
      </c>
      <c r="C331" s="1" t="s">
        <v>138</v>
      </c>
      <c r="D331" s="1" t="s">
        <v>139</v>
      </c>
      <c r="E331" s="4">
        <v>79.59</v>
      </c>
      <c r="F331" s="4">
        <v>82.67</v>
      </c>
      <c r="G331" s="4">
        <v>78.25</v>
      </c>
      <c r="H331" s="5">
        <f>G331/F331-1</f>
        <v>-0.05346558606507801</v>
      </c>
      <c r="I331" s="5">
        <f>G331/E331-1</f>
        <v>-0.016836285965573627</v>
      </c>
      <c r="J331" s="5">
        <v>-0.05415206092106861</v>
      </c>
      <c r="K331" s="4">
        <v>325828279647</v>
      </c>
    </row>
    <row r="332" spans="1:11">
      <c r="A332" s="1" t="s">
        <v>726</v>
      </c>
      <c r="B332" s="1" t="s">
        <v>727</v>
      </c>
      <c r="C332" s="1" t="s">
        <v>76</v>
      </c>
      <c r="D332" s="1" t="s">
        <v>76</v>
      </c>
      <c r="E332" s="4">
        <v>40.62</v>
      </c>
      <c r="F332" s="4">
        <v>41.66</v>
      </c>
      <c r="G332" s="4">
        <v>41.39</v>
      </c>
      <c r="H332" s="5">
        <f>G332/F332-1</f>
        <v>-0.0064810369659144</v>
      </c>
      <c r="I332" s="5">
        <f>G332/E332-1</f>
        <v>0.018956179222058278</v>
      </c>
      <c r="J332" s="5">
        <v>-0.01361536591295898</v>
      </c>
      <c r="K332" s="4">
        <v>19848992539</v>
      </c>
    </row>
    <row r="333" spans="1:11">
      <c r="A333" s="1" t="s">
        <v>728</v>
      </c>
      <c r="B333" s="1" t="s">
        <v>729</v>
      </c>
      <c r="C333" s="1" t="s">
        <v>47</v>
      </c>
      <c r="D333" s="1" t="s">
        <v>331</v>
      </c>
      <c r="E333" s="4">
        <v>40.76</v>
      </c>
      <c r="F333" s="4">
        <v>38.77</v>
      </c>
      <c r="G333" s="4">
        <v>38.4</v>
      </c>
      <c r="H333" s="5">
        <f>G333/F333-1</f>
        <v>-0.009543461439257328</v>
      </c>
      <c r="I333" s="5">
        <f>G333/E333-1</f>
        <v>-0.057899901864573056</v>
      </c>
      <c r="J333" s="5">
        <v>-0.06476938174681057</v>
      </c>
      <c r="K333" s="4">
        <v>56966350195.2</v>
      </c>
    </row>
    <row r="334" spans="1:11">
      <c r="A334" s="1" t="s">
        <v>730</v>
      </c>
      <c r="B334" s="1" t="s">
        <v>731</v>
      </c>
      <c r="C334" s="1" t="s">
        <v>70</v>
      </c>
      <c r="D334" s="1" t="s">
        <v>100</v>
      </c>
      <c r="E334" s="4">
        <v>551.03</v>
      </c>
      <c r="F334" s="4">
        <v>528.24</v>
      </c>
      <c r="G334" s="4">
        <v>514.98</v>
      </c>
      <c r="H334" s="5">
        <f>G334/F334-1</f>
        <v>-0.025102226260790506</v>
      </c>
      <c r="I334" s="5">
        <f>G334/E334-1</f>
        <v>-0.06542293523038667</v>
      </c>
      <c r="J334" s="5">
        <v>-0.06542293523038667</v>
      </c>
      <c r="K334" s="4">
        <v>73159617129.48</v>
      </c>
    </row>
    <row r="335" spans="1:11">
      <c r="A335" s="1" t="s">
        <v>732</v>
      </c>
      <c r="B335" s="1" t="s">
        <v>733</v>
      </c>
      <c r="C335" s="1" t="s">
        <v>41</v>
      </c>
      <c r="D335" s="1" t="s">
        <v>58</v>
      </c>
      <c r="E335" s="4">
        <v>128.48</v>
      </c>
      <c r="F335" s="4">
        <v>145.59</v>
      </c>
      <c r="G335" s="4">
        <v>141.26</v>
      </c>
      <c r="H335" s="5">
        <f>G335/F335-1</f>
        <v>-0.029741053643794313</v>
      </c>
      <c r="I335" s="5">
        <f>G335/E335-1</f>
        <v>0.09947073474470747</v>
      </c>
      <c r="J335" s="5">
        <v>-0.07615379417528223</v>
      </c>
      <c r="K335" s="4">
        <v>146062840000</v>
      </c>
    </row>
    <row r="336" spans="1:11">
      <c r="A336" s="1" t="s">
        <v>734</v>
      </c>
      <c r="B336" s="1" t="s">
        <v>735</v>
      </c>
      <c r="C336" s="1" t="s">
        <v>76</v>
      </c>
      <c r="D336" s="1" t="s">
        <v>76</v>
      </c>
      <c r="E336" s="4">
        <v>113.11</v>
      </c>
      <c r="F336" s="4">
        <v>111.84</v>
      </c>
      <c r="G336" s="4">
        <v>119.02</v>
      </c>
      <c r="H336" s="5">
        <f>G336/F336-1</f>
        <v>0.0641988555078683</v>
      </c>
      <c r="I336" s="5">
        <f>G336/E336-1</f>
        <v>0.05225002210237828</v>
      </c>
      <c r="J336" s="5">
        <v>-0.05708627518512133</v>
      </c>
      <c r="K336" s="4">
        <v>25019251686.66</v>
      </c>
    </row>
    <row r="337" spans="1:11">
      <c r="A337" s="1" t="s">
        <v>736</v>
      </c>
      <c r="B337" s="1" t="s">
        <v>737</v>
      </c>
      <c r="C337" s="1" t="s">
        <v>70</v>
      </c>
      <c r="D337" s="1" t="s">
        <v>243</v>
      </c>
      <c r="E337" s="4">
        <v>350.72</v>
      </c>
      <c r="F337" s="4">
        <v>327.83</v>
      </c>
      <c r="G337" s="4">
        <v>329.46</v>
      </c>
      <c r="H337" s="5">
        <f>G337/F337-1</f>
        <v>0.004972089192569307</v>
      </c>
      <c r="I337" s="5">
        <f>G337/E337-1</f>
        <v>-0.06061815693430672</v>
      </c>
      <c r="J337" s="5">
        <v>-0.07125049577879772</v>
      </c>
      <c r="K337" s="4">
        <v>73999474568.58</v>
      </c>
    </row>
    <row r="338" spans="1:11">
      <c r="A338" s="1" t="s">
        <v>738</v>
      </c>
      <c r="B338" s="1" t="s">
        <v>739</v>
      </c>
      <c r="C338" s="1" t="s">
        <v>41</v>
      </c>
      <c r="D338" s="1" t="s">
        <v>42</v>
      </c>
      <c r="E338" s="4">
        <v>192.27</v>
      </c>
      <c r="F338" s="4">
        <v>185.38</v>
      </c>
      <c r="G338" s="4">
        <v>185.59</v>
      </c>
      <c r="H338" s="5">
        <f>G338/F338-1</f>
        <v>0.0011328082856834065</v>
      </c>
      <c r="I338" s="5">
        <f>G338/E338-1</f>
        <v>-0.03474280959067977</v>
      </c>
      <c r="J338" s="5">
        <v>-0.06747485168945055</v>
      </c>
      <c r="K338" s="4">
        <v>36453403137.95</v>
      </c>
    </row>
    <row r="339" spans="1:11">
      <c r="A339" s="1" t="s">
        <v>740</v>
      </c>
      <c r="B339" s="1" t="s">
        <v>741</v>
      </c>
      <c r="C339" s="1" t="s">
        <v>54</v>
      </c>
      <c r="D339" s="1" t="s">
        <v>113</v>
      </c>
      <c r="E339" s="4">
        <v>183.9</v>
      </c>
      <c r="F339" s="4">
        <v>187.445</v>
      </c>
      <c r="G339" s="4">
        <v>186.63</v>
      </c>
      <c r="H339" s="5">
        <f>G339/F339-1</f>
        <v>-0.00434794206300515</v>
      </c>
      <c r="I339" s="5">
        <f>G339/E339-1</f>
        <v>0.01484502446982039</v>
      </c>
      <c r="J339" s="5">
        <v>-0.02653735479057862</v>
      </c>
      <c r="K339" s="4">
        <v>34145013519.39</v>
      </c>
    </row>
    <row r="340" spans="1:11">
      <c r="A340" s="1" t="s">
        <v>742</v>
      </c>
      <c r="B340" s="1" t="s">
        <v>743</v>
      </c>
      <c r="C340" s="1" t="s">
        <v>93</v>
      </c>
      <c r="D340" s="1" t="s">
        <v>93</v>
      </c>
      <c r="E340" s="4">
        <v>243.63</v>
      </c>
      <c r="F340" s="4">
        <v>262.47</v>
      </c>
      <c r="G340" s="4">
        <v>261.07</v>
      </c>
      <c r="H340" s="5">
        <f>G340/F340-1</f>
        <v>-0.005333942926810775</v>
      </c>
      <c r="I340" s="5">
        <f>G340/E340-1</f>
        <v>0.07158395928251848</v>
      </c>
      <c r="J340" s="5">
        <v>-0.01250000000000007</v>
      </c>
      <c r="K340" s="4">
        <v>59230432733.32</v>
      </c>
    </row>
    <row r="341" spans="1:11">
      <c r="A341" s="1" t="s">
        <v>744</v>
      </c>
      <c r="B341" s="1" t="s">
        <v>745</v>
      </c>
      <c r="C341" s="1" t="s">
        <v>41</v>
      </c>
      <c r="D341" s="1" t="s">
        <v>63</v>
      </c>
      <c r="E341" s="4">
        <v>214.72</v>
      </c>
      <c r="F341" s="4">
        <v>228.45</v>
      </c>
      <c r="G341" s="4">
        <v>230.36</v>
      </c>
      <c r="H341" s="5">
        <f>G341/F341-1</f>
        <v>0.008360691617421923</v>
      </c>
      <c r="I341" s="5">
        <f>G341/E341-1</f>
        <v>0.07283904619970194</v>
      </c>
      <c r="J341" s="5">
        <v>-0.04623212562505474</v>
      </c>
      <c r="K341" s="4">
        <v>5551676000000</v>
      </c>
    </row>
    <row r="342" spans="1:11">
      <c r="A342" s="1" t="s">
        <v>746</v>
      </c>
      <c r="B342" s="1" t="s">
        <v>747</v>
      </c>
      <c r="C342" s="1" t="s">
        <v>47</v>
      </c>
      <c r="D342" s="1" t="s">
        <v>331</v>
      </c>
      <c r="E342" s="4">
        <v>6358.51</v>
      </c>
      <c r="F342" s="4">
        <v>6373.95</v>
      </c>
      <c r="G342" s="4">
        <v>6298.85</v>
      </c>
      <c r="H342" s="5">
        <f>G342/F342-1</f>
        <v>-0.011782332776378746</v>
      </c>
      <c r="I342" s="5">
        <f>G342/E342-1</f>
        <v>-0.009382701293227491</v>
      </c>
      <c r="J342" s="5">
        <v>-0.02454559867200101</v>
      </c>
      <c r="K342" s="4">
        <v>16785553411</v>
      </c>
    </row>
    <row r="343" spans="1:11">
      <c r="A343" s="1" t="s">
        <v>748</v>
      </c>
      <c r="B343" s="1" t="s">
        <v>749</v>
      </c>
      <c r="C343" s="1" t="s">
        <v>138</v>
      </c>
      <c r="D343" s="1" t="s">
        <v>139</v>
      </c>
      <c r="E343" s="4">
        <v>34.55</v>
      </c>
      <c r="F343" s="4">
        <v>34.72</v>
      </c>
      <c r="G343" s="4">
        <v>33.9</v>
      </c>
      <c r="H343" s="5">
        <f>G343/F343-1</f>
        <v>-0.023617511520737322</v>
      </c>
      <c r="I343" s="5">
        <f>G343/E343-1</f>
        <v>-0.01881331403762654</v>
      </c>
      <c r="J343" s="5">
        <v>-0.04020385050962627</v>
      </c>
      <c r="K343" s="4">
        <v>17204844871.83</v>
      </c>
    </row>
    <row r="344" spans="1:11">
      <c r="A344" s="1" t="s">
        <v>750</v>
      </c>
      <c r="B344" s="1" t="s">
        <v>749</v>
      </c>
      <c r="C344" s="1" t="s">
        <v>138</v>
      </c>
      <c r="D344" s="1" t="s">
        <v>139</v>
      </c>
      <c r="E344" s="4">
        <v>30.38</v>
      </c>
      <c r="F344" s="4">
        <v>30.945</v>
      </c>
      <c r="G344" s="4">
        <v>30.39</v>
      </c>
      <c r="H344" s="5">
        <f>G344/F344-1</f>
        <v>-0.017935046049442516</v>
      </c>
      <c r="I344" s="5">
        <f>G344/E344-1</f>
        <v>0.0003291639236340238</v>
      </c>
      <c r="J344" s="5">
        <v>-0.02564924655338252</v>
      </c>
      <c r="K344" s="4">
        <v>17204844871.83</v>
      </c>
    </row>
    <row r="345" spans="1:11">
      <c r="A345" s="1" t="s">
        <v>751</v>
      </c>
      <c r="B345" s="1" t="s">
        <v>752</v>
      </c>
      <c r="C345" s="1" t="s">
        <v>41</v>
      </c>
      <c r="D345" s="1" t="s">
        <v>63</v>
      </c>
      <c r="E345" s="4">
        <v>225.56</v>
      </c>
      <c r="F345" s="4">
        <v>224.99</v>
      </c>
      <c r="G345" s="4">
        <v>227.835</v>
      </c>
      <c r="H345" s="5">
        <f>G345/F345-1</f>
        <v>0.012645006444730766</v>
      </c>
      <c r="I345" s="5">
        <f>G345/E345-1</f>
        <v>0.010086008157474735</v>
      </c>
      <c r="J345" s="5">
        <v>-0.01536105032822754</v>
      </c>
      <c r="K345" s="4">
        <v>57521748283.965</v>
      </c>
    </row>
    <row r="346" spans="1:11">
      <c r="A346" s="1" t="s">
        <v>753</v>
      </c>
      <c r="B346" s="1" t="s">
        <v>754</v>
      </c>
      <c r="C346" s="1" t="s">
        <v>116</v>
      </c>
      <c r="D346" s="1" t="s">
        <v>117</v>
      </c>
      <c r="E346" s="4">
        <v>62.6</v>
      </c>
      <c r="F346" s="4">
        <v>61.74</v>
      </c>
      <c r="G346" s="4">
        <v>61.25</v>
      </c>
      <c r="H346" s="5">
        <f>G346/F346-1</f>
        <v>-0.00793650793650802</v>
      </c>
      <c r="I346" s="5">
        <f>G346/E346-1</f>
        <v>-0.021565495207667706</v>
      </c>
      <c r="J346" s="5">
        <v>-0.03039417444989712</v>
      </c>
      <c r="K346" s="4">
        <v>57955970406.25</v>
      </c>
    </row>
    <row r="347" spans="1:11">
      <c r="A347" s="1" t="s">
        <v>755</v>
      </c>
      <c r="B347" s="1" t="s">
        <v>756</v>
      </c>
      <c r="C347" s="1" t="s">
        <v>70</v>
      </c>
      <c r="D347" s="1" t="s">
        <v>243</v>
      </c>
      <c r="E347" s="4">
        <v>206.47</v>
      </c>
      <c r="F347" s="4">
        <v>185.75</v>
      </c>
      <c r="G347" s="4">
        <v>185.87</v>
      </c>
      <c r="H347" s="5">
        <f>G347/F347-1</f>
        <v>0.0006460296096904017</v>
      </c>
      <c r="I347" s="5">
        <f>G347/E347-1</f>
        <v>-0.09977236402382905</v>
      </c>
      <c r="J347" s="5">
        <v>-0.1003535622608611</v>
      </c>
      <c r="K347" s="4">
        <v>38541375331.14</v>
      </c>
    </row>
    <row r="348" spans="1:11">
      <c r="A348" s="1" t="s">
        <v>757</v>
      </c>
      <c r="B348" s="1" t="s">
        <v>758</v>
      </c>
      <c r="C348" s="1" t="s">
        <v>129</v>
      </c>
      <c r="D348" s="1" t="s">
        <v>129</v>
      </c>
      <c r="E348" s="4">
        <v>93.33</v>
      </c>
      <c r="F348" s="4">
        <v>95.75</v>
      </c>
      <c r="G348" s="4">
        <v>95.43000000000001</v>
      </c>
      <c r="H348" s="5">
        <f>G348/F348-1</f>
        <v>-0.0033420365535247187</v>
      </c>
      <c r="I348" s="5">
        <f>G348/E348-1</f>
        <v>0.022500803600128627</v>
      </c>
      <c r="J348" s="5">
        <v>-0.01746490946105217</v>
      </c>
      <c r="K348" s="4">
        <v>60156177321.81001</v>
      </c>
    </row>
    <row r="349" spans="1:11">
      <c r="A349" s="1" t="s">
        <v>759</v>
      </c>
      <c r="B349" s="1" t="s">
        <v>760</v>
      </c>
      <c r="C349" s="1" t="s">
        <v>138</v>
      </c>
      <c r="D349" s="1" t="s">
        <v>139</v>
      </c>
      <c r="E349" s="4">
        <v>87.54000000000001</v>
      </c>
      <c r="F349" s="4">
        <v>84.73</v>
      </c>
      <c r="G349" s="4">
        <v>82.62</v>
      </c>
      <c r="H349" s="5">
        <f>G349/F349-1</f>
        <v>-0.024902631889531457</v>
      </c>
      <c r="I349" s="5">
        <f>G349/E349-1</f>
        <v>-0.05620287868403018</v>
      </c>
      <c r="J349" s="5">
        <v>-0.08072858106588698</v>
      </c>
      <c r="K349" s="4">
        <v>22666463793.54</v>
      </c>
    </row>
    <row r="350" spans="1:11">
      <c r="A350" s="1" t="s">
        <v>761</v>
      </c>
      <c r="B350" s="1" t="s">
        <v>762</v>
      </c>
      <c r="C350" s="1" t="s">
        <v>41</v>
      </c>
      <c r="D350" s="1" t="s">
        <v>63</v>
      </c>
      <c r="E350" s="4">
        <v>74.20999999999999</v>
      </c>
      <c r="F350" s="4">
        <v>73.65000000000001</v>
      </c>
      <c r="G350" s="4">
        <v>74.38</v>
      </c>
      <c r="H350" s="5">
        <f>G350/F350-1</f>
        <v>0.009911744738628547</v>
      </c>
      <c r="I350" s="5">
        <f>G350/E350-1</f>
        <v>0.002290796388626948</v>
      </c>
      <c r="J350" s="5">
        <v>-0.03288770053475931</v>
      </c>
      <c r="K350" s="4">
        <v>28957005807.98</v>
      </c>
    </row>
    <row r="351" spans="1:11">
      <c r="A351" s="1" t="s">
        <v>763</v>
      </c>
      <c r="B351" s="1" t="s">
        <v>764</v>
      </c>
      <c r="C351" s="1" t="s">
        <v>41</v>
      </c>
      <c r="D351" s="1" t="s">
        <v>58</v>
      </c>
      <c r="E351" s="4">
        <v>146.47</v>
      </c>
      <c r="F351" s="4">
        <v>154.04</v>
      </c>
      <c r="G351" s="4">
        <v>158.78</v>
      </c>
      <c r="H351" s="5">
        <f>G351/F351-1</f>
        <v>0.030771228252401972</v>
      </c>
      <c r="I351" s="5">
        <f>G351/E351-1</f>
        <v>0.08404451423499704</v>
      </c>
      <c r="J351" s="5">
        <v>-0.06989601158351988</v>
      </c>
      <c r="K351" s="4">
        <v>457361185380</v>
      </c>
    </row>
    <row r="352" spans="1:11">
      <c r="A352" s="1" t="s">
        <v>765</v>
      </c>
      <c r="B352" s="1" t="s">
        <v>766</v>
      </c>
      <c r="C352" s="1" t="s">
        <v>47</v>
      </c>
      <c r="D352" s="1" t="s">
        <v>120</v>
      </c>
      <c r="E352" s="4">
        <v>89.11</v>
      </c>
      <c r="F352" s="4">
        <v>87.38</v>
      </c>
      <c r="G352" s="4">
        <v>87.89</v>
      </c>
      <c r="H352" s="5">
        <f>G352/F352-1</f>
        <v>0.005836575875486361</v>
      </c>
      <c r="I352" s="5">
        <f>G352/E352-1</f>
        <v>-0.013690943777353803</v>
      </c>
      <c r="J352" s="5">
        <v>-0.04091310101455681</v>
      </c>
      <c r="K352" s="4">
        <v>71099564008.88</v>
      </c>
    </row>
    <row r="353" spans="1:11">
      <c r="A353" s="1" t="s">
        <v>767</v>
      </c>
      <c r="B353" s="1" t="s">
        <v>768</v>
      </c>
      <c r="C353" s="1" t="s">
        <v>70</v>
      </c>
      <c r="D353" s="1" t="s">
        <v>100</v>
      </c>
      <c r="E353" s="4">
        <v>71.48999999999999</v>
      </c>
      <c r="F353" s="4">
        <v>71.48</v>
      </c>
      <c r="G353" s="4">
        <v>71.20999999999999</v>
      </c>
      <c r="H353" s="5">
        <f>G353/F353-1</f>
        <v>-0.0037772803581422876</v>
      </c>
      <c r="I353" s="5">
        <f>G353/E353-1</f>
        <v>-0.0039166316967408354</v>
      </c>
      <c r="J353" s="5">
        <v>-0.02432283029297966</v>
      </c>
      <c r="K353" s="4">
        <v>27107463630.18999</v>
      </c>
    </row>
    <row r="354" spans="1:11">
      <c r="A354" s="1" t="s">
        <v>769</v>
      </c>
      <c r="B354" s="1" t="s">
        <v>770</v>
      </c>
      <c r="C354" s="1" t="s">
        <v>129</v>
      </c>
      <c r="D354" s="1" t="s">
        <v>129</v>
      </c>
      <c r="E354" s="4">
        <v>61.3</v>
      </c>
      <c r="F354" s="4">
        <v>60.61</v>
      </c>
      <c r="G354" s="4">
        <v>60.04</v>
      </c>
      <c r="H354" s="5">
        <f>G354/F354-1</f>
        <v>-0.009404388714733591</v>
      </c>
      <c r="I354" s="5">
        <f>G354/E354-1</f>
        <v>-0.020554649265905334</v>
      </c>
      <c r="J354" s="5">
        <v>-0.04714518760195763</v>
      </c>
      <c r="K354" s="4">
        <v>60018227754.84</v>
      </c>
    </row>
    <row r="355" spans="1:11">
      <c r="A355" s="1" t="s">
        <v>771</v>
      </c>
      <c r="B355" s="1" t="s">
        <v>772</v>
      </c>
      <c r="C355" s="1" t="s">
        <v>41</v>
      </c>
      <c r="D355" s="1" t="s">
        <v>58</v>
      </c>
      <c r="E355" s="4">
        <v>357.87</v>
      </c>
      <c r="F355" s="4">
        <v>331.94</v>
      </c>
      <c r="G355" s="4">
        <v>333.26</v>
      </c>
      <c r="H355" s="5">
        <f>G355/F355-1</f>
        <v>0.003976622281135045</v>
      </c>
      <c r="I355" s="5">
        <f>G355/E355-1</f>
        <v>-0.06876798837566722</v>
      </c>
      <c r="J355" s="5">
        <v>-0.1420138435418571</v>
      </c>
      <c r="K355" s="4">
        <v>271606900000</v>
      </c>
    </row>
    <row r="356" spans="1:11">
      <c r="A356" s="1" t="s">
        <v>773</v>
      </c>
      <c r="B356" s="1" t="s">
        <v>774</v>
      </c>
      <c r="C356" s="1" t="s">
        <v>70</v>
      </c>
      <c r="D356" s="1" t="s">
        <v>71</v>
      </c>
      <c r="E356" s="4">
        <v>124.475</v>
      </c>
      <c r="F356" s="4">
        <v>125.08</v>
      </c>
      <c r="G356" s="4">
        <v>121.71</v>
      </c>
      <c r="H356" s="5">
        <f>G356/F356-1</f>
        <v>-0.026942756635753184</v>
      </c>
      <c r="I356" s="5">
        <f>G356/E356-1</f>
        <v>-0.022213295842538616</v>
      </c>
      <c r="J356" s="5">
        <v>-0.04421234490340831</v>
      </c>
      <c r="K356" s="4">
        <v>43290160890.6</v>
      </c>
    </row>
    <row r="357" spans="1:11">
      <c r="A357" s="1" t="s">
        <v>775</v>
      </c>
      <c r="B357" s="1" t="s">
        <v>776</v>
      </c>
      <c r="C357" s="1" t="s">
        <v>70</v>
      </c>
      <c r="D357" s="1" t="s">
        <v>100</v>
      </c>
      <c r="E357" s="4">
        <v>131.03</v>
      </c>
      <c r="F357" s="4">
        <v>124.51</v>
      </c>
      <c r="G357" s="4">
        <v>124.7</v>
      </c>
      <c r="H357" s="5">
        <f>G357/F357-1</f>
        <v>0.0015259818488475574</v>
      </c>
      <c r="I357" s="5">
        <f>G357/E357-1</f>
        <v>-0.04830954743188587</v>
      </c>
      <c r="J357" s="5">
        <v>-0.06792337632603229</v>
      </c>
      <c r="K357" s="4">
        <v>65637709639.10001</v>
      </c>
    </row>
    <row r="358" spans="1:11">
      <c r="A358" s="1" t="s">
        <v>777</v>
      </c>
      <c r="B358" s="1" t="s">
        <v>778</v>
      </c>
      <c r="C358" s="1" t="s">
        <v>76</v>
      </c>
      <c r="D358" s="1" t="s">
        <v>76</v>
      </c>
      <c r="E358" s="4">
        <v>17.6</v>
      </c>
      <c r="F358" s="4">
        <v>13.96</v>
      </c>
      <c r="G358" s="4">
        <v>14.3</v>
      </c>
      <c r="H358" s="5">
        <f>G358/F358-1</f>
        <v>0.024355300859598916</v>
      </c>
      <c r="I358" s="5">
        <f>G358/E358-1</f>
        <v>-0.1875</v>
      </c>
      <c r="J358" s="5">
        <v>-0.2772331154684096</v>
      </c>
      <c r="K358" s="4">
        <v>31493846755.8</v>
      </c>
    </row>
    <row r="359" spans="1:11">
      <c r="A359" s="1" t="s">
        <v>779</v>
      </c>
      <c r="B359" s="1" t="s">
        <v>780</v>
      </c>
      <c r="C359" s="1" t="s">
        <v>76</v>
      </c>
      <c r="D359" s="1" t="s">
        <v>76</v>
      </c>
      <c r="E359" s="4">
        <v>72.61</v>
      </c>
      <c r="F359" s="4">
        <v>73.81</v>
      </c>
      <c r="G359" s="4">
        <v>73.7</v>
      </c>
      <c r="H359" s="5">
        <f>G359/F359-1</f>
        <v>-0.0014903129657227732</v>
      </c>
      <c r="I359" s="5">
        <f>G359/E359-1</f>
        <v>0.015011706376532263</v>
      </c>
      <c r="J359" s="5">
        <v>-0.01134675131703367</v>
      </c>
      <c r="K359" s="4">
        <v>36733556211</v>
      </c>
    </row>
    <row r="360" spans="1:11">
      <c r="A360" s="1" t="s">
        <v>781</v>
      </c>
      <c r="B360" s="1" t="s">
        <v>782</v>
      </c>
      <c r="C360" s="1" t="s">
        <v>66</v>
      </c>
      <c r="D360" s="1" t="s">
        <v>67</v>
      </c>
      <c r="E360" s="4">
        <v>143.48</v>
      </c>
      <c r="F360" s="4">
        <v>140.02</v>
      </c>
      <c r="G360" s="4">
        <v>137.63</v>
      </c>
      <c r="H360" s="5">
        <f>G360/F360-1</f>
        <v>-0.017068990144265217</v>
      </c>
      <c r="I360" s="5">
        <f>G360/E360-1</f>
        <v>-0.04077223306384159</v>
      </c>
      <c r="J360" s="5">
        <v>-0.0486624732149028</v>
      </c>
      <c r="K360" s="4">
        <v>187850025127.54</v>
      </c>
    </row>
    <row r="361" spans="1:11">
      <c r="A361" s="1" t="s">
        <v>783</v>
      </c>
      <c r="B361" s="1" t="s">
        <v>784</v>
      </c>
      <c r="C361" s="1" t="s">
        <v>37</v>
      </c>
      <c r="D361" s="1" t="s">
        <v>38</v>
      </c>
      <c r="E361" s="4">
        <v>28.07</v>
      </c>
      <c r="F361" s="4">
        <v>28.81</v>
      </c>
      <c r="G361" s="4">
        <v>28.45</v>
      </c>
      <c r="H361" s="5">
        <f>G361/F361-1</f>
        <v>-0.012495661228740018</v>
      </c>
      <c r="I361" s="5">
        <f>G361/E361-1</f>
        <v>0.01353758460990373</v>
      </c>
      <c r="J361" s="5">
        <v>-0.02135106755337768</v>
      </c>
      <c r="K361" s="4">
        <v>162155713607.05</v>
      </c>
    </row>
    <row r="362" spans="1:11">
      <c r="A362" s="1" t="s">
        <v>785</v>
      </c>
      <c r="B362" s="1" t="s">
        <v>786</v>
      </c>
      <c r="C362" s="1" t="s">
        <v>54</v>
      </c>
      <c r="D362" s="1" t="s">
        <v>55</v>
      </c>
      <c r="E362" s="4">
        <v>110.75</v>
      </c>
      <c r="F362" s="4">
        <v>118.51</v>
      </c>
      <c r="G362" s="4">
        <v>116.68</v>
      </c>
      <c r="H362" s="5">
        <f>G362/F362-1</f>
        <v>-0.015441734874694135</v>
      </c>
      <c r="I362" s="5">
        <f>G362/E362-1</f>
        <v>0.0535440180586908</v>
      </c>
      <c r="J362" s="5">
        <v>-0.02539880581053378</v>
      </c>
      <c r="K362" s="4">
        <v>24981729511.88</v>
      </c>
    </row>
    <row r="363" spans="1:11">
      <c r="A363" s="1" t="s">
        <v>787</v>
      </c>
      <c r="B363" s="1" t="s">
        <v>788</v>
      </c>
      <c r="C363" s="1" t="s">
        <v>66</v>
      </c>
      <c r="D363" s="1" t="s">
        <v>240</v>
      </c>
      <c r="E363" s="4">
        <v>144.68</v>
      </c>
      <c r="F363" s="4">
        <v>146.92</v>
      </c>
      <c r="G363" s="4">
        <v>146.44</v>
      </c>
      <c r="H363" s="5">
        <f>G363/F363-1</f>
        <v>-0.0032670841274161644</v>
      </c>
      <c r="I363" s="5">
        <f>G363/E363-1</f>
        <v>0.012164777439867214</v>
      </c>
      <c r="J363" s="5">
        <v>-0.0236016371077763</v>
      </c>
      <c r="K363" s="4">
        <v>340132133369.28</v>
      </c>
    </row>
    <row r="364" spans="1:11">
      <c r="A364" s="1" t="s">
        <v>789</v>
      </c>
      <c r="B364" s="1" t="s">
        <v>790</v>
      </c>
      <c r="C364" s="1" t="s">
        <v>54</v>
      </c>
      <c r="D364" s="1" t="s">
        <v>55</v>
      </c>
      <c r="E364" s="4">
        <v>219.28</v>
      </c>
      <c r="F364" s="4">
        <v>223.87</v>
      </c>
      <c r="G364" s="4">
        <v>218.95</v>
      </c>
      <c r="H364" s="5">
        <f>G364/F364-1</f>
        <v>-0.021977040246571766</v>
      </c>
      <c r="I364" s="5">
        <f>G364/E364-1</f>
        <v>-0.001504925209777519</v>
      </c>
      <c r="J364" s="5">
        <v>-0.02800107181136113</v>
      </c>
      <c r="K364" s="4">
        <v>127757325000</v>
      </c>
    </row>
    <row r="365" spans="1:11">
      <c r="A365" s="1" t="s">
        <v>791</v>
      </c>
      <c r="B365" s="1" t="s">
        <v>792</v>
      </c>
      <c r="C365" s="1" t="s">
        <v>70</v>
      </c>
      <c r="D365" s="1" t="s">
        <v>100</v>
      </c>
      <c r="E365" s="4">
        <v>1001.74</v>
      </c>
      <c r="F365" s="4">
        <v>964.52</v>
      </c>
      <c r="G365" s="4">
        <v>962.59</v>
      </c>
      <c r="H365" s="5">
        <f>G365/F365-1</f>
        <v>-0.002000995313731102</v>
      </c>
      <c r="I365" s="5">
        <f>G365/E365-1</f>
        <v>-0.039081997324655116</v>
      </c>
      <c r="J365" s="5">
        <v>-0.08668674061318538</v>
      </c>
      <c r="K365" s="4">
        <v>121369497187.51</v>
      </c>
    </row>
    <row r="366" spans="1:11">
      <c r="A366" s="1" t="s">
        <v>793</v>
      </c>
      <c r="B366" s="1" t="s">
        <v>794</v>
      </c>
      <c r="C366" s="1" t="s">
        <v>47</v>
      </c>
      <c r="D366" s="1" t="s">
        <v>331</v>
      </c>
      <c r="E366" s="4">
        <v>129</v>
      </c>
      <c r="F366" s="4">
        <v>124.31</v>
      </c>
      <c r="G366" s="4">
        <v>124.45</v>
      </c>
      <c r="H366" s="5">
        <f>G366/F366-1</f>
        <v>0.0011262167162737757</v>
      </c>
      <c r="I366" s="5">
        <f>G366/E366-1</f>
        <v>-0.03527131782945736</v>
      </c>
      <c r="J366" s="5">
        <v>-0.05907076264710387</v>
      </c>
      <c r="K366" s="4">
        <v>23328468603</v>
      </c>
    </row>
    <row r="367" spans="1:11">
      <c r="A367" s="1" t="s">
        <v>795</v>
      </c>
      <c r="B367" s="1" t="s">
        <v>796</v>
      </c>
      <c r="C367" s="1" t="s">
        <v>93</v>
      </c>
      <c r="D367" s="1" t="s">
        <v>93</v>
      </c>
      <c r="E367" s="4">
        <v>252.79</v>
      </c>
      <c r="F367" s="4">
        <v>234.57</v>
      </c>
      <c r="G367" s="4">
        <v>237.25</v>
      </c>
      <c r="H367" s="5">
        <f>G367/F367-1</f>
        <v>0.011425160932770684</v>
      </c>
      <c r="I367" s="5">
        <f>G367/E367-1</f>
        <v>-0.06147395071007555</v>
      </c>
      <c r="J367" s="5">
        <v>-0.09363503303136989</v>
      </c>
      <c r="K367" s="4">
        <v>21138571437.75</v>
      </c>
    </row>
    <row r="368" spans="1:11">
      <c r="A368" s="1" t="s">
        <v>797</v>
      </c>
      <c r="B368" s="1" t="s">
        <v>798</v>
      </c>
      <c r="C368" s="1" t="s">
        <v>116</v>
      </c>
      <c r="D368" s="1" t="s">
        <v>117</v>
      </c>
      <c r="E368" s="4">
        <v>141.8</v>
      </c>
      <c r="F368" s="4">
        <v>138.35</v>
      </c>
      <c r="G368" s="4">
        <v>137.34</v>
      </c>
      <c r="H368" s="5">
        <f>G368/F368-1</f>
        <v>-0.007300325262016516</v>
      </c>
      <c r="I368" s="5">
        <f>G368/E368-1</f>
        <v>-0.031452750352609415</v>
      </c>
      <c r="J368" s="5">
        <v>-0.0472237723214286</v>
      </c>
      <c r="K368" s="4">
        <v>132799504852.98</v>
      </c>
    </row>
    <row r="369" spans="1:11">
      <c r="A369" s="1" t="s">
        <v>799</v>
      </c>
      <c r="B369" s="1" t="s">
        <v>800</v>
      </c>
      <c r="C369" s="1" t="s">
        <v>41</v>
      </c>
      <c r="D369" s="1" t="s">
        <v>58</v>
      </c>
      <c r="E369" s="4">
        <v>179.94</v>
      </c>
      <c r="F369" s="4">
        <v>182.53</v>
      </c>
      <c r="G369" s="4">
        <v>174.33</v>
      </c>
      <c r="H369" s="5">
        <f>G369/F369-1</f>
        <v>-0.0449241220621267</v>
      </c>
      <c r="I369" s="5">
        <f>G369/E369-1</f>
        <v>-0.03117705901967316</v>
      </c>
      <c r="J369" s="5">
        <v>-0.09078227277604889</v>
      </c>
      <c r="K369" s="4">
        <v>418732757969.7601</v>
      </c>
    </row>
    <row r="370" spans="1:11">
      <c r="A370" s="1" t="s">
        <v>801</v>
      </c>
      <c r="B370" s="1" t="s">
        <v>802</v>
      </c>
      <c r="C370" s="1" t="s">
        <v>66</v>
      </c>
      <c r="D370" s="1" t="s">
        <v>67</v>
      </c>
      <c r="E370" s="4">
        <v>188.23</v>
      </c>
      <c r="F370" s="4">
        <v>186.17</v>
      </c>
      <c r="G370" s="4">
        <v>182.53</v>
      </c>
      <c r="H370" s="5">
        <f>G370/F370-1</f>
        <v>-0.019552022345168285</v>
      </c>
      <c r="I370" s="5">
        <f>G370/E370-1</f>
        <v>-0.03028210168410983</v>
      </c>
      <c r="J370" s="5">
        <v>-0.05960844925296238</v>
      </c>
      <c r="K370" s="4">
        <v>284493711020.67</v>
      </c>
    </row>
    <row r="371" spans="1:11">
      <c r="A371" s="1" t="s">
        <v>803</v>
      </c>
      <c r="B371" s="1" t="s">
        <v>804</v>
      </c>
      <c r="C371" s="1" t="s">
        <v>54</v>
      </c>
      <c r="D371" s="1" t="s">
        <v>165</v>
      </c>
      <c r="E371" s="4">
        <v>243.13</v>
      </c>
      <c r="F371" s="4">
        <v>245.18</v>
      </c>
      <c r="G371" s="4">
        <v>245.6</v>
      </c>
      <c r="H371" s="5">
        <f>G371/F371-1</f>
        <v>0.001713027163716463</v>
      </c>
      <c r="I371" s="5">
        <f>G371/E371-1</f>
        <v>0.010159174104388491</v>
      </c>
      <c r="J371" s="5">
        <v>-0.0293456492418358</v>
      </c>
      <c r="K371" s="4">
        <v>97980564615.2</v>
      </c>
    </row>
    <row r="372" spans="1:11">
      <c r="A372" s="1" t="s">
        <v>805</v>
      </c>
      <c r="B372" s="1" t="s">
        <v>806</v>
      </c>
      <c r="C372" s="1" t="s">
        <v>70</v>
      </c>
      <c r="D372" s="1" t="s">
        <v>100</v>
      </c>
      <c r="E372" s="4">
        <v>64.40000000000001</v>
      </c>
      <c r="F372" s="4">
        <v>60.02</v>
      </c>
      <c r="G372" s="4">
        <v>60.21</v>
      </c>
      <c r="H372" s="5">
        <f>G372/F372-1</f>
        <v>0.0031656114628457743</v>
      </c>
      <c r="I372" s="5">
        <f>G372/E372-1</f>
        <v>-0.06506211180124233</v>
      </c>
      <c r="J372" s="5">
        <v>-0.07080745341614914</v>
      </c>
      <c r="K372" s="4">
        <v>9611800969.5</v>
      </c>
    </row>
    <row r="373" spans="1:11">
      <c r="A373" s="1" t="s">
        <v>807</v>
      </c>
      <c r="B373" s="1" t="s">
        <v>808</v>
      </c>
      <c r="C373" s="1" t="s">
        <v>76</v>
      </c>
      <c r="D373" s="1" t="s">
        <v>76</v>
      </c>
      <c r="E373" s="4">
        <v>97.36</v>
      </c>
      <c r="F373" s="4">
        <v>98</v>
      </c>
      <c r="G373" s="4">
        <v>97.52</v>
      </c>
      <c r="H373" s="5">
        <f>G373/F373-1</f>
        <v>-0.004897959183673528</v>
      </c>
      <c r="I373" s="5">
        <f>G373/E373-1</f>
        <v>0.0016433853738702098</v>
      </c>
      <c r="J373" s="5">
        <v>-0.01327388793190798</v>
      </c>
      <c r="K373" s="4">
        <v>11819154259.68</v>
      </c>
    </row>
    <row r="374" spans="1:11">
      <c r="A374" s="1" t="s">
        <v>809</v>
      </c>
      <c r="B374" s="1" t="s">
        <v>810</v>
      </c>
      <c r="C374" s="1" t="s">
        <v>37</v>
      </c>
      <c r="D374" s="1" t="s">
        <v>51</v>
      </c>
      <c r="E374" s="4">
        <v>148.16</v>
      </c>
      <c r="F374" s="4">
        <v>150.58</v>
      </c>
      <c r="G374" s="4">
        <v>147.48</v>
      </c>
      <c r="H374" s="5">
        <f>G374/F374-1</f>
        <v>-0.020587063355027357</v>
      </c>
      <c r="I374" s="5">
        <f>G374/E374-1</f>
        <v>-0.0045896328293737465</v>
      </c>
      <c r="J374" s="5">
        <v>-0.03448974082073419</v>
      </c>
      <c r="K374" s="4">
        <v>10228357268.52</v>
      </c>
    </row>
    <row r="375" spans="1:11">
      <c r="A375" s="1" t="s">
        <v>811</v>
      </c>
      <c r="B375" s="1" t="s">
        <v>812</v>
      </c>
      <c r="C375" s="1" t="s">
        <v>93</v>
      </c>
      <c r="D375" s="1" t="s">
        <v>93</v>
      </c>
      <c r="E375" s="4">
        <v>113.63</v>
      </c>
      <c r="F375" s="4">
        <v>110.75</v>
      </c>
      <c r="G375" s="4">
        <v>112.53</v>
      </c>
      <c r="H375" s="5">
        <f>G375/F375-1</f>
        <v>0.016072234762979587</v>
      </c>
      <c r="I375" s="5">
        <f>G375/E375-1</f>
        <v>-0.009680542110358181</v>
      </c>
      <c r="J375" s="5">
        <v>-0.04125152945289279</v>
      </c>
      <c r="K375" s="4">
        <v>25015419000</v>
      </c>
    </row>
    <row r="376" spans="1:11">
      <c r="A376" s="1" t="s">
        <v>813</v>
      </c>
      <c r="B376" s="1" t="s">
        <v>814</v>
      </c>
      <c r="C376" s="1" t="s">
        <v>76</v>
      </c>
      <c r="D376" s="1" t="s">
        <v>76</v>
      </c>
      <c r="E376" s="4">
        <v>34.38</v>
      </c>
      <c r="F376" s="4">
        <v>35.11</v>
      </c>
      <c r="G376" s="4">
        <v>35.11</v>
      </c>
      <c r="H376" s="5">
        <f>G376/F376-1</f>
        <v>0.0</v>
      </c>
      <c r="I376" s="5">
        <f>G376/E376-1</f>
        <v>0.02123327515997664</v>
      </c>
      <c r="J376" s="5">
        <v>-0.02597031963470309</v>
      </c>
      <c r="K376" s="4">
        <v>26421849367.51</v>
      </c>
    </row>
    <row r="377" spans="1:11">
      <c r="A377" s="1" t="s">
        <v>815</v>
      </c>
      <c r="B377" s="1" t="s">
        <v>816</v>
      </c>
      <c r="C377" s="1" t="s">
        <v>54</v>
      </c>
      <c r="D377" s="1" t="s">
        <v>55</v>
      </c>
      <c r="E377" s="4">
        <v>121.15</v>
      </c>
      <c r="F377" s="4">
        <v>123.2</v>
      </c>
      <c r="G377" s="4">
        <v>122.02</v>
      </c>
      <c r="H377" s="5">
        <f>G377/F377-1</f>
        <v>-0.009577922077922185</v>
      </c>
      <c r="I377" s="5">
        <f>G377/E377-1</f>
        <v>0.00718118035493176</v>
      </c>
      <c r="J377" s="5">
        <v>-0.04508029673106706</v>
      </c>
      <c r="K377" s="4">
        <v>42096900000</v>
      </c>
    </row>
    <row r="378" spans="1:11">
      <c r="A378" s="1" t="s">
        <v>817</v>
      </c>
      <c r="B378" s="1" t="s">
        <v>818</v>
      </c>
      <c r="C378" s="1" t="s">
        <v>116</v>
      </c>
      <c r="D378" s="1" t="s">
        <v>117</v>
      </c>
      <c r="E378" s="4">
        <v>322.49</v>
      </c>
      <c r="F378" s="4">
        <v>305.73</v>
      </c>
      <c r="G378" s="4">
        <v>302.01</v>
      </c>
      <c r="H378" s="5">
        <f>G378/F378-1</f>
        <v>-0.012167598861740792</v>
      </c>
      <c r="I378" s="5">
        <f>G378/E378-1</f>
        <v>-0.06350584514248514</v>
      </c>
      <c r="J378" s="5">
        <v>-0.07274517647782885</v>
      </c>
      <c r="K378" s="4">
        <v>56399083353.48</v>
      </c>
    </row>
    <row r="379" spans="1:11">
      <c r="A379" s="1" t="s">
        <v>819</v>
      </c>
      <c r="B379" s="1" t="s">
        <v>820</v>
      </c>
      <c r="C379" s="1" t="s">
        <v>138</v>
      </c>
      <c r="D379" s="1" t="s">
        <v>139</v>
      </c>
      <c r="E379" s="4">
        <v>10.35</v>
      </c>
      <c r="F379" s="4">
        <v>11.04</v>
      </c>
      <c r="G379" s="4">
        <v>10.86</v>
      </c>
      <c r="H379" s="5">
        <f>G379/F379-1</f>
        <v>-0.016304347826086918</v>
      </c>
      <c r="I379" s="5">
        <f>G379/E379-1</f>
        <v>0.049275362318840665</v>
      </c>
      <c r="J379" s="5">
        <v>-0.03299725022914757</v>
      </c>
      <c r="K379" s="4">
        <v>12184331159.94</v>
      </c>
    </row>
    <row r="380" spans="1:11">
      <c r="A380" s="1" t="s">
        <v>821</v>
      </c>
      <c r="B380" s="1" t="s">
        <v>822</v>
      </c>
      <c r="C380" s="1" t="s">
        <v>129</v>
      </c>
      <c r="D380" s="1" t="s">
        <v>129</v>
      </c>
      <c r="E380" s="4">
        <v>242.87</v>
      </c>
      <c r="F380" s="4">
        <v>254.66</v>
      </c>
      <c r="G380" s="4">
        <v>255.09</v>
      </c>
      <c r="H380" s="5">
        <f>G380/F380-1</f>
        <v>0.0016885258776409007</v>
      </c>
      <c r="I380" s="5">
        <f>G380/E380-1</f>
        <v>0.05031498332441231</v>
      </c>
      <c r="J380" s="5">
        <v>-0.02458105159138635</v>
      </c>
      <c r="K380" s="4">
        <v>101786245462.44</v>
      </c>
    </row>
    <row r="381" spans="1:11">
      <c r="A381" s="1" t="s">
        <v>823</v>
      </c>
      <c r="B381" s="1" t="s">
        <v>824</v>
      </c>
      <c r="C381" s="1" t="s">
        <v>41</v>
      </c>
      <c r="D381" s="1" t="s">
        <v>58</v>
      </c>
      <c r="E381" s="4">
        <v>154.68</v>
      </c>
      <c r="F381" s="4">
        <v>150.08</v>
      </c>
      <c r="G381" s="4">
        <v>141.02</v>
      </c>
      <c r="H381" s="5">
        <f>G381/F381-1</f>
        <v>-0.06036780383795315</v>
      </c>
      <c r="I381" s="5">
        <f>G381/E381-1</f>
        <v>-0.08831135246961463</v>
      </c>
      <c r="J381" s="5">
        <v>-0.1128027681660898</v>
      </c>
      <c r="K381" s="4">
        <v>15301552926.22</v>
      </c>
    </row>
    <row r="382" spans="1:11">
      <c r="A382" s="1" t="s">
        <v>825</v>
      </c>
      <c r="B382" s="1" t="s">
        <v>826</v>
      </c>
      <c r="C382" s="1" t="s">
        <v>70</v>
      </c>
      <c r="D382" s="1" t="s">
        <v>100</v>
      </c>
      <c r="E382" s="4">
        <v>639.34</v>
      </c>
      <c r="F382" s="4">
        <v>620.0599999999999</v>
      </c>
      <c r="G382" s="4">
        <v>624.41</v>
      </c>
      <c r="H382" s="5">
        <f>G382/F382-1</f>
        <v>0.007015450117730637</v>
      </c>
      <c r="I382" s="5">
        <f>G382/E382-1</f>
        <v>-0.0233522069634311</v>
      </c>
      <c r="J382" s="5">
        <v>-0.05730910000938461</v>
      </c>
      <c r="K382" s="4">
        <v>93875918023.12999</v>
      </c>
    </row>
    <row r="383" spans="1:11">
      <c r="A383" s="1" t="s">
        <v>827</v>
      </c>
      <c r="B383" s="1" t="s">
        <v>828</v>
      </c>
      <c r="C383" s="1" t="s">
        <v>54</v>
      </c>
      <c r="D383" s="1" t="s">
        <v>113</v>
      </c>
      <c r="E383" s="4">
        <v>61.55</v>
      </c>
      <c r="F383" s="4">
        <v>56.82</v>
      </c>
      <c r="G383" s="4">
        <v>54.96</v>
      </c>
      <c r="H383" s="5">
        <f>G383/F383-1</f>
        <v>-0.032734952481520585</v>
      </c>
      <c r="I383" s="5">
        <f>G383/E383-1</f>
        <v>-0.10706742485783916</v>
      </c>
      <c r="J383" s="5">
        <v>-0.1585032921149832</v>
      </c>
      <c r="K383" s="4">
        <v>47016129635.04</v>
      </c>
    </row>
    <row r="384" spans="1:11">
      <c r="A384" s="1" t="s">
        <v>829</v>
      </c>
      <c r="B384" s="1" t="s">
        <v>830</v>
      </c>
      <c r="C384" s="1" t="s">
        <v>41</v>
      </c>
      <c r="D384" s="1" t="s">
        <v>63</v>
      </c>
      <c r="E384" s="4">
        <v>128.88</v>
      </c>
      <c r="F384" s="4">
        <v>118.47</v>
      </c>
      <c r="G384" s="4">
        <v>120.47</v>
      </c>
      <c r="H384" s="5">
        <f>G384/F384-1</f>
        <v>0.016881911032328833</v>
      </c>
      <c r="I384" s="5">
        <f>G384/E384-1</f>
        <v>-0.06525450031036617</v>
      </c>
      <c r="J384" s="5">
        <v>-0.103895096213532</v>
      </c>
      <c r="K384" s="4">
        <v>25203353175.21</v>
      </c>
    </row>
    <row r="385" spans="1:11">
      <c r="A385" s="1" t="s">
        <v>831</v>
      </c>
      <c r="B385" s="1" t="s">
        <v>832</v>
      </c>
      <c r="C385" s="1" t="s">
        <v>41</v>
      </c>
      <c r="D385" s="1" t="s">
        <v>63</v>
      </c>
      <c r="E385" s="4">
        <v>160.75</v>
      </c>
      <c r="F385" s="4">
        <v>168.57</v>
      </c>
      <c r="G385" s="4">
        <v>168.74</v>
      </c>
      <c r="H385" s="5">
        <f>G385/F385-1</f>
        <v>0.0010084831227383795</v>
      </c>
      <c r="I385" s="5">
        <f>G385/E385-1</f>
        <v>0.049704510108864675</v>
      </c>
      <c r="J385" s="5">
        <v>-0.02270061004223356</v>
      </c>
      <c r="K385" s="4">
        <v>177177000000</v>
      </c>
    </row>
    <row r="386" spans="1:11">
      <c r="A386" s="1" t="s">
        <v>833</v>
      </c>
      <c r="B386" s="1" t="s">
        <v>834</v>
      </c>
      <c r="C386" s="1" t="s">
        <v>47</v>
      </c>
      <c r="D386" s="1" t="s">
        <v>48</v>
      </c>
      <c r="E386" s="4">
        <v>292</v>
      </c>
      <c r="F386" s="4">
        <v>265.55</v>
      </c>
      <c r="G386" s="4">
        <v>265.19</v>
      </c>
      <c r="H386" s="5">
        <f>G386/F386-1</f>
        <v>-0.0013556768970062194</v>
      </c>
      <c r="I386" s="5">
        <f>G386/E386-1</f>
        <v>-0.09181506849315069</v>
      </c>
      <c r="J386" s="5">
        <v>-0.09491467576791812</v>
      </c>
      <c r="K386" s="4">
        <v>71122057118.08</v>
      </c>
    </row>
    <row r="387" spans="1:11">
      <c r="A387" s="1" t="s">
        <v>835</v>
      </c>
      <c r="B387" s="1" t="s">
        <v>836</v>
      </c>
      <c r="C387" s="1" t="s">
        <v>138</v>
      </c>
      <c r="D387" s="1" t="s">
        <v>139</v>
      </c>
      <c r="E387" s="4">
        <v>153.29</v>
      </c>
      <c r="F387" s="4">
        <v>155.99</v>
      </c>
      <c r="G387" s="4">
        <v>154.46</v>
      </c>
      <c r="H387" s="5">
        <f>G387/F387-1</f>
        <v>-0.00980832104622087</v>
      </c>
      <c r="I387" s="5">
        <f>G387/E387-1</f>
        <v>0.007632591819427326</v>
      </c>
      <c r="J387" s="5">
        <v>-0.1096337334564481</v>
      </c>
      <c r="K387" s="4">
        <v>29717564934.6</v>
      </c>
    </row>
    <row r="388" spans="1:11">
      <c r="A388" s="1" t="s">
        <v>837</v>
      </c>
      <c r="B388" s="1" t="s">
        <v>838</v>
      </c>
      <c r="C388" s="1" t="s">
        <v>116</v>
      </c>
      <c r="D388" s="1" t="s">
        <v>117</v>
      </c>
      <c r="E388" s="4">
        <v>76.06</v>
      </c>
      <c r="F388" s="4">
        <v>75.92</v>
      </c>
      <c r="G388" s="4">
        <v>75.26000000000001</v>
      </c>
      <c r="H388" s="5">
        <f>G388/F388-1</f>
        <v>-0.00869336143308741</v>
      </c>
      <c r="I388" s="5">
        <f>G388/E388-1</f>
        <v>-0.010518012095713902</v>
      </c>
      <c r="J388" s="5">
        <v>-0.02541710114702822</v>
      </c>
      <c r="K388" s="4">
        <v>14205947550.72</v>
      </c>
    </row>
    <row r="389" spans="1:11">
      <c r="A389" s="1" t="s">
        <v>839</v>
      </c>
      <c r="B389" s="1" t="s">
        <v>840</v>
      </c>
      <c r="C389" s="1" t="s">
        <v>37</v>
      </c>
      <c r="D389" s="1" t="s">
        <v>38</v>
      </c>
      <c r="E389" s="4">
        <v>834.04</v>
      </c>
      <c r="F389" s="4">
        <v>843.47</v>
      </c>
      <c r="G389" s="4">
        <v>827.72</v>
      </c>
      <c r="H389" s="5">
        <f>G389/F389-1</f>
        <v>-0.018672863290929098</v>
      </c>
      <c r="I389" s="5">
        <f>G389/E389-1</f>
        <v>-0.007577574217063843</v>
      </c>
      <c r="J389" s="5">
        <v>-0.04777948299841728</v>
      </c>
      <c r="K389" s="4">
        <v>85217902667.36002</v>
      </c>
    </row>
    <row r="390" spans="1:11">
      <c r="A390" s="1" t="s">
        <v>841</v>
      </c>
      <c r="B390" s="1" t="s">
        <v>842</v>
      </c>
      <c r="C390" s="1" t="s">
        <v>54</v>
      </c>
      <c r="D390" s="1" t="s">
        <v>165</v>
      </c>
      <c r="E390" s="4">
        <v>30.41</v>
      </c>
      <c r="F390" s="4">
        <v>30.44</v>
      </c>
      <c r="G390" s="4">
        <v>30.42</v>
      </c>
      <c r="H390" s="5">
        <f>G390/F390-1</f>
        <v>-0.0006570302233902536</v>
      </c>
      <c r="I390" s="5">
        <f>G390/E390-1</f>
        <v>0.0003288391976323801</v>
      </c>
      <c r="J390" s="5">
        <v>-0.04592833876221503</v>
      </c>
      <c r="K390" s="4">
        <v>25915695572.52</v>
      </c>
    </row>
    <row r="391" spans="1:11">
      <c r="A391" s="1" t="s">
        <v>843</v>
      </c>
      <c r="B391" s="1" t="s">
        <v>844</v>
      </c>
      <c r="C391" s="1" t="s">
        <v>54</v>
      </c>
      <c r="D391" s="1" t="s">
        <v>113</v>
      </c>
      <c r="E391" s="4">
        <v>175.2</v>
      </c>
      <c r="F391" s="4">
        <v>181.1</v>
      </c>
      <c r="G391" s="4">
        <v>178.29</v>
      </c>
      <c r="H391" s="5">
        <f>G391/F391-1</f>
        <v>-0.015516289342904499</v>
      </c>
      <c r="I391" s="5">
        <f>G391/E391-1</f>
        <v>0.017636986301369895</v>
      </c>
      <c r="J391" s="5">
        <v>-0.03267172167707411</v>
      </c>
      <c r="K391" s="4">
        <v>34296032349.18</v>
      </c>
    </row>
    <row r="392" spans="1:11">
      <c r="A392" s="1" t="s">
        <v>845</v>
      </c>
      <c r="B392" s="1" t="s">
        <v>846</v>
      </c>
      <c r="C392" s="1" t="s">
        <v>47</v>
      </c>
      <c r="D392" s="1" t="s">
        <v>331</v>
      </c>
      <c r="E392" s="4">
        <v>372.59</v>
      </c>
      <c r="F392" s="4">
        <v>344.2</v>
      </c>
      <c r="G392" s="4">
        <v>351.2</v>
      </c>
      <c r="H392" s="5">
        <f>G392/F392-1</f>
        <v>0.02033701336432303</v>
      </c>
      <c r="I392" s="5">
        <f>G392/E392-1</f>
        <v>-0.05740894817359565</v>
      </c>
      <c r="J392" s="5">
        <v>-0.09686250301940469</v>
      </c>
      <c r="K392" s="4">
        <v>20925282336.8</v>
      </c>
    </row>
    <row r="393" spans="1:11">
      <c r="A393" s="1" t="s">
        <v>847</v>
      </c>
      <c r="B393" s="1" t="s">
        <v>848</v>
      </c>
      <c r="C393" s="1" t="s">
        <v>37</v>
      </c>
      <c r="D393" s="1" t="s">
        <v>51</v>
      </c>
      <c r="E393" s="4">
        <v>231.52</v>
      </c>
      <c r="F393" s="4">
        <v>229.19</v>
      </c>
      <c r="G393" s="4">
        <v>228.35</v>
      </c>
      <c r="H393" s="5">
        <f>G393/F393-1</f>
        <v>-0.0036650813735329413</v>
      </c>
      <c r="I393" s="5">
        <f>G393/E393-1</f>
        <v>-0.013692121630960674</v>
      </c>
      <c r="J393" s="5">
        <v>-0.04984812549411233</v>
      </c>
      <c r="K393" s="4">
        <v>32940014075.1</v>
      </c>
    </row>
    <row r="394" spans="1:11">
      <c r="A394" s="1" t="s">
        <v>849</v>
      </c>
      <c r="B394" s="1" t="s">
        <v>850</v>
      </c>
      <c r="C394" s="1" t="s">
        <v>70</v>
      </c>
      <c r="D394" s="1" t="s">
        <v>100</v>
      </c>
      <c r="E394" s="4">
        <v>437.08</v>
      </c>
      <c r="F394" s="4">
        <v>428.28</v>
      </c>
      <c r="G394" s="4">
        <v>433.81</v>
      </c>
      <c r="H394" s="5">
        <f>G394/F394-1</f>
        <v>0.012912113570561434</v>
      </c>
      <c r="I394" s="5">
        <f>G394/E394-1</f>
        <v>-0.0074814679234922465</v>
      </c>
      <c r="J394" s="5">
        <v>-0.04472865379335589</v>
      </c>
      <c r="K394" s="4">
        <v>48174026135.56001</v>
      </c>
    </row>
    <row r="395" spans="1:11">
      <c r="A395" s="1" t="s">
        <v>851</v>
      </c>
      <c r="B395" s="1" t="s">
        <v>852</v>
      </c>
      <c r="C395" s="1" t="s">
        <v>70</v>
      </c>
      <c r="D395" s="1" t="s">
        <v>71</v>
      </c>
      <c r="E395" s="4">
        <v>36.91</v>
      </c>
      <c r="F395" s="4">
        <v>35.71</v>
      </c>
      <c r="G395" s="4">
        <v>35.86</v>
      </c>
      <c r="H395" s="5">
        <f>G395/F395-1</f>
        <v>0.004200504060487109</v>
      </c>
      <c r="I395" s="5">
        <f>G395/E395-1</f>
        <v>-0.028447575182877216</v>
      </c>
      <c r="J395" s="5">
        <v>-0.04159957058507779</v>
      </c>
      <c r="K395" s="4">
        <v>17253874187.44</v>
      </c>
    </row>
    <row r="396" spans="1:11">
      <c r="A396" s="1" t="s">
        <v>853</v>
      </c>
      <c r="B396" s="1" t="s">
        <v>854</v>
      </c>
      <c r="C396" s="1" t="s">
        <v>41</v>
      </c>
      <c r="D396" s="1" t="s">
        <v>58</v>
      </c>
      <c r="E396" s="4">
        <v>411.79</v>
      </c>
      <c r="F396" s="4">
        <v>422.35</v>
      </c>
      <c r="G396" s="4">
        <v>407.28</v>
      </c>
      <c r="H396" s="5">
        <f>G396/F396-1</f>
        <v>-0.03568130697288985</v>
      </c>
      <c r="I396" s="5">
        <f>G396/E396-1</f>
        <v>-0.010952184365817685</v>
      </c>
      <c r="J396" s="5">
        <v>-0.04439230408259032</v>
      </c>
      <c r="K396" s="4">
        <v>40280347962.72</v>
      </c>
    </row>
    <row r="397" spans="1:11">
      <c r="A397" s="1" t="s">
        <v>855</v>
      </c>
      <c r="B397" s="1" t="s">
        <v>856</v>
      </c>
      <c r="C397" s="1" t="s">
        <v>47</v>
      </c>
      <c r="D397" s="1" t="s">
        <v>120</v>
      </c>
      <c r="E397" s="4">
        <v>239.04</v>
      </c>
      <c r="F397" s="4">
        <v>231.67</v>
      </c>
      <c r="G397" s="4">
        <v>230.69</v>
      </c>
      <c r="H397" s="5">
        <f>G397/F397-1</f>
        <v>-0.004230154961799015</v>
      </c>
      <c r="I397" s="5">
        <f>G397/E397-1</f>
        <v>-0.03493139223560904</v>
      </c>
      <c r="J397" s="5">
        <v>-0.05374296124544553</v>
      </c>
      <c r="K397" s="4">
        <v>73694637945.90001</v>
      </c>
    </row>
    <row r="398" spans="1:11">
      <c r="A398" s="1" t="s">
        <v>857</v>
      </c>
      <c r="B398" s="1" t="s">
        <v>858</v>
      </c>
      <c r="C398" s="1" t="s">
        <v>70</v>
      </c>
      <c r="D398" s="1" t="s">
        <v>71</v>
      </c>
      <c r="E398" s="4">
        <v>220.67</v>
      </c>
      <c r="F398" s="4">
        <v>225.12</v>
      </c>
      <c r="G398" s="4">
        <v>222.71</v>
      </c>
      <c r="H398" s="5">
        <f>G398/F398-1</f>
        <v>-0.01070540156361055</v>
      </c>
      <c r="I398" s="5">
        <f>G398/E398-1</f>
        <v>0.009244573344813656</v>
      </c>
      <c r="J398" s="5">
        <v>-0.01707907477138249</v>
      </c>
      <c r="K398" s="4">
        <v>68196692330.38001</v>
      </c>
    </row>
    <row r="399" spans="1:11">
      <c r="A399" s="1" t="s">
        <v>859</v>
      </c>
      <c r="B399" s="1" t="s">
        <v>860</v>
      </c>
      <c r="C399" s="1" t="s">
        <v>70</v>
      </c>
      <c r="D399" s="1" t="s">
        <v>100</v>
      </c>
      <c r="E399" s="4">
        <v>209.91</v>
      </c>
      <c r="F399" s="4">
        <v>202.13</v>
      </c>
      <c r="G399" s="4">
        <v>200.79</v>
      </c>
      <c r="H399" s="5">
        <f>G399/F399-1</f>
        <v>-0.006629396922772535</v>
      </c>
      <c r="I399" s="5">
        <f>G399/E399-1</f>
        <v>-0.04344719165356581</v>
      </c>
      <c r="J399" s="5">
        <v>-0.05328178046020371</v>
      </c>
      <c r="K399" s="4">
        <v>270616357733.76</v>
      </c>
    </row>
    <row r="400" spans="1:11">
      <c r="A400" s="1" t="s">
        <v>861</v>
      </c>
      <c r="B400" s="1" t="s">
        <v>862</v>
      </c>
      <c r="C400" s="1" t="s">
        <v>37</v>
      </c>
      <c r="D400" s="1" t="s">
        <v>38</v>
      </c>
      <c r="E400" s="4">
        <v>124.75</v>
      </c>
      <c r="F400" s="4">
        <v>130.63</v>
      </c>
      <c r="G400" s="4">
        <v>130.22</v>
      </c>
      <c r="H400" s="5">
        <f>G400/F400-1</f>
        <v>-0.0031386358416902738</v>
      </c>
      <c r="I400" s="5">
        <f>G400/E400-1</f>
        <v>0.043847695390781594</v>
      </c>
      <c r="J400" s="5">
        <v>-0.02405365816051197</v>
      </c>
      <c r="K400" s="4">
        <v>14530781138.22</v>
      </c>
    </row>
    <row r="401" spans="1:11">
      <c r="A401" s="1" t="s">
        <v>863</v>
      </c>
      <c r="B401" s="1" t="s">
        <v>864</v>
      </c>
      <c r="C401" s="1" t="s">
        <v>116</v>
      </c>
      <c r="D401" s="1" t="s">
        <v>117</v>
      </c>
      <c r="E401" s="4">
        <v>182.59</v>
      </c>
      <c r="F401" s="4">
        <v>191.52</v>
      </c>
      <c r="G401" s="4">
        <v>189.44</v>
      </c>
      <c r="H401" s="5">
        <f>G401/F401-1</f>
        <v>-0.010860484544695126</v>
      </c>
      <c r="I401" s="5">
        <f>G401/E401-1</f>
        <v>0.03751574565967464</v>
      </c>
      <c r="J401" s="5">
        <v>-0.02372348782403766</v>
      </c>
      <c r="K401" s="4">
        <v>20097331558.4</v>
      </c>
    </row>
    <row r="402" spans="1:11">
      <c r="A402" s="1" t="s">
        <v>865</v>
      </c>
      <c r="B402" s="1" t="s">
        <v>866</v>
      </c>
      <c r="C402" s="1" t="s">
        <v>47</v>
      </c>
      <c r="D402" s="1" t="s">
        <v>48</v>
      </c>
      <c r="E402" s="4">
        <v>107.08</v>
      </c>
      <c r="F402" s="4">
        <v>105.82</v>
      </c>
      <c r="G402" s="4">
        <v>104.47</v>
      </c>
      <c r="H402" s="5">
        <f>G402/F402-1</f>
        <v>-0.01275751275751269</v>
      </c>
      <c r="I402" s="5">
        <f>G402/E402-1</f>
        <v>-0.024374299589092208</v>
      </c>
      <c r="J402" s="5">
        <v>-0.03705410636925055</v>
      </c>
      <c r="K402" s="4">
        <v>119095800000</v>
      </c>
    </row>
    <row r="403" spans="1:11">
      <c r="A403" s="1" t="s">
        <v>867</v>
      </c>
      <c r="B403" s="1" t="s">
        <v>868</v>
      </c>
      <c r="C403" s="1" t="s">
        <v>54</v>
      </c>
      <c r="D403" s="1" t="s">
        <v>113</v>
      </c>
      <c r="E403" s="4">
        <v>112.3</v>
      </c>
      <c r="F403" s="4">
        <v>110.38</v>
      </c>
      <c r="G403" s="4">
        <v>109.29</v>
      </c>
      <c r="H403" s="5">
        <f>G403/F403-1</f>
        <v>-0.009874977350969316</v>
      </c>
      <c r="I403" s="5">
        <f>G403/E403-1</f>
        <v>-0.026803205699020394</v>
      </c>
      <c r="J403" s="5">
        <v>-0.04927408710954695</v>
      </c>
      <c r="K403" s="4">
        <v>188999100183.06</v>
      </c>
    </row>
    <row r="404" spans="1:11">
      <c r="A404" s="1" t="s">
        <v>869</v>
      </c>
      <c r="B404" s="1" t="s">
        <v>870</v>
      </c>
      <c r="C404" s="1" t="s">
        <v>93</v>
      </c>
      <c r="D404" s="1" t="s">
        <v>93</v>
      </c>
      <c r="E404" s="4">
        <v>346.59</v>
      </c>
      <c r="F404" s="4">
        <v>332.26</v>
      </c>
      <c r="G404" s="4">
        <v>333.71</v>
      </c>
      <c r="H404" s="5">
        <f>G404/F404-1</f>
        <v>0.004364052248239325</v>
      </c>
      <c r="I404" s="5">
        <f>G404/E404-1</f>
        <v>-0.03716206468738281</v>
      </c>
      <c r="J404" s="5">
        <v>-0.05849621914681125</v>
      </c>
      <c r="K404" s="4">
        <v>81010822570.20999</v>
      </c>
    </row>
    <row r="405" spans="1:11">
      <c r="A405" s="1" t="s">
        <v>871</v>
      </c>
      <c r="B405" s="1" t="s">
        <v>872</v>
      </c>
      <c r="C405" s="1" t="s">
        <v>66</v>
      </c>
      <c r="D405" s="1" t="s">
        <v>67</v>
      </c>
      <c r="E405" s="4">
        <v>124.32</v>
      </c>
      <c r="F405" s="4">
        <v>128.51</v>
      </c>
      <c r="G405" s="4">
        <v>126.08</v>
      </c>
      <c r="H405" s="5">
        <f>G405/F405-1</f>
        <v>-0.018909034316395568</v>
      </c>
      <c r="I405" s="5">
        <f>G405/E405-1</f>
        <v>0.014157014157014203</v>
      </c>
      <c r="J405" s="5">
        <v>-0.04730240290161714</v>
      </c>
      <c r="K405" s="4">
        <v>13468266912.64</v>
      </c>
    </row>
    <row r="406" spans="1:11">
      <c r="A406" s="1" t="s">
        <v>873</v>
      </c>
      <c r="B406" s="1" t="s">
        <v>874</v>
      </c>
      <c r="C406" s="1" t="s">
        <v>129</v>
      </c>
      <c r="D406" s="1" t="s">
        <v>129</v>
      </c>
      <c r="E406" s="4">
        <v>53.87</v>
      </c>
      <c r="F406" s="4">
        <v>57.41</v>
      </c>
      <c r="G406" s="4">
        <v>57.51</v>
      </c>
      <c r="H406" s="5">
        <f>G406/F406-1</f>
        <v>0.0017418568193694473</v>
      </c>
      <c r="I406" s="5">
        <f>G406/E406-1</f>
        <v>0.06757007610915178</v>
      </c>
      <c r="J406" s="5">
        <v>-0.04908485856905165</v>
      </c>
      <c r="K406" s="4">
        <v>85353077214.81</v>
      </c>
    </row>
    <row r="407" spans="1:11">
      <c r="A407" s="1" t="s">
        <v>875</v>
      </c>
      <c r="B407" s="1" t="s">
        <v>876</v>
      </c>
      <c r="C407" s="1" t="s">
        <v>41</v>
      </c>
      <c r="D407" s="1" t="s">
        <v>42</v>
      </c>
      <c r="E407" s="4">
        <v>37.24</v>
      </c>
      <c r="F407" s="4">
        <v>37.87</v>
      </c>
      <c r="G407" s="4">
        <v>39.59</v>
      </c>
      <c r="H407" s="5">
        <f>G407/F407-1</f>
        <v>0.0454185371006075</v>
      </c>
      <c r="I407" s="5">
        <f>G407/E407-1</f>
        <v>0.0631041890440387</v>
      </c>
      <c r="J407" s="5">
        <v>-0.05558539205155744</v>
      </c>
      <c r="K407" s="4">
        <v>26009259552.56</v>
      </c>
    </row>
    <row r="408" spans="1:11">
      <c r="A408" s="1" t="s">
        <v>877</v>
      </c>
      <c r="B408" s="1" t="s">
        <v>878</v>
      </c>
      <c r="C408" s="1" t="s">
        <v>70</v>
      </c>
      <c r="D408" s="1" t="s">
        <v>100</v>
      </c>
      <c r="E408" s="4">
        <v>393.39</v>
      </c>
      <c r="F408" s="4">
        <v>384.19</v>
      </c>
      <c r="G408" s="4">
        <v>383</v>
      </c>
      <c r="H408" s="5">
        <f>G408/F408-1</f>
        <v>-0.003097425752882632</v>
      </c>
      <c r="I408" s="5">
        <f>G408/E408-1</f>
        <v>-0.026411449197996872</v>
      </c>
      <c r="J408" s="5">
        <v>-0.04249270403542327</v>
      </c>
      <c r="K408" s="4">
        <v>19811488492</v>
      </c>
    </row>
    <row r="409" spans="1:11">
      <c r="A409" s="1" t="s">
        <v>879</v>
      </c>
      <c r="B409" s="1" t="s">
        <v>880</v>
      </c>
      <c r="C409" s="1" t="s">
        <v>41</v>
      </c>
      <c r="D409" s="1" t="s">
        <v>42</v>
      </c>
      <c r="E409" s="4">
        <v>1596.08</v>
      </c>
      <c r="F409" s="4">
        <v>1554.99</v>
      </c>
      <c r="G409" s="4">
        <v>1740</v>
      </c>
      <c r="H409" s="5">
        <f>G409/F409-1</f>
        <v>0.11897825709490095</v>
      </c>
      <c r="I409" s="5">
        <f>G409/E409-1</f>
        <v>0.09017091875093985</v>
      </c>
      <c r="J409" s="5">
        <v>-0.07224575209262696</v>
      </c>
      <c r="K409" s="4">
        <v>254769061740</v>
      </c>
    </row>
    <row r="410" spans="1:11">
      <c r="A410" s="1" t="s">
        <v>881</v>
      </c>
      <c r="B410" s="1" t="s">
        <v>882</v>
      </c>
      <c r="C410" s="1" t="s">
        <v>41</v>
      </c>
      <c r="D410" s="1" t="s">
        <v>58</v>
      </c>
      <c r="E410" s="4">
        <v>397.87</v>
      </c>
      <c r="F410" s="4">
        <v>416.31</v>
      </c>
      <c r="G410" s="4">
        <v>393.84</v>
      </c>
      <c r="H410" s="5">
        <f>G410/F410-1</f>
        <v>-0.05397420191684088</v>
      </c>
      <c r="I410" s="5">
        <f>G410/E410-1</f>
        <v>-0.010128936587327608</v>
      </c>
      <c r="J410" s="5">
        <v>-0.1528318526963368</v>
      </c>
      <c r="K410" s="4">
        <v>75474176660.64</v>
      </c>
    </row>
    <row r="411" spans="1:11">
      <c r="A411" s="1" t="s">
        <v>883</v>
      </c>
      <c r="B411" s="1" t="s">
        <v>884</v>
      </c>
      <c r="C411" s="1" t="s">
        <v>76</v>
      </c>
      <c r="D411" s="1" t="s">
        <v>76</v>
      </c>
      <c r="E411" s="4">
        <v>88.94</v>
      </c>
      <c r="F411" s="4">
        <v>88.77</v>
      </c>
      <c r="G411" s="4">
        <v>88.11</v>
      </c>
      <c r="H411" s="5">
        <f>G411/F411-1</f>
        <v>-0.0074349442379181285</v>
      </c>
      <c r="I411" s="5">
        <f>G411/E411-1</f>
        <v>-0.009332134022936756</v>
      </c>
      <c r="J411" s="5">
        <v>-0.02330743618201991</v>
      </c>
      <c r="K411" s="4">
        <v>99416259780.75</v>
      </c>
    </row>
    <row r="412" spans="1:11">
      <c r="A412" s="1" t="s">
        <v>885</v>
      </c>
      <c r="B412" s="1" t="s">
        <v>886</v>
      </c>
      <c r="C412" s="1" t="s">
        <v>37</v>
      </c>
      <c r="D412" s="1" t="s">
        <v>51</v>
      </c>
      <c r="E412" s="4">
        <v>89.56999999999999</v>
      </c>
      <c r="F412" s="4">
        <v>92.44</v>
      </c>
      <c r="G412" s="4">
        <v>91.69</v>
      </c>
      <c r="H412" s="5">
        <f>G412/F412-1</f>
        <v>-0.008113370835136302</v>
      </c>
      <c r="I412" s="5">
        <f>G412/E412-1</f>
        <v>0.02366863905325456</v>
      </c>
      <c r="J412" s="5">
        <v>-0.008113370835136302</v>
      </c>
      <c r="K412" s="4">
        <v>15607813712.01</v>
      </c>
    </row>
    <row r="413" spans="1:11">
      <c r="A413" s="1" t="s">
        <v>887</v>
      </c>
      <c r="B413" s="1" t="s">
        <v>888</v>
      </c>
      <c r="C413" s="1" t="s">
        <v>116</v>
      </c>
      <c r="D413" s="1" t="s">
        <v>117</v>
      </c>
      <c r="E413" s="4">
        <v>218.29</v>
      </c>
      <c r="F413" s="4">
        <v>211.52</v>
      </c>
      <c r="G413" s="4">
        <v>209.44</v>
      </c>
      <c r="H413" s="5">
        <f>G413/F413-1</f>
        <v>-0.009833585476550777</v>
      </c>
      <c r="I413" s="5">
        <f>G413/E413-1</f>
        <v>-0.04054239772779333</v>
      </c>
      <c r="J413" s="5">
        <v>-0.05114846192180489</v>
      </c>
      <c r="K413" s="4">
        <v>67766304821.60001</v>
      </c>
    </row>
    <row r="414" spans="1:11">
      <c r="A414" s="1" t="s">
        <v>889</v>
      </c>
      <c r="B414" s="1" t="s">
        <v>890</v>
      </c>
      <c r="C414" s="1" t="s">
        <v>54</v>
      </c>
      <c r="D414" s="1" t="s">
        <v>113</v>
      </c>
      <c r="E414" s="4">
        <v>431.29</v>
      </c>
      <c r="F414" s="4">
        <v>450.58</v>
      </c>
      <c r="G414" s="4">
        <v>443.51</v>
      </c>
      <c r="H414" s="5">
        <f>G414/F414-1</f>
        <v>-0.01569088730081225</v>
      </c>
      <c r="I414" s="5">
        <f>G414/E414-1</f>
        <v>0.028333603839643784</v>
      </c>
      <c r="J414" s="5">
        <v>-0.02524328840118317</v>
      </c>
      <c r="K414" s="4">
        <v>133940020000</v>
      </c>
    </row>
    <row r="415" spans="1:11">
      <c r="A415" s="1" t="s">
        <v>891</v>
      </c>
      <c r="B415" s="1" t="s">
        <v>892</v>
      </c>
      <c r="C415" s="1" t="s">
        <v>76</v>
      </c>
      <c r="D415" s="1" t="s">
        <v>76</v>
      </c>
      <c r="E415" s="4">
        <v>82.89</v>
      </c>
      <c r="F415" s="4">
        <v>84.56999999999999</v>
      </c>
      <c r="G415" s="4">
        <v>84.04000000000001</v>
      </c>
      <c r="H415" s="5">
        <f>G415/F415-1</f>
        <v>-0.006266997753340275</v>
      </c>
      <c r="I415" s="5">
        <f>G415/E415-1</f>
        <v>0.013873808662082432</v>
      </c>
      <c r="J415" s="5">
        <v>-0.04197936210131326</v>
      </c>
      <c r="K415" s="4">
        <v>54953785245.92001</v>
      </c>
    </row>
    <row r="416" spans="1:11">
      <c r="A416" s="1" t="s">
        <v>893</v>
      </c>
      <c r="B416" s="1" t="s">
        <v>894</v>
      </c>
      <c r="C416" s="1" t="s">
        <v>37</v>
      </c>
      <c r="D416" s="1" t="s">
        <v>51</v>
      </c>
      <c r="E416" s="4">
        <v>237.93</v>
      </c>
      <c r="F416" s="4">
        <v>226.83</v>
      </c>
      <c r="G416" s="4">
        <v>224.59</v>
      </c>
      <c r="H416" s="5">
        <f>G416/F416-1</f>
        <v>-0.009875236961601197</v>
      </c>
      <c r="I416" s="5">
        <f>G416/E416-1</f>
        <v>-0.05606691043584244</v>
      </c>
      <c r="J416" s="5">
        <v>-0.05606691043584244</v>
      </c>
      <c r="K416" s="4">
        <v>21897549704.9</v>
      </c>
    </row>
    <row r="417" spans="1:11">
      <c r="A417" s="1" t="s">
        <v>895</v>
      </c>
      <c r="B417" s="1" t="s">
        <v>896</v>
      </c>
      <c r="C417" s="1" t="s">
        <v>93</v>
      </c>
      <c r="D417" s="1" t="s">
        <v>93</v>
      </c>
      <c r="E417" s="4">
        <v>228.68</v>
      </c>
      <c r="F417" s="4">
        <v>246.03</v>
      </c>
      <c r="G417" s="4">
        <v>242.06</v>
      </c>
      <c r="H417" s="5">
        <f>G417/F417-1</f>
        <v>-0.016136243547534845</v>
      </c>
      <c r="I417" s="5">
        <f>G417/E417-1</f>
        <v>0.05850970788875287</v>
      </c>
      <c r="J417" s="5">
        <v>-0.02253270877079627</v>
      </c>
      <c r="K417" s="4">
        <v>34693996981.28001</v>
      </c>
    </row>
    <row r="418" spans="1:11">
      <c r="A418" s="1" t="s">
        <v>897</v>
      </c>
      <c r="B418" s="1" t="s">
        <v>898</v>
      </c>
      <c r="C418" s="1" t="s">
        <v>54</v>
      </c>
      <c r="D418" s="1" t="s">
        <v>113</v>
      </c>
      <c r="E418" s="4">
        <v>187.13</v>
      </c>
      <c r="F418" s="4">
        <v>193.94</v>
      </c>
      <c r="G418" s="4">
        <v>194.26</v>
      </c>
      <c r="H418" s="5">
        <f>G418/F418-1</f>
        <v>0.001649994843766045</v>
      </c>
      <c r="I418" s="5">
        <f>G418/E418-1</f>
        <v>0.038101854325869766</v>
      </c>
      <c r="J418" s="5">
        <v>-0.03011052577213102</v>
      </c>
      <c r="K418" s="4">
        <v>53363564868.9</v>
      </c>
    </row>
    <row r="419" spans="1:11">
      <c r="A419" s="1" t="s">
        <v>899</v>
      </c>
      <c r="B419" s="1" t="s">
        <v>900</v>
      </c>
      <c r="C419" s="1" t="s">
        <v>41</v>
      </c>
      <c r="D419" s="1" t="s">
        <v>42</v>
      </c>
      <c r="E419" s="4">
        <v>850</v>
      </c>
      <c r="F419" s="4">
        <v>798.61</v>
      </c>
      <c r="G419" s="4">
        <v>849.28</v>
      </c>
      <c r="H419" s="5">
        <f>G419/F419-1</f>
        <v>0.06344774044903012</v>
      </c>
      <c r="I419" s="5">
        <f>G419/E419-1</f>
        <v>-0.000847058823529423</v>
      </c>
      <c r="J419" s="5">
        <v>-0.0651176470588235</v>
      </c>
      <c r="K419" s="4">
        <v>192486580715.52</v>
      </c>
    </row>
    <row r="420" spans="1:11">
      <c r="A420" s="1" t="s">
        <v>901</v>
      </c>
      <c r="B420" s="1" t="s">
        <v>902</v>
      </c>
      <c r="C420" s="1" t="s">
        <v>66</v>
      </c>
      <c r="D420" s="1" t="s">
        <v>67</v>
      </c>
      <c r="E420" s="4">
        <v>135.66</v>
      </c>
      <c r="F420" s="4">
        <v>129.09</v>
      </c>
      <c r="G420" s="4">
        <v>128.18</v>
      </c>
      <c r="H420" s="5">
        <f>G420/F420-1</f>
        <v>-0.007049345417925457</v>
      </c>
      <c r="I420" s="5">
        <f>G420/E420-1</f>
        <v>-0.05513784461152871</v>
      </c>
      <c r="J420" s="5">
        <v>-0.06845930232558128</v>
      </c>
      <c r="K420" s="4">
        <v>21890451579.1</v>
      </c>
    </row>
    <row r="421" spans="1:11">
      <c r="A421" s="1" t="s">
        <v>903</v>
      </c>
      <c r="B421" s="1" t="s">
        <v>904</v>
      </c>
      <c r="C421" s="1" t="s">
        <v>93</v>
      </c>
      <c r="D421" s="1" t="s">
        <v>93</v>
      </c>
      <c r="E421" s="4">
        <v>49.39</v>
      </c>
      <c r="F421" s="4">
        <v>45.26</v>
      </c>
      <c r="G421" s="4">
        <v>45.83</v>
      </c>
      <c r="H421" s="5">
        <f>G421/F421-1</f>
        <v>0.012593901900132654</v>
      </c>
      <c r="I421" s="5">
        <f>G421/E421-1</f>
        <v>-0.07207936829317685</v>
      </c>
      <c r="J421" s="5">
        <v>-0.08676351896690893</v>
      </c>
      <c r="K421" s="4">
        <v>24038884873.64</v>
      </c>
    </row>
    <row r="422" spans="1:11">
      <c r="A422" s="1" t="s">
        <v>905</v>
      </c>
      <c r="B422" s="1" t="s">
        <v>906</v>
      </c>
      <c r="C422" s="1" t="s">
        <v>70</v>
      </c>
      <c r="D422" s="1" t="s">
        <v>100</v>
      </c>
      <c r="E422" s="4">
        <v>100.02</v>
      </c>
      <c r="F422" s="4">
        <v>96.5</v>
      </c>
      <c r="G422" s="4">
        <v>97.36</v>
      </c>
      <c r="H422" s="5">
        <f>G422/F422-1</f>
        <v>0.008911917098445521</v>
      </c>
      <c r="I422" s="5">
        <f>G422/E422-1</f>
        <v>-0.026594681063787262</v>
      </c>
      <c r="J422" s="5">
        <v>-0.05508898220355918</v>
      </c>
      <c r="K422" s="4">
        <v>14702980167.76</v>
      </c>
    </row>
    <row r="423" spans="1:11">
      <c r="A423" s="1" t="s">
        <v>907</v>
      </c>
      <c r="B423" s="1" t="s">
        <v>908</v>
      </c>
      <c r="C423" s="1" t="s">
        <v>41</v>
      </c>
      <c r="D423" s="1" t="s">
        <v>63</v>
      </c>
      <c r="E423" s="4">
        <v>67.14</v>
      </c>
      <c r="F423" s="4">
        <v>71.5</v>
      </c>
      <c r="G423" s="4">
        <v>74.02</v>
      </c>
      <c r="H423" s="5">
        <f>G423/F423-1</f>
        <v>0.03524475524475523</v>
      </c>
      <c r="I423" s="5">
        <f>G423/E423-1</f>
        <v>0.10247244563598445</v>
      </c>
      <c r="J423" s="5">
        <v>-0.02330760095011863</v>
      </c>
      <c r="K423" s="4">
        <v>11137995323.64</v>
      </c>
    </row>
    <row r="424" spans="1:11">
      <c r="A424" s="1" t="s">
        <v>909</v>
      </c>
      <c r="B424" s="1" t="s">
        <v>910</v>
      </c>
      <c r="C424" s="1" t="s">
        <v>54</v>
      </c>
      <c r="D424" s="1" t="s">
        <v>113</v>
      </c>
      <c r="E424" s="4">
        <v>79.47</v>
      </c>
      <c r="F424" s="4">
        <v>79.84999999999999</v>
      </c>
      <c r="G424" s="4">
        <v>79.92</v>
      </c>
      <c r="H424" s="5">
        <f>G424/F424-1</f>
        <v>0.0008766437069507305</v>
      </c>
      <c r="I424" s="5">
        <f>G424/E424-1</f>
        <v>0.005662514156285381</v>
      </c>
      <c r="J424" s="5">
        <v>-0.05138046304320898</v>
      </c>
      <c r="K424" s="4">
        <v>26003689560.72</v>
      </c>
    </row>
    <row r="425" spans="1:11">
      <c r="A425" s="1" t="s">
        <v>911</v>
      </c>
      <c r="B425" s="1" t="s">
        <v>912</v>
      </c>
      <c r="C425" s="1" t="s">
        <v>37</v>
      </c>
      <c r="D425" s="1" t="s">
        <v>51</v>
      </c>
      <c r="E425" s="4">
        <v>329.45</v>
      </c>
      <c r="F425" s="4">
        <v>307.99</v>
      </c>
      <c r="G425" s="4">
        <v>303.13</v>
      </c>
      <c r="H425" s="5">
        <f>G425/F425-1</f>
        <v>-0.015779733108217897</v>
      </c>
      <c r="I425" s="5">
        <f>G425/E425-1</f>
        <v>-0.07989072696919108</v>
      </c>
      <c r="J425" s="5">
        <v>-0.08334089328374006</v>
      </c>
      <c r="K425" s="4">
        <v>116272497433.98</v>
      </c>
    </row>
    <row r="426" spans="1:11">
      <c r="A426" s="1" t="s">
        <v>913</v>
      </c>
      <c r="B426" s="1" t="s">
        <v>914</v>
      </c>
      <c r="C426" s="1" t="s">
        <v>66</v>
      </c>
      <c r="D426" s="1" t="s">
        <v>214</v>
      </c>
      <c r="E426" s="4">
        <v>84.09999999999999</v>
      </c>
      <c r="F426" s="4">
        <v>81.08</v>
      </c>
      <c r="G426" s="4">
        <v>80.05</v>
      </c>
      <c r="H426" s="5">
        <f>G426/F426-1</f>
        <v>-0.012703502713369508</v>
      </c>
      <c r="I426" s="5">
        <f>G426/E426-1</f>
        <v>-0.048156956004756224</v>
      </c>
      <c r="J426" s="5">
        <v>-0.04815695600475622</v>
      </c>
      <c r="K426" s="4">
        <v>38278594298.2</v>
      </c>
    </row>
    <row r="427" spans="1:11">
      <c r="A427" s="1" t="s">
        <v>915</v>
      </c>
      <c r="B427" s="1" t="s">
        <v>916</v>
      </c>
      <c r="C427" s="1" t="s">
        <v>138</v>
      </c>
      <c r="D427" s="1" t="s">
        <v>258</v>
      </c>
      <c r="E427" s="4">
        <v>25.29</v>
      </c>
      <c r="F427" s="4">
        <v>26.19</v>
      </c>
      <c r="G427" s="4">
        <v>25.68</v>
      </c>
      <c r="H427" s="5">
        <f>G427/F427-1</f>
        <v>-0.019473081328751474</v>
      </c>
      <c r="I427" s="5">
        <f>G427/E427-1</f>
        <v>0.01542111506524324</v>
      </c>
      <c r="J427" s="5">
        <v>-0.01947308132875147</v>
      </c>
      <c r="K427" s="4">
        <v>175969263492</v>
      </c>
    </row>
    <row r="428" spans="1:11">
      <c r="A428" s="1" t="s">
        <v>917</v>
      </c>
      <c r="B428" s="1" t="s">
        <v>918</v>
      </c>
      <c r="C428" s="1" t="s">
        <v>66</v>
      </c>
      <c r="D428" s="1" t="s">
        <v>67</v>
      </c>
      <c r="E428" s="4">
        <v>42.94</v>
      </c>
      <c r="F428" s="4">
        <v>40.57</v>
      </c>
      <c r="G428" s="4">
        <v>40.5</v>
      </c>
      <c r="H428" s="5">
        <f>G428/F428-1</f>
        <v>-0.0017254128666502888</v>
      </c>
      <c r="I428" s="5">
        <f>G428/E428-1</f>
        <v>-0.056823474615742886</v>
      </c>
      <c r="J428" s="5">
        <v>-0.0751337520353571</v>
      </c>
      <c r="K428" s="4">
        <v>7606957470.71</v>
      </c>
    </row>
    <row r="429" spans="1:11">
      <c r="A429" s="1" t="s">
        <v>919</v>
      </c>
      <c r="B429" s="1" t="s">
        <v>920</v>
      </c>
      <c r="C429" s="1" t="s">
        <v>70</v>
      </c>
      <c r="D429" s="1" t="s">
        <v>100</v>
      </c>
      <c r="E429" s="4">
        <v>1200.35</v>
      </c>
      <c r="F429" s="4">
        <v>1157.83</v>
      </c>
      <c r="G429" s="4">
        <v>1162.05</v>
      </c>
      <c r="H429" s="5">
        <f>G429/F429-1</f>
        <v>0.0036447492291615813</v>
      </c>
      <c r="I429" s="5">
        <f>G429/E429-1</f>
        <v>-0.031907360353230274</v>
      </c>
      <c r="J429" s="5">
        <v>-0.04416516163239603</v>
      </c>
      <c r="K429" s="4">
        <v>64234085876.25</v>
      </c>
    </row>
    <row r="430" spans="1:11">
      <c r="A430" s="1" t="s">
        <v>921</v>
      </c>
      <c r="B430" s="1" t="s">
        <v>922</v>
      </c>
      <c r="C430" s="1" t="s">
        <v>41</v>
      </c>
      <c r="D430" s="1" t="s">
        <v>42</v>
      </c>
      <c r="E430" s="4">
        <v>636.15</v>
      </c>
      <c r="F430" s="4">
        <v>607.87</v>
      </c>
      <c r="G430" s="4">
        <v>610.65</v>
      </c>
      <c r="H430" s="5">
        <f>G430/F430-1</f>
        <v>0.0045733462746968545</v>
      </c>
      <c r="I430" s="5">
        <f>G430/E430-1</f>
        <v>-0.0400848856401792</v>
      </c>
      <c r="J430" s="5">
        <v>-0.04682857816552699</v>
      </c>
      <c r="K430" s="4">
        <v>28307091717.45</v>
      </c>
    </row>
    <row r="431" spans="1:11">
      <c r="A431" s="1" t="s">
        <v>923</v>
      </c>
      <c r="B431" s="1" t="s">
        <v>924</v>
      </c>
      <c r="C431" s="1" t="s">
        <v>37</v>
      </c>
      <c r="D431" s="1" t="s">
        <v>38</v>
      </c>
      <c r="E431" s="4">
        <v>72.31999999999999</v>
      </c>
      <c r="F431" s="4">
        <v>72.45</v>
      </c>
      <c r="G431" s="4">
        <v>72.43000000000001</v>
      </c>
      <c r="H431" s="5">
        <f>G431/F431-1</f>
        <v>-0.0002760524499654249</v>
      </c>
      <c r="I431" s="5">
        <f>G431/E431-1</f>
        <v>0.001521017699115168</v>
      </c>
      <c r="J431" s="5">
        <v>-0.004001655857596154</v>
      </c>
      <c r="K431" s="4">
        <v>11358344978.34</v>
      </c>
    </row>
    <row r="432" spans="1:11">
      <c r="A432" s="1" t="s">
        <v>925</v>
      </c>
      <c r="B432" s="1" t="s">
        <v>926</v>
      </c>
      <c r="C432" s="1" t="s">
        <v>41</v>
      </c>
      <c r="D432" s="1" t="s">
        <v>42</v>
      </c>
      <c r="E432" s="4">
        <v>203.52</v>
      </c>
      <c r="F432" s="4">
        <v>209.41</v>
      </c>
      <c r="G432" s="4">
        <v>208.65</v>
      </c>
      <c r="H432" s="5">
        <f>G432/F432-1</f>
        <v>-0.0036292440666634285</v>
      </c>
      <c r="I432" s="5">
        <f>G432/E432-1</f>
        <v>0.02520636792452824</v>
      </c>
      <c r="J432" s="5">
        <v>-0.02783653846153844</v>
      </c>
      <c r="K432" s="4">
        <v>60406935022.2</v>
      </c>
    </row>
    <row r="433" spans="1:11">
      <c r="A433" s="1" t="s">
        <v>927</v>
      </c>
      <c r="B433" s="1" t="s">
        <v>928</v>
      </c>
      <c r="C433" s="1" t="s">
        <v>41</v>
      </c>
      <c r="D433" s="1" t="s">
        <v>63</v>
      </c>
      <c r="E433" s="4">
        <v>375.74</v>
      </c>
      <c r="F433" s="4">
        <v>338.59</v>
      </c>
      <c r="G433" s="4">
        <v>357.03</v>
      </c>
      <c r="H433" s="5">
        <f>G433/F433-1</f>
        <v>0.05446114770075905</v>
      </c>
      <c r="I433" s="5">
        <f>G433/E433-1</f>
        <v>-0.04979507105977543</v>
      </c>
      <c r="J433" s="5">
        <v>-0.1072017884707511</v>
      </c>
      <c r="K433" s="4">
        <v>55818337972.5</v>
      </c>
    </row>
    <row r="434" spans="1:11">
      <c r="A434" s="1" t="s">
        <v>929</v>
      </c>
      <c r="B434" s="1" t="s">
        <v>930</v>
      </c>
      <c r="C434" s="1" t="s">
        <v>54</v>
      </c>
      <c r="D434" s="1" t="s">
        <v>165</v>
      </c>
      <c r="E434" s="4">
        <v>50.42</v>
      </c>
      <c r="F434" s="4">
        <v>51.61</v>
      </c>
      <c r="G434" s="4">
        <v>51.65</v>
      </c>
      <c r="H434" s="5">
        <f>G434/F434-1</f>
        <v>0.000775043596202174</v>
      </c>
      <c r="I434" s="5">
        <f>G434/E434-1</f>
        <v>0.024395081316937572</v>
      </c>
      <c r="J434" s="5">
        <v>-0.02696319622121635</v>
      </c>
      <c r="K434" s="4">
        <v>63096992610.2</v>
      </c>
    </row>
    <row r="435" spans="1:11">
      <c r="A435" s="1" t="s">
        <v>931</v>
      </c>
      <c r="B435" s="1" t="s">
        <v>932</v>
      </c>
      <c r="C435" s="1" t="s">
        <v>66</v>
      </c>
      <c r="D435" s="1" t="s">
        <v>214</v>
      </c>
      <c r="E435" s="4">
        <v>165.44</v>
      </c>
      <c r="F435" s="4">
        <v>164.01</v>
      </c>
      <c r="G435" s="4">
        <v>164.44</v>
      </c>
      <c r="H435" s="5">
        <f>G435/F435-1</f>
        <v>0.0026217913541857207</v>
      </c>
      <c r="I435" s="5">
        <f>G435/E435-1</f>
        <v>-0.006044487427466105</v>
      </c>
      <c r="J435" s="5">
        <v>-0.05303431632232614</v>
      </c>
      <c r="K435" s="4">
        <v>74704555267.84</v>
      </c>
    </row>
    <row r="436" spans="1:11">
      <c r="A436" s="1" t="s">
        <v>933</v>
      </c>
      <c r="B436" s="1" t="s">
        <v>934</v>
      </c>
      <c r="C436" s="1" t="s">
        <v>47</v>
      </c>
      <c r="D436" s="1" t="s">
        <v>120</v>
      </c>
      <c r="E436" s="4">
        <v>140.53</v>
      </c>
      <c r="F436" s="4">
        <v>132.19</v>
      </c>
      <c r="G436" s="4">
        <v>132.08</v>
      </c>
      <c r="H436" s="5">
        <f>G436/F436-1</f>
        <v>-0.0008321355624478777</v>
      </c>
      <c r="I436" s="5">
        <f>G436/E436-1</f>
        <v>-0.06012950971322839</v>
      </c>
      <c r="J436" s="5">
        <v>-0.0668040650984294</v>
      </c>
      <c r="K436" s="4">
        <v>145284573976.88</v>
      </c>
    </row>
    <row r="437" spans="1:11">
      <c r="A437" s="1" t="s">
        <v>935</v>
      </c>
      <c r="B437" s="1" t="s">
        <v>936</v>
      </c>
      <c r="C437" s="1" t="s">
        <v>138</v>
      </c>
      <c r="D437" s="1" t="s">
        <v>139</v>
      </c>
      <c r="E437" s="4">
        <v>193.14</v>
      </c>
      <c r="F437" s="4">
        <v>189.42</v>
      </c>
      <c r="G437" s="4">
        <v>186.01</v>
      </c>
      <c r="H437" s="5">
        <f>G437/F437-1</f>
        <v>-0.018002322880371624</v>
      </c>
      <c r="I437" s="5">
        <f>G437/E437-1</f>
        <v>-0.036916226571398925</v>
      </c>
      <c r="J437" s="5">
        <v>-0.05764657222624325</v>
      </c>
      <c r="K437" s="4">
        <v>35206059315.13</v>
      </c>
    </row>
    <row r="438" spans="1:11">
      <c r="A438" s="1" t="s">
        <v>937</v>
      </c>
      <c r="B438" s="1" t="s">
        <v>938</v>
      </c>
      <c r="C438" s="1" t="s">
        <v>37</v>
      </c>
      <c r="D438" s="1" t="s">
        <v>38</v>
      </c>
      <c r="E438" s="4">
        <v>629.27</v>
      </c>
      <c r="F438" s="4">
        <v>618.4299999999999</v>
      </c>
      <c r="G438" s="4">
        <v>613.78</v>
      </c>
      <c r="H438" s="5">
        <f>G438/F438-1</f>
        <v>-0.007519040150057332</v>
      </c>
      <c r="I438" s="5">
        <f>G438/E438-1</f>
        <v>-0.024615824685746968</v>
      </c>
      <c r="J438" s="5">
        <v>-0.05240567451989087</v>
      </c>
      <c r="K438" s="4">
        <v>226943489201.08</v>
      </c>
    </row>
    <row r="439" spans="1:11">
      <c r="A439" s="1" t="s">
        <v>939</v>
      </c>
      <c r="B439" s="1" t="s">
        <v>940</v>
      </c>
      <c r="C439" s="1" t="s">
        <v>138</v>
      </c>
      <c r="D439" s="1" t="s">
        <v>258</v>
      </c>
      <c r="E439" s="4">
        <v>183.04</v>
      </c>
      <c r="F439" s="4">
        <v>188.02</v>
      </c>
      <c r="G439" s="4">
        <v>181.52</v>
      </c>
      <c r="H439" s="5">
        <f>G439/F439-1</f>
        <v>-0.03457079034145305</v>
      </c>
      <c r="I439" s="5">
        <f>G439/E439-1</f>
        <v>-0.008304195804195724</v>
      </c>
      <c r="J439" s="5">
        <v>-0.03457079034145305</v>
      </c>
      <c r="K439" s="4">
        <v>194712519454.48</v>
      </c>
    </row>
    <row r="440" spans="1:11">
      <c r="A440" s="1" t="s">
        <v>941</v>
      </c>
      <c r="B440" s="1" t="s">
        <v>942</v>
      </c>
      <c r="C440" s="1" t="s">
        <v>129</v>
      </c>
      <c r="D440" s="1" t="s">
        <v>129</v>
      </c>
      <c r="E440" s="4">
        <v>383.64</v>
      </c>
      <c r="F440" s="4">
        <v>366.5</v>
      </c>
      <c r="G440" s="4">
        <v>362.42</v>
      </c>
      <c r="H440" s="5">
        <f>G440/F440-1</f>
        <v>-0.011132332878581175</v>
      </c>
      <c r="I440" s="5">
        <f>G440/E440-1</f>
        <v>-0.05531227192159305</v>
      </c>
      <c r="J440" s="5">
        <v>-0.05531227192159305</v>
      </c>
      <c r="K440" s="4">
        <v>24997804612.86</v>
      </c>
    </row>
    <row r="441" spans="1:11">
      <c r="A441" s="1" t="s">
        <v>943</v>
      </c>
      <c r="B441" s="1" t="s">
        <v>944</v>
      </c>
      <c r="C441" s="1" t="s">
        <v>47</v>
      </c>
      <c r="D441" s="1" t="s">
        <v>331</v>
      </c>
      <c r="E441" s="4">
        <v>130.17</v>
      </c>
      <c r="F441" s="4">
        <v>122.6</v>
      </c>
      <c r="G441" s="4">
        <v>122.14</v>
      </c>
      <c r="H441" s="5">
        <f>G441/F441-1</f>
        <v>-0.0037520391517128493</v>
      </c>
      <c r="I441" s="5">
        <f>G441/E441-1</f>
        <v>-0.061688561112391405</v>
      </c>
      <c r="J441" s="5">
        <v>-0.0758171912832929</v>
      </c>
      <c r="K441" s="4">
        <v>24353699550.92</v>
      </c>
    </row>
    <row r="442" spans="1:11">
      <c r="A442" s="1" t="s">
        <v>945</v>
      </c>
      <c r="B442" s="1" t="s">
        <v>946</v>
      </c>
      <c r="C442" s="1" t="s">
        <v>129</v>
      </c>
      <c r="D442" s="1" t="s">
        <v>129</v>
      </c>
      <c r="E442" s="4">
        <v>299.1</v>
      </c>
      <c r="F442" s="4">
        <v>293.54</v>
      </c>
      <c r="G442" s="4">
        <v>290.05</v>
      </c>
      <c r="H442" s="5">
        <f>G442/F442-1</f>
        <v>-0.011889350684744837</v>
      </c>
      <c r="I442" s="5">
        <f>G442/E442-1</f>
        <v>-0.030257438983617546</v>
      </c>
      <c r="J442" s="5">
        <v>-0.04075560013373447</v>
      </c>
      <c r="K442" s="4">
        <v>62195717641.05</v>
      </c>
    </row>
    <row r="443" spans="1:11">
      <c r="A443" s="1" t="s">
        <v>947</v>
      </c>
      <c r="B443" s="1" t="s">
        <v>948</v>
      </c>
      <c r="C443" s="1" t="s">
        <v>41</v>
      </c>
      <c r="D443" s="1" t="s">
        <v>58</v>
      </c>
      <c r="E443" s="4">
        <v>60.25</v>
      </c>
      <c r="F443" s="4">
        <v>60.1</v>
      </c>
      <c r="G443" s="4">
        <v>59.47</v>
      </c>
      <c r="H443" s="5">
        <f>G443/F443-1</f>
        <v>-0.010482529118136519</v>
      </c>
      <c r="I443" s="5">
        <f>G443/E443-1</f>
        <v>-0.01294605809128635</v>
      </c>
      <c r="J443" s="5">
        <v>-0.04224894377640565</v>
      </c>
      <c r="K443" s="4">
        <v>13867205560.56</v>
      </c>
    </row>
    <row r="444" spans="1:11">
      <c r="A444" s="1" t="s">
        <v>949</v>
      </c>
      <c r="B444" s="1" t="s">
        <v>950</v>
      </c>
      <c r="C444" s="1" t="s">
        <v>54</v>
      </c>
      <c r="D444" s="1" t="s">
        <v>113</v>
      </c>
      <c r="E444" s="4">
        <v>111.51</v>
      </c>
      <c r="F444" s="4">
        <v>110.88</v>
      </c>
      <c r="G444" s="4">
        <v>109.78</v>
      </c>
      <c r="H444" s="5">
        <f>G444/F444-1</f>
        <v>-0.009920634920634885</v>
      </c>
      <c r="I444" s="5">
        <f>G444/E444-1</f>
        <v>-0.015514303649896921</v>
      </c>
      <c r="J444" s="5">
        <v>-0.03450872685390283</v>
      </c>
      <c r="K444" s="4">
        <v>23417814013</v>
      </c>
    </row>
    <row r="445" spans="1:11">
      <c r="A445" s="1" t="s">
        <v>951</v>
      </c>
      <c r="B445" s="1" t="s">
        <v>952</v>
      </c>
      <c r="C445" s="1" t="s">
        <v>54</v>
      </c>
      <c r="D445" s="1" t="s">
        <v>55</v>
      </c>
      <c r="E445" s="4">
        <v>363.58</v>
      </c>
      <c r="F445" s="4">
        <v>374.34</v>
      </c>
      <c r="G445" s="4">
        <v>369.35</v>
      </c>
      <c r="H445" s="5">
        <f>G445/F445-1</f>
        <v>-0.013330127691403404</v>
      </c>
      <c r="I445" s="5">
        <f>G445/E445-1</f>
        <v>0.015869959843775927</v>
      </c>
      <c r="J445" s="5">
        <v>-0.01947999461134298</v>
      </c>
      <c r="K445" s="4">
        <v>77037184375.7</v>
      </c>
    </row>
    <row r="446" spans="1:11">
      <c r="A446" s="1" t="s">
        <v>953</v>
      </c>
      <c r="B446" s="1" t="s">
        <v>954</v>
      </c>
      <c r="C446" s="1" t="s">
        <v>47</v>
      </c>
      <c r="D446" s="1" t="s">
        <v>120</v>
      </c>
      <c r="E446" s="4">
        <v>34.98</v>
      </c>
      <c r="F446" s="4">
        <v>34.6</v>
      </c>
      <c r="G446" s="4">
        <v>34.99</v>
      </c>
      <c r="H446" s="5">
        <f>G446/F446-1</f>
        <v>0.011271676300578015</v>
      </c>
      <c r="I446" s="5">
        <f>G446/E446-1</f>
        <v>0.0002858776443683819</v>
      </c>
      <c r="J446" s="5">
        <v>-0.03674832962138086</v>
      </c>
      <c r="K446" s="4">
        <v>18231194393.63</v>
      </c>
    </row>
    <row r="447" spans="1:11">
      <c r="A447" s="1" t="s">
        <v>955</v>
      </c>
      <c r="B447" s="1" t="s">
        <v>956</v>
      </c>
      <c r="C447" s="1" t="s">
        <v>47</v>
      </c>
      <c r="D447" s="1" t="s">
        <v>142</v>
      </c>
      <c r="E447" s="4">
        <v>362.86</v>
      </c>
      <c r="F447" s="4">
        <v>376.365</v>
      </c>
      <c r="G447" s="4">
        <v>354.08</v>
      </c>
      <c r="H447" s="5">
        <f>G447/F447-1</f>
        <v>-0.05921113812389578</v>
      </c>
      <c r="I447" s="5">
        <f>G447/E447-1</f>
        <v>-0.024196659868820025</v>
      </c>
      <c r="J447" s="5">
        <v>-0.05921113812389578</v>
      </c>
      <c r="K447" s="4">
        <v>1398455741267.52</v>
      </c>
    </row>
    <row r="448" spans="1:11">
      <c r="A448" s="1" t="s">
        <v>957</v>
      </c>
      <c r="B448" s="1" t="s">
        <v>958</v>
      </c>
      <c r="C448" s="1" t="s">
        <v>66</v>
      </c>
      <c r="D448" s="1" t="s">
        <v>67</v>
      </c>
      <c r="E448" s="4">
        <v>58.48</v>
      </c>
      <c r="F448" s="4">
        <v>51.76</v>
      </c>
      <c r="G448" s="4">
        <v>51.42</v>
      </c>
      <c r="H448" s="5">
        <f>G448/F448-1</f>
        <v>-0.006568778979907153</v>
      </c>
      <c r="I448" s="5">
        <f>G448/E448-1</f>
        <v>-0.12072503419972636</v>
      </c>
      <c r="J448" s="5">
        <v>-0.1207250341997264</v>
      </c>
      <c r="K448" s="4">
        <v>18089633747.04</v>
      </c>
    </row>
    <row r="449" spans="1:11">
      <c r="A449" s="1" t="s">
        <v>959</v>
      </c>
      <c r="B449" s="1" t="s">
        <v>960</v>
      </c>
      <c r="C449" s="1" t="s">
        <v>70</v>
      </c>
      <c r="D449" s="1" t="s">
        <v>100</v>
      </c>
      <c r="E449" s="4">
        <v>453.43</v>
      </c>
      <c r="F449" s="4">
        <v>445.19</v>
      </c>
      <c r="G449" s="4">
        <v>447.9</v>
      </c>
      <c r="H449" s="5">
        <f>G449/F449-1</f>
        <v>0.006087288573418004</v>
      </c>
      <c r="I449" s="5">
        <f>G449/E449-1</f>
        <v>-0.012195928809298096</v>
      </c>
      <c r="J449" s="5">
        <v>-0.05261113508847648</v>
      </c>
      <c r="K449" s="4">
        <v>98548380978.3</v>
      </c>
    </row>
    <row r="450" spans="1:11">
      <c r="A450" s="1" t="s">
        <v>961</v>
      </c>
      <c r="B450" s="1" t="s">
        <v>962</v>
      </c>
      <c r="C450" s="1" t="s">
        <v>138</v>
      </c>
      <c r="D450" s="1" t="s">
        <v>139</v>
      </c>
      <c r="E450" s="4">
        <v>13.18</v>
      </c>
      <c r="F450" s="4">
        <v>15.09</v>
      </c>
      <c r="G450" s="4">
        <v>14.43</v>
      </c>
      <c r="H450" s="5">
        <f>G450/F450-1</f>
        <v>-0.0437375745526839</v>
      </c>
      <c r="I450" s="5">
        <f>G450/E450-1</f>
        <v>0.09484066767830046</v>
      </c>
      <c r="J450" s="5">
        <v>-0.0437375745526839</v>
      </c>
      <c r="K450" s="4">
        <v>6780371199.42</v>
      </c>
    </row>
    <row r="451" spans="1:11">
      <c r="A451" s="1" t="s">
        <v>963</v>
      </c>
      <c r="B451" s="1" t="s">
        <v>964</v>
      </c>
      <c r="C451" s="1" t="s">
        <v>138</v>
      </c>
      <c r="D451" s="1" t="s">
        <v>139</v>
      </c>
      <c r="E451" s="4">
        <v>239.62</v>
      </c>
      <c r="F451" s="4">
        <v>214.13</v>
      </c>
      <c r="G451" s="4">
        <v>214.69</v>
      </c>
      <c r="H451" s="5">
        <f>G451/F451-1</f>
        <v>0.002615233736515288</v>
      </c>
      <c r="I451" s="5">
        <f>G451/E451-1</f>
        <v>-0.10403972957182206</v>
      </c>
      <c r="J451" s="5">
        <v>-0.1063767632084134</v>
      </c>
      <c r="K451" s="4">
        <v>40142831307.67</v>
      </c>
    </row>
    <row r="452" spans="1:11">
      <c r="A452" s="1" t="s">
        <v>965</v>
      </c>
      <c r="B452" s="1" t="s">
        <v>966</v>
      </c>
      <c r="C452" s="1" t="s">
        <v>41</v>
      </c>
      <c r="D452" s="1" t="s">
        <v>63</v>
      </c>
      <c r="E452" s="4">
        <v>264.36</v>
      </c>
      <c r="F452" s="4">
        <v>253.83</v>
      </c>
      <c r="G452" s="4">
        <v>258.44</v>
      </c>
      <c r="H452" s="5">
        <f>G452/F452-1</f>
        <v>0.018161761809084798</v>
      </c>
      <c r="I452" s="5">
        <f>G452/E452-1</f>
        <v>-0.02239370555303377</v>
      </c>
      <c r="J452" s="5">
        <v>-0.04952352367374513</v>
      </c>
      <c r="K452" s="4">
        <v>236019731969.84</v>
      </c>
    </row>
    <row r="453" spans="1:11">
      <c r="A453" s="1" t="s">
        <v>967</v>
      </c>
      <c r="B453" s="1" t="s">
        <v>968</v>
      </c>
      <c r="C453" s="1" t="s">
        <v>70</v>
      </c>
      <c r="D453" s="1" t="s">
        <v>100</v>
      </c>
      <c r="E453" s="4">
        <v>82.95</v>
      </c>
      <c r="F453" s="4">
        <v>79.37</v>
      </c>
      <c r="G453" s="4">
        <v>79.06999999999999</v>
      </c>
      <c r="H453" s="5">
        <f>G453/F453-1</f>
        <v>-0.003779765654529532</v>
      </c>
      <c r="I453" s="5">
        <f>G453/E453-1</f>
        <v>-0.04677516576250762</v>
      </c>
      <c r="J453" s="5">
        <v>-0.05089425039010931</v>
      </c>
      <c r="K453" s="4">
        <v>13599005527.19</v>
      </c>
    </row>
    <row r="454" spans="1:11">
      <c r="A454" s="1" t="s">
        <v>969</v>
      </c>
      <c r="B454" s="1" t="s">
        <v>970</v>
      </c>
      <c r="C454" s="1" t="s">
        <v>41</v>
      </c>
      <c r="D454" s="1" t="s">
        <v>58</v>
      </c>
      <c r="E454" s="4">
        <v>350.73</v>
      </c>
      <c r="F454" s="4">
        <v>379.27</v>
      </c>
      <c r="G454" s="4">
        <v>364.03</v>
      </c>
      <c r="H454" s="5">
        <f>G454/F454-1</f>
        <v>-0.040182455770295555</v>
      </c>
      <c r="I454" s="5">
        <f>G454/E454-1</f>
        <v>0.037920907820830685</v>
      </c>
      <c r="J454" s="5">
        <v>-0.04018245577029556</v>
      </c>
      <c r="K454" s="4">
        <v>14907856304.22</v>
      </c>
    </row>
    <row r="455" spans="1:11">
      <c r="A455" s="1" t="s">
        <v>971</v>
      </c>
      <c r="B455" s="1" t="s">
        <v>972</v>
      </c>
      <c r="C455" s="1" t="s">
        <v>70</v>
      </c>
      <c r="D455" s="1" t="s">
        <v>243</v>
      </c>
      <c r="E455" s="4">
        <v>113.17</v>
      </c>
      <c r="F455" s="4">
        <v>108.66</v>
      </c>
      <c r="G455" s="4">
        <v>111.38</v>
      </c>
      <c r="H455" s="5">
        <f>G455/F455-1</f>
        <v>0.025032210565065327</v>
      </c>
      <c r="I455" s="5">
        <f>G455/E455-1</f>
        <v>-0.01581691260934881</v>
      </c>
      <c r="J455" s="5">
        <v>-0.1088493314027766</v>
      </c>
      <c r="K455" s="4">
        <v>36159448167.16</v>
      </c>
    </row>
    <row r="456" spans="1:11">
      <c r="A456" s="1" t="s">
        <v>973</v>
      </c>
      <c r="B456" s="1" t="s">
        <v>974</v>
      </c>
      <c r="C456" s="1" t="s">
        <v>70</v>
      </c>
      <c r="D456" s="1" t="s">
        <v>243</v>
      </c>
      <c r="E456" s="4">
        <v>78.8</v>
      </c>
      <c r="F456" s="4">
        <v>75.95999999999999</v>
      </c>
      <c r="G456" s="4">
        <v>75.76000000000001</v>
      </c>
      <c r="H456" s="5">
        <f>G456/F456-1</f>
        <v>-0.002632964718272679</v>
      </c>
      <c r="I456" s="5">
        <f>G456/E456-1</f>
        <v>-0.03857868020304556</v>
      </c>
      <c r="J456" s="5">
        <v>-0.06359676415681392</v>
      </c>
      <c r="K456" s="4">
        <v>154744354766.96</v>
      </c>
    </row>
    <row r="457" spans="1:11">
      <c r="A457" s="1" t="s">
        <v>975</v>
      </c>
      <c r="B457" s="1" t="s">
        <v>976</v>
      </c>
      <c r="C457" s="1" t="s">
        <v>116</v>
      </c>
      <c r="D457" s="1" t="s">
        <v>117</v>
      </c>
      <c r="E457" s="4">
        <v>37.77</v>
      </c>
      <c r="F457" s="4">
        <v>36.37</v>
      </c>
      <c r="G457" s="4">
        <v>36.38</v>
      </c>
      <c r="H457" s="5">
        <f>G457/F457-1</f>
        <v>0.0002749518834206377</v>
      </c>
      <c r="I457" s="5">
        <f>G457/E457-1</f>
        <v>-0.03680169446650783</v>
      </c>
      <c r="J457" s="5">
        <v>-0.05261786923678047</v>
      </c>
      <c r="K457" s="4">
        <v>11687592396.36</v>
      </c>
    </row>
    <row r="458" spans="1:11">
      <c r="A458" s="1" t="s">
        <v>977</v>
      </c>
      <c r="B458" s="1" t="s">
        <v>978</v>
      </c>
      <c r="C458" s="1" t="s">
        <v>37</v>
      </c>
      <c r="D458" s="1" t="s">
        <v>51</v>
      </c>
      <c r="E458" s="4">
        <v>177.26</v>
      </c>
      <c r="F458" s="4">
        <v>169.21</v>
      </c>
      <c r="G458" s="4">
        <v>169.65</v>
      </c>
      <c r="H458" s="5">
        <f>G458/F458-1</f>
        <v>0.0026003191300749684</v>
      </c>
      <c r="I458" s="5">
        <f>G458/E458-1</f>
        <v>-0.042931287374478044</v>
      </c>
      <c r="J458" s="5">
        <v>-0.06267838155464767</v>
      </c>
      <c r="K458" s="4">
        <v>9998579769.750002</v>
      </c>
    </row>
    <row r="459" spans="1:11">
      <c r="A459" s="1" t="s">
        <v>979</v>
      </c>
      <c r="B459" s="1" t="s">
        <v>980</v>
      </c>
      <c r="C459" s="1" t="s">
        <v>47</v>
      </c>
      <c r="D459" s="1" t="s">
        <v>120</v>
      </c>
      <c r="E459" s="4">
        <v>521.46</v>
      </c>
      <c r="F459" s="4">
        <v>557.11</v>
      </c>
      <c r="G459" s="4">
        <v>564.12</v>
      </c>
      <c r="H459" s="5">
        <f>G459/F459-1</f>
        <v>0.012582793344222853</v>
      </c>
      <c r="I459" s="5">
        <f>G459/E459-1</f>
        <v>0.08180876769071443</v>
      </c>
      <c r="J459" s="5">
        <v>-0.04729468510097767</v>
      </c>
      <c r="K459" s="4">
        <v>24120344540.52</v>
      </c>
    </row>
    <row r="460" spans="1:11">
      <c r="A460" s="1" t="s">
        <v>981</v>
      </c>
      <c r="B460" s="1" t="s">
        <v>982</v>
      </c>
      <c r="C460" s="1" t="s">
        <v>37</v>
      </c>
      <c r="D460" s="1" t="s">
        <v>51</v>
      </c>
      <c r="E460" s="4">
        <v>390.11</v>
      </c>
      <c r="F460" s="4">
        <v>400.94</v>
      </c>
      <c r="G460" s="4">
        <v>397.14</v>
      </c>
      <c r="H460" s="5">
        <f>G460/F460-1</f>
        <v>-0.009477727340749253</v>
      </c>
      <c r="I460" s="5">
        <f>G460/E460-1</f>
        <v>0.018020558304068013</v>
      </c>
      <c r="J460" s="5">
        <v>-0.02892695942744561</v>
      </c>
      <c r="K460" s="4">
        <v>356470817537.58</v>
      </c>
    </row>
    <row r="461" spans="1:11">
      <c r="A461" s="1" t="s">
        <v>983</v>
      </c>
      <c r="B461" s="1" t="s">
        <v>984</v>
      </c>
      <c r="C461" s="1" t="s">
        <v>70</v>
      </c>
      <c r="D461" s="1" t="s">
        <v>243</v>
      </c>
      <c r="E461" s="4">
        <v>308.05</v>
      </c>
      <c r="F461" s="4">
        <v>289.15</v>
      </c>
      <c r="G461" s="4">
        <v>289.62</v>
      </c>
      <c r="H461" s="5">
        <f>G461/F461-1</f>
        <v>0.001625453916652253</v>
      </c>
      <c r="I461" s="5">
        <f>G461/E461-1</f>
        <v>-0.05982795000811558</v>
      </c>
      <c r="J461" s="5">
        <v>-0.06911982486639634</v>
      </c>
      <c r="K461" s="4">
        <v>172057522294.62</v>
      </c>
    </row>
    <row r="462" spans="1:11">
      <c r="A462" s="1" t="s">
        <v>985</v>
      </c>
      <c r="B462" s="1" t="s">
        <v>986</v>
      </c>
      <c r="C462" s="1" t="s">
        <v>70</v>
      </c>
      <c r="D462" s="1" t="s">
        <v>243</v>
      </c>
      <c r="E462" s="4">
        <v>102.01</v>
      </c>
      <c r="F462" s="4">
        <v>103.5</v>
      </c>
      <c r="G462" s="4">
        <v>102.29</v>
      </c>
      <c r="H462" s="5">
        <f>G462/F462-1</f>
        <v>-0.011690821256038597</v>
      </c>
      <c r="I462" s="5">
        <f>G462/E462-1</f>
        <v>0.002744828938339383</v>
      </c>
      <c r="J462" s="5">
        <v>-0.03207797123391376</v>
      </c>
      <c r="K462" s="4">
        <v>87026448022.78001</v>
      </c>
    </row>
    <row r="463" spans="1:11">
      <c r="A463" s="1" t="s">
        <v>987</v>
      </c>
      <c r="B463" s="1" t="s">
        <v>988</v>
      </c>
      <c r="C463" s="1" t="s">
        <v>70</v>
      </c>
      <c r="D463" s="1" t="s">
        <v>100</v>
      </c>
      <c r="E463" s="4">
        <v>1098.51</v>
      </c>
      <c r="F463" s="4">
        <v>993.87</v>
      </c>
      <c r="G463" s="4">
        <v>1009.86</v>
      </c>
      <c r="H463" s="5">
        <f>G463/F463-1</f>
        <v>0.016088623260587465</v>
      </c>
      <c r="I463" s="5">
        <f>G463/E463-1</f>
        <v>-0.08070022120872822</v>
      </c>
      <c r="J463" s="5">
        <v>-0.1080463536972808</v>
      </c>
      <c r="K463" s="4">
        <v>62856199941.54</v>
      </c>
    </row>
    <row r="464" spans="1:11">
      <c r="A464" s="1" t="s">
        <v>989</v>
      </c>
      <c r="B464" s="1" t="s">
        <v>990</v>
      </c>
      <c r="C464" s="1" t="s">
        <v>54</v>
      </c>
      <c r="D464" s="1" t="s">
        <v>165</v>
      </c>
      <c r="E464" s="4">
        <v>62.05</v>
      </c>
      <c r="F464" s="4">
        <v>63.53</v>
      </c>
      <c r="G464" s="4">
        <v>63.37</v>
      </c>
      <c r="H464" s="5">
        <f>G464/F464-1</f>
        <v>-0.00251849519911862</v>
      </c>
      <c r="I464" s="5">
        <f>G464/E464-1</f>
        <v>0.021273166800966914</v>
      </c>
      <c r="J464" s="5">
        <v>-0.02531847133757958</v>
      </c>
      <c r="K464" s="4">
        <v>98733720133.01999</v>
      </c>
    </row>
    <row r="465" spans="1:11">
      <c r="A465" s="1" t="s">
        <v>991</v>
      </c>
      <c r="B465" s="1" t="s">
        <v>992</v>
      </c>
      <c r="C465" s="1" t="s">
        <v>54</v>
      </c>
      <c r="D465" s="1" t="s">
        <v>113</v>
      </c>
      <c r="E465" s="4">
        <v>371.04</v>
      </c>
      <c r="F465" s="4">
        <v>378.75</v>
      </c>
      <c r="G465" s="4">
        <v>375.07</v>
      </c>
      <c r="H465" s="5">
        <f>G465/F465-1</f>
        <v>-0.009716171617161762</v>
      </c>
      <c r="I465" s="5">
        <f>G465/E465-1</f>
        <v>0.010861362656317208</v>
      </c>
      <c r="J465" s="5">
        <v>-0.02985890560733062</v>
      </c>
      <c r="K465" s="4">
        <v>700298017413.7802</v>
      </c>
    </row>
    <row r="466" spans="1:11">
      <c r="A466" s="1" t="s">
        <v>993</v>
      </c>
      <c r="B466" s="1" t="s">
        <v>994</v>
      </c>
      <c r="C466" s="1" t="s">
        <v>37</v>
      </c>
      <c r="D466" s="1" t="s">
        <v>51</v>
      </c>
      <c r="E466" s="4">
        <v>247.9</v>
      </c>
      <c r="F466" s="4">
        <v>284.38</v>
      </c>
      <c r="G466" s="4">
        <v>275.09</v>
      </c>
      <c r="H466" s="5">
        <f>G466/F466-1</f>
        <v>-0.0326675574934947</v>
      </c>
      <c r="I466" s="5">
        <f>G466/E466-1</f>
        <v>0.1096813231141589</v>
      </c>
      <c r="J466" s="5">
        <v>-0.03710315376807038</v>
      </c>
      <c r="K466" s="4">
        <v>44539505546.5</v>
      </c>
    </row>
    <row r="467" spans="1:11">
      <c r="A467" s="1" t="s">
        <v>995</v>
      </c>
      <c r="B467" s="1" t="s">
        <v>996</v>
      </c>
      <c r="C467" s="1" t="s">
        <v>116</v>
      </c>
      <c r="D467" s="1" t="s">
        <v>117</v>
      </c>
      <c r="E467" s="4">
        <v>26.51</v>
      </c>
      <c r="F467" s="4">
        <v>25.65</v>
      </c>
      <c r="G467" s="4">
        <v>25.42</v>
      </c>
      <c r="H467" s="5">
        <f>G467/F467-1</f>
        <v>-0.008966861598440401</v>
      </c>
      <c r="I467" s="5">
        <f>G467/E467-1</f>
        <v>-0.041116559788758944</v>
      </c>
      <c r="J467" s="5">
        <v>-0.05078416728902169</v>
      </c>
      <c r="K467" s="4">
        <v>27989391626.04</v>
      </c>
    </row>
    <row r="468" spans="1:11">
      <c r="A468" s="1" t="s">
        <v>997</v>
      </c>
      <c r="B468" s="1" t="s">
        <v>998</v>
      </c>
      <c r="C468" s="1" t="s">
        <v>129</v>
      </c>
      <c r="D468" s="1" t="s">
        <v>129</v>
      </c>
      <c r="E468" s="4">
        <v>348.86</v>
      </c>
      <c r="F468" s="4">
        <v>370.69</v>
      </c>
      <c r="G468" s="4">
        <v>370.72</v>
      </c>
      <c r="H468" s="5">
        <f>G468/F468-1</f>
        <v>8.093015727439479e-05</v>
      </c>
      <c r="I468" s="5">
        <f>G468/E468-1</f>
        <v>0.06266123946568825</v>
      </c>
      <c r="J468" s="5">
        <v>-0.0242217508456114</v>
      </c>
      <c r="K468" s="4">
        <v>106740468341.92</v>
      </c>
    </row>
    <row r="469" spans="1:11">
      <c r="A469" s="1" t="s">
        <v>999</v>
      </c>
      <c r="B469" s="1" t="s">
        <v>1000</v>
      </c>
      <c r="C469" s="1" t="s">
        <v>70</v>
      </c>
      <c r="D469" s="1" t="s">
        <v>71</v>
      </c>
      <c r="E469" s="4">
        <v>98.77</v>
      </c>
      <c r="F469" s="4">
        <v>97.88</v>
      </c>
      <c r="G469" s="4">
        <v>96.31</v>
      </c>
      <c r="H469" s="5">
        <f>G469/F469-1</f>
        <v>-0.01604004903964029</v>
      </c>
      <c r="I469" s="5">
        <f>G469/E469-1</f>
        <v>-0.02490634808140113</v>
      </c>
      <c r="J469" s="5">
        <v>-0.0307940022139479</v>
      </c>
      <c r="K469" s="4">
        <v>23479736960.64</v>
      </c>
    </row>
    <row r="470" spans="1:11">
      <c r="A470" s="1" t="s">
        <v>1001</v>
      </c>
      <c r="B470" s="1" t="s">
        <v>1002</v>
      </c>
      <c r="C470" s="1" t="s">
        <v>93</v>
      </c>
      <c r="D470" s="1" t="s">
        <v>93</v>
      </c>
      <c r="E470" s="4">
        <v>276.04</v>
      </c>
      <c r="F470" s="4">
        <v>260.23</v>
      </c>
      <c r="G470" s="4">
        <v>262.63</v>
      </c>
      <c r="H470" s="5">
        <f>G470/F470-1</f>
        <v>0.009222610767398054</v>
      </c>
      <c r="I470" s="5">
        <f>G470/E470-1</f>
        <v>-0.04857991595420963</v>
      </c>
      <c r="J470" s="5">
        <v>-0.05923054629763813</v>
      </c>
      <c r="K470" s="4">
        <v>34031264223.57</v>
      </c>
    </row>
    <row r="471" spans="1:11">
      <c r="A471" s="1" t="s">
        <v>1003</v>
      </c>
      <c r="B471" s="1" t="s">
        <v>1004</v>
      </c>
      <c r="C471" s="1" t="s">
        <v>116</v>
      </c>
      <c r="D471" s="1" t="s">
        <v>117</v>
      </c>
      <c r="E471" s="4">
        <v>66.79000000000001</v>
      </c>
      <c r="F471" s="4">
        <v>64.95999999999999</v>
      </c>
      <c r="G471" s="4">
        <v>65.34999999999999</v>
      </c>
      <c r="H471" s="5">
        <f>G471/F471-1</f>
        <v>0.006003694581280694</v>
      </c>
      <c r="I471" s="5">
        <f>G471/E471-1</f>
        <v>-0.021560113789489632</v>
      </c>
      <c r="J471" s="5">
        <v>-0.04740240680950991</v>
      </c>
      <c r="K471" s="4">
        <v>50642666140.64999</v>
      </c>
    </row>
    <row r="472" spans="1:11">
      <c r="A472" s="1" t="s">
        <v>1005</v>
      </c>
      <c r="B472" s="1" t="s">
        <v>1006</v>
      </c>
      <c r="C472" s="1" t="s">
        <v>70</v>
      </c>
      <c r="D472" s="1" t="s">
        <v>71</v>
      </c>
      <c r="E472" s="4">
        <v>187.5</v>
      </c>
      <c r="F472" s="4">
        <v>190.6</v>
      </c>
      <c r="G472" s="4">
        <v>185.79</v>
      </c>
      <c r="H472" s="5">
        <f>G472/F472-1</f>
        <v>-0.025236096537250785</v>
      </c>
      <c r="I472" s="5">
        <f>G472/E472-1</f>
        <v>-0.009120000000000017</v>
      </c>
      <c r="J472" s="5">
        <v>-0.044044250064317</v>
      </c>
      <c r="K472" s="4">
        <v>24181685469.48</v>
      </c>
    </row>
    <row r="473" spans="1:11">
      <c r="A473" s="1" t="s">
        <v>1007</v>
      </c>
      <c r="B473" s="1" t="s">
        <v>1008</v>
      </c>
      <c r="C473" s="1" t="s">
        <v>41</v>
      </c>
      <c r="D473" s="1" t="s">
        <v>58</v>
      </c>
      <c r="E473" s="4">
        <v>281.8</v>
      </c>
      <c r="F473" s="4">
        <v>293.35</v>
      </c>
      <c r="G473" s="4">
        <v>292.08</v>
      </c>
      <c r="H473" s="5">
        <f>G473/F473-1</f>
        <v>-0.004329299471621084</v>
      </c>
      <c r="I473" s="5">
        <f>G473/E473-1</f>
        <v>0.03647977288857329</v>
      </c>
      <c r="J473" s="5">
        <v>-0.02188443660299277</v>
      </c>
      <c r="K473" s="4">
        <v>26374824000</v>
      </c>
    </row>
    <row r="474" spans="1:11">
      <c r="A474" s="1" t="s">
        <v>1009</v>
      </c>
      <c r="B474" s="1" t="s">
        <v>1010</v>
      </c>
      <c r="C474" s="1" t="s">
        <v>70</v>
      </c>
      <c r="D474" s="1" t="s">
        <v>100</v>
      </c>
      <c r="E474" s="4">
        <v>261.95</v>
      </c>
      <c r="F474" s="4">
        <v>268.83</v>
      </c>
      <c r="G474" s="4">
        <v>280.53</v>
      </c>
      <c r="H474" s="5">
        <f>G474/F474-1</f>
        <v>0.04352192835621027</v>
      </c>
      <c r="I474" s="5">
        <f>G474/E474-1</f>
        <v>0.07092956671120443</v>
      </c>
      <c r="J474" s="5">
        <v>-0.04942810457516333</v>
      </c>
      <c r="K474" s="4">
        <v>108000732171.69</v>
      </c>
    </row>
    <row r="475" spans="1:11">
      <c r="A475" s="1" t="s">
        <v>1011</v>
      </c>
      <c r="B475" s="1" t="s">
        <v>1012</v>
      </c>
      <c r="C475" s="1" t="s">
        <v>37</v>
      </c>
      <c r="D475" s="1" t="s">
        <v>38</v>
      </c>
      <c r="E475" s="4">
        <v>548.05</v>
      </c>
      <c r="F475" s="4">
        <v>557.96</v>
      </c>
      <c r="G475" s="4">
        <v>546.12</v>
      </c>
      <c r="H475" s="5">
        <f>G475/F475-1</f>
        <v>-0.021220159151193685</v>
      </c>
      <c r="I475" s="5">
        <f>G475/E475-1</f>
        <v>-0.003521576498494605</v>
      </c>
      <c r="J475" s="5">
        <v>-0.02122015915119368</v>
      </c>
      <c r="K475" s="4">
        <v>138420079814.88</v>
      </c>
    </row>
    <row r="476" spans="1:11">
      <c r="A476" s="1" t="s">
        <v>1013</v>
      </c>
      <c r="B476" s="1" t="s">
        <v>1014</v>
      </c>
      <c r="C476" s="1" t="s">
        <v>76</v>
      </c>
      <c r="D476" s="1" t="s">
        <v>76</v>
      </c>
      <c r="E476" s="4">
        <v>136.21</v>
      </c>
      <c r="F476" s="4">
        <v>144.22</v>
      </c>
      <c r="G476" s="4">
        <v>149.3</v>
      </c>
      <c r="H476" s="5">
        <f>G476/F476-1</f>
        <v>0.03522396338926659</v>
      </c>
      <c r="I476" s="5">
        <f>G476/E476-1</f>
        <v>0.0961016078114676</v>
      </c>
      <c r="J476" s="5">
        <v>-0.02099550096407909</v>
      </c>
      <c r="K476" s="4">
        <v>50110334613.5</v>
      </c>
    </row>
    <row r="477" spans="1:11">
      <c r="A477" s="1" t="s">
        <v>1015</v>
      </c>
      <c r="B477" s="1" t="s">
        <v>1016</v>
      </c>
      <c r="C477" s="1" t="s">
        <v>116</v>
      </c>
      <c r="D477" s="1" t="s">
        <v>117</v>
      </c>
      <c r="E477" s="4">
        <v>93.06</v>
      </c>
      <c r="F477" s="4">
        <v>92.11</v>
      </c>
      <c r="G477" s="4">
        <v>90.27</v>
      </c>
      <c r="H477" s="5">
        <f>G477/F477-1</f>
        <v>-0.01997611551405931</v>
      </c>
      <c r="I477" s="5">
        <f>G477/E477-1</f>
        <v>-0.029980657640232167</v>
      </c>
      <c r="J477" s="5">
        <v>-0.03794095704998401</v>
      </c>
      <c r="K477" s="4">
        <v>46303667826.93</v>
      </c>
    </row>
    <row r="478" spans="1:11">
      <c r="A478" s="1" t="s">
        <v>1017</v>
      </c>
      <c r="B478" s="1" t="s">
        <v>1018</v>
      </c>
      <c r="C478" s="1" t="s">
        <v>37</v>
      </c>
      <c r="D478" s="1" t="s">
        <v>38</v>
      </c>
      <c r="E478" s="4">
        <v>16.32</v>
      </c>
      <c r="F478" s="4">
        <v>16.94</v>
      </c>
      <c r="G478" s="4">
        <v>16.88</v>
      </c>
      <c r="H478" s="5">
        <f>G478/F478-1</f>
        <v>-0.0035419126328218864</v>
      </c>
      <c r="I478" s="5">
        <f>G478/E478-1</f>
        <v>0.034313725490195957</v>
      </c>
      <c r="J478" s="5">
        <v>-0.03256364712847848</v>
      </c>
      <c r="K478" s="4">
        <v>19388213784.32</v>
      </c>
    </row>
    <row r="479" spans="1:11">
      <c r="A479" s="1" t="s">
        <v>1019</v>
      </c>
      <c r="B479" s="1" t="s">
        <v>1020</v>
      </c>
      <c r="C479" s="1" t="s">
        <v>138</v>
      </c>
      <c r="D479" s="1" t="s">
        <v>258</v>
      </c>
      <c r="E479" s="4">
        <v>49.45</v>
      </c>
      <c r="F479" s="4">
        <v>50.59</v>
      </c>
      <c r="G479" s="4">
        <v>50.14</v>
      </c>
      <c r="H479" s="5">
        <f>G479/F479-1</f>
        <v>-0.008895038545167044</v>
      </c>
      <c r="I479" s="5">
        <f>G479/E479-1</f>
        <v>0.01395348837209287</v>
      </c>
      <c r="J479" s="5">
        <v>-0.01631840796019901</v>
      </c>
      <c r="K479" s="4">
        <v>208320428628.28</v>
      </c>
    </row>
    <row r="480" spans="1:11">
      <c r="A480" s="1" t="s">
        <v>1021</v>
      </c>
      <c r="B480" s="1" t="s">
        <v>1022</v>
      </c>
      <c r="C480" s="1" t="s">
        <v>70</v>
      </c>
      <c r="D480" s="1" t="s">
        <v>100</v>
      </c>
      <c r="E480" s="4">
        <v>297.57</v>
      </c>
      <c r="F480" s="4">
        <v>280.83</v>
      </c>
      <c r="G480" s="4">
        <v>282.86</v>
      </c>
      <c r="H480" s="5">
        <f>G480/F480-1</f>
        <v>0.007228572445963755</v>
      </c>
      <c r="I480" s="5">
        <f>G480/E480-1</f>
        <v>-0.04943374668145306</v>
      </c>
      <c r="J480" s="5">
        <v>-0.06900911692287215</v>
      </c>
      <c r="K480" s="4">
        <v>47778123313.86001</v>
      </c>
    </row>
    <row r="481" spans="1:11">
      <c r="A481" s="1" t="s">
        <v>1023</v>
      </c>
      <c r="B481" s="1" t="s">
        <v>1024</v>
      </c>
      <c r="C481" s="1" t="s">
        <v>37</v>
      </c>
      <c r="D481" s="1" t="s">
        <v>38</v>
      </c>
      <c r="E481" s="4">
        <v>410.7</v>
      </c>
      <c r="F481" s="4">
        <v>413.56</v>
      </c>
      <c r="G481" s="4">
        <v>409.38</v>
      </c>
      <c r="H481" s="5">
        <f>G481/F481-1</f>
        <v>-0.010107360479736927</v>
      </c>
      <c r="I481" s="5">
        <f>G481/E481-1</f>
        <v>-0.0032140248356464785</v>
      </c>
      <c r="J481" s="5">
        <v>-0.03660447229739361</v>
      </c>
      <c r="K481" s="4">
        <v>40220811681.18</v>
      </c>
    </row>
    <row r="482" spans="1:11">
      <c r="A482" s="1" t="s">
        <v>1025</v>
      </c>
      <c r="B482" s="1" t="s">
        <v>1026</v>
      </c>
      <c r="C482" s="1" t="s">
        <v>138</v>
      </c>
      <c r="D482" s="1" t="s">
        <v>139</v>
      </c>
      <c r="E482" s="4">
        <v>28.55</v>
      </c>
      <c r="F482" s="4">
        <v>28.37</v>
      </c>
      <c r="G482" s="4">
        <v>28.25</v>
      </c>
      <c r="H482" s="5">
        <f>G482/F482-1</f>
        <v>-0.00422982023264018</v>
      </c>
      <c r="I482" s="5">
        <f>G482/E482-1</f>
        <v>-0.010507880910682998</v>
      </c>
      <c r="J482" s="5">
        <v>-0.02249134948096876</v>
      </c>
      <c r="K482" s="4">
        <v>70927368620.5</v>
      </c>
    </row>
    <row r="483" spans="1:11">
      <c r="A483" s="1" t="s">
        <v>1027</v>
      </c>
      <c r="B483" s="1" t="s">
        <v>1028</v>
      </c>
      <c r="C483" s="1" t="s">
        <v>41</v>
      </c>
      <c r="D483" s="1" t="s">
        <v>58</v>
      </c>
      <c r="E483" s="4">
        <v>200.01</v>
      </c>
      <c r="F483" s="4">
        <v>206.92</v>
      </c>
      <c r="G483" s="4">
        <v>195.79</v>
      </c>
      <c r="H483" s="5">
        <f>G483/F483-1</f>
        <v>-0.053788903924221865</v>
      </c>
      <c r="I483" s="5">
        <f>G483/E483-1</f>
        <v>-0.021098945052747342</v>
      </c>
      <c r="J483" s="5">
        <v>-0.05378890392422186</v>
      </c>
      <c r="K483" s="4">
        <v>47185390000</v>
      </c>
    </row>
    <row r="484" spans="1:11">
      <c r="A484" s="1" t="s">
        <v>1029</v>
      </c>
      <c r="B484" s="1" t="s">
        <v>1030</v>
      </c>
      <c r="C484" s="1" t="s">
        <v>41</v>
      </c>
      <c r="D484" s="1" t="s">
        <v>42</v>
      </c>
      <c r="E484" s="4">
        <v>459.44</v>
      </c>
      <c r="F484" s="4">
        <v>441.57</v>
      </c>
      <c r="G484" s="4">
        <v>467.46</v>
      </c>
      <c r="H484" s="5">
        <f>G484/F484-1</f>
        <v>0.05863170052313338</v>
      </c>
      <c r="I484" s="5">
        <f>G484/E484-1</f>
        <v>0.017456033432004192</v>
      </c>
      <c r="J484" s="5">
        <v>-0.05824518000341239</v>
      </c>
      <c r="K484" s="4">
        <v>161125108957.26</v>
      </c>
    </row>
    <row r="485" spans="1:11">
      <c r="A485" s="1" t="s">
        <v>1031</v>
      </c>
      <c r="B485" s="1" t="s">
        <v>1032</v>
      </c>
      <c r="C485" s="1" t="s">
        <v>76</v>
      </c>
      <c r="D485" s="1" t="s">
        <v>76</v>
      </c>
      <c r="E485" s="4">
        <v>106.01</v>
      </c>
      <c r="F485" s="4">
        <v>106.7</v>
      </c>
      <c r="G485" s="4">
        <v>105.94</v>
      </c>
      <c r="H485" s="5">
        <f>G485/F485-1</f>
        <v>-0.007122774133083487</v>
      </c>
      <c r="I485" s="5">
        <f>G485/E485-1</f>
        <v>-0.0006603150646166123</v>
      </c>
      <c r="J485" s="5">
        <v>-0.01719650492656621</v>
      </c>
      <c r="K485" s="4">
        <v>34520483635.02</v>
      </c>
    </row>
    <row r="486" spans="1:11">
      <c r="A486" s="1" t="s">
        <v>1033</v>
      </c>
      <c r="B486" s="1" t="s">
        <v>1034</v>
      </c>
      <c r="C486" s="1" t="s">
        <v>116</v>
      </c>
      <c r="D486" s="1" t="s">
        <v>117</v>
      </c>
      <c r="E486" s="4">
        <v>239.22</v>
      </c>
      <c r="F486" s="4">
        <v>241.12</v>
      </c>
      <c r="G486" s="4">
        <v>236.17</v>
      </c>
      <c r="H486" s="5">
        <f>G486/F486-1</f>
        <v>-0.020529197080291994</v>
      </c>
      <c r="I486" s="5">
        <f>G486/E486-1</f>
        <v>-0.012749770086113221</v>
      </c>
      <c r="J486" s="5">
        <v>-0.02231329690346084</v>
      </c>
      <c r="K486" s="4">
        <v>170218335077.67</v>
      </c>
    </row>
    <row r="487" spans="1:11">
      <c r="A487" s="1" t="s">
        <v>1035</v>
      </c>
      <c r="B487" s="1" t="s">
        <v>1036</v>
      </c>
      <c r="C487" s="1" t="s">
        <v>54</v>
      </c>
      <c r="D487" s="1" t="s">
        <v>165</v>
      </c>
      <c r="E487" s="4">
        <v>83.84</v>
      </c>
      <c r="F487" s="4">
        <v>89.19</v>
      </c>
      <c r="G487" s="4">
        <v>89.97</v>
      </c>
      <c r="H487" s="5">
        <f>G487/F487-1</f>
        <v>0.008745375042044978</v>
      </c>
      <c r="I487" s="5">
        <f>G487/E487-1</f>
        <v>0.07311545801526709</v>
      </c>
      <c r="J487" s="5">
        <v>-0.003460606759718488</v>
      </c>
      <c r="K487" s="4">
        <v>272069220259.92</v>
      </c>
    </row>
    <row r="488" spans="1:11">
      <c r="A488" s="1" t="s">
        <v>1037</v>
      </c>
      <c r="B488" s="1" t="s">
        <v>1038</v>
      </c>
      <c r="C488" s="1" t="s">
        <v>70</v>
      </c>
      <c r="D488" s="1" t="s">
        <v>71</v>
      </c>
      <c r="E488" s="4">
        <v>224.06</v>
      </c>
      <c r="F488" s="4">
        <v>221.72</v>
      </c>
      <c r="G488" s="4">
        <v>218.99</v>
      </c>
      <c r="H488" s="5">
        <f>G488/F488-1</f>
        <v>-0.012312826988995051</v>
      </c>
      <c r="I488" s="5">
        <f>G488/E488-1</f>
        <v>-0.022627867535481516</v>
      </c>
      <c r="J488" s="5">
        <v>-0.03841738055285704</v>
      </c>
      <c r="K488" s="4">
        <v>87533628144.16002</v>
      </c>
    </row>
    <row r="489" spans="1:11">
      <c r="A489" s="1" t="s">
        <v>1039</v>
      </c>
      <c r="B489" s="1" t="s">
        <v>1040</v>
      </c>
      <c r="C489" s="1" t="s">
        <v>129</v>
      </c>
      <c r="D489" s="1" t="s">
        <v>129</v>
      </c>
      <c r="E489" s="4">
        <v>70.48999999999999</v>
      </c>
      <c r="F489" s="4">
        <v>74.05</v>
      </c>
      <c r="G489" s="4">
        <v>74.15000000000001</v>
      </c>
      <c r="H489" s="5">
        <f>G489/F489-1</f>
        <v>0.0013504388926401933</v>
      </c>
      <c r="I489" s="5">
        <f>G489/E489-1</f>
        <v>0.05192225847637988</v>
      </c>
      <c r="J489" s="5">
        <v>-0.01568523195533711</v>
      </c>
      <c r="K489" s="4">
        <v>90674842990.80002</v>
      </c>
    </row>
    <row r="490" spans="1:11">
      <c r="A490" s="1" t="s">
        <v>1041</v>
      </c>
      <c r="B490" s="1" t="s">
        <v>1042</v>
      </c>
      <c r="C490" s="1" t="s">
        <v>66</v>
      </c>
      <c r="D490" s="1" t="s">
        <v>214</v>
      </c>
      <c r="E490" s="4">
        <v>103.7</v>
      </c>
      <c r="F490" s="4">
        <v>108.42</v>
      </c>
      <c r="G490" s="4">
        <v>107.14</v>
      </c>
      <c r="H490" s="5">
        <f>G490/F490-1</f>
        <v>-0.011805939863493875</v>
      </c>
      <c r="I490" s="5">
        <f>G490/E490-1</f>
        <v>0.033172613307618004</v>
      </c>
      <c r="J490" s="5">
        <v>-0.03624753497981026</v>
      </c>
      <c r="K490" s="4">
        <v>850021572260.74</v>
      </c>
    </row>
    <row r="491" spans="1:11">
      <c r="A491" s="1" t="s">
        <v>1043</v>
      </c>
      <c r="B491" s="1" t="s">
        <v>1044</v>
      </c>
      <c r="C491" s="1" t="s">
        <v>54</v>
      </c>
      <c r="D491" s="1" t="s">
        <v>55</v>
      </c>
      <c r="E491" s="4">
        <v>68.59999999999999</v>
      </c>
      <c r="F491" s="4">
        <v>69.5</v>
      </c>
      <c r="G491" s="4">
        <v>69.14</v>
      </c>
      <c r="H491" s="5">
        <f>G491/F491-1</f>
        <v>-0.00517985611510785</v>
      </c>
      <c r="I491" s="5">
        <f>G491/E491-1</f>
        <v>0.007871720116618075</v>
      </c>
      <c r="J491" s="5">
        <v>-0.03070301291248212</v>
      </c>
      <c r="K491" s="4">
        <v>25666671355.06</v>
      </c>
    </row>
    <row r="492" spans="1:11">
      <c r="A492" s="1" t="s">
        <v>1045</v>
      </c>
      <c r="B492" s="1" t="s">
        <v>1046</v>
      </c>
      <c r="C492" s="1" t="s">
        <v>47</v>
      </c>
      <c r="D492" s="1" t="s">
        <v>120</v>
      </c>
      <c r="E492" s="4">
        <v>237.58</v>
      </c>
      <c r="F492" s="4">
        <v>222.76</v>
      </c>
      <c r="G492" s="4">
        <v>227.42</v>
      </c>
      <c r="H492" s="5">
        <f>G492/F492-1</f>
        <v>0.0209193751122283</v>
      </c>
      <c r="I492" s="5">
        <f>G492/E492-1</f>
        <v>-0.04276454246990502</v>
      </c>
      <c r="J492" s="5">
        <v>-0.06996644295302012</v>
      </c>
      <c r="K492" s="4">
        <v>26785339523.66</v>
      </c>
    </row>
    <row r="493" spans="1:11">
      <c r="A493" s="1" t="s">
        <v>1047</v>
      </c>
      <c r="B493" s="1" t="s">
        <v>1048</v>
      </c>
      <c r="C493" s="1" t="s">
        <v>37</v>
      </c>
      <c r="D493" s="1" t="s">
        <v>38</v>
      </c>
      <c r="E493" s="4">
        <v>353.08</v>
      </c>
      <c r="F493" s="4">
        <v>342.73</v>
      </c>
      <c r="G493" s="4">
        <v>339.97</v>
      </c>
      <c r="H493" s="5">
        <f>G493/F493-1</f>
        <v>-0.008052986315758681</v>
      </c>
      <c r="I493" s="5">
        <f>G493/E493-1</f>
        <v>-0.037130395377817926</v>
      </c>
      <c r="J493" s="5">
        <v>-0.04486018340314724</v>
      </c>
      <c r="K493" s="4">
        <v>23925647807.14</v>
      </c>
    </row>
    <row r="494" spans="1:11">
      <c r="A494" s="1" t="s">
        <v>1049</v>
      </c>
      <c r="B494" s="1" t="s">
        <v>1050</v>
      </c>
      <c r="C494" s="1" t="s">
        <v>54</v>
      </c>
      <c r="D494" s="1" t="s">
        <v>55</v>
      </c>
      <c r="E494" s="4">
        <v>341.99</v>
      </c>
      <c r="F494" s="4">
        <v>342.06</v>
      </c>
      <c r="G494" s="4">
        <v>334.74</v>
      </c>
      <c r="H494" s="5">
        <f>G494/F494-1</f>
        <v>-0.021399754429047513</v>
      </c>
      <c r="I494" s="5">
        <f>G494/E494-1</f>
        <v>-0.02119945027632386</v>
      </c>
      <c r="J494" s="5">
        <v>-0.04641482537419805</v>
      </c>
      <c r="K494" s="4">
        <v>31087952191.38</v>
      </c>
    </row>
    <row r="495" spans="1:11">
      <c r="A495" s="1" t="s">
        <v>1051</v>
      </c>
      <c r="B495" s="1" t="s">
        <v>1052</v>
      </c>
      <c r="C495" s="1" t="s">
        <v>116</v>
      </c>
      <c r="D495" s="1" t="s">
        <v>117</v>
      </c>
      <c r="E495" s="4">
        <v>24.43</v>
      </c>
      <c r="F495" s="4">
        <v>23.04</v>
      </c>
      <c r="G495" s="4">
        <v>23.02</v>
      </c>
      <c r="H495" s="5">
        <f>G495/F495-1</f>
        <v>-0.0008680555555555802</v>
      </c>
      <c r="I495" s="5">
        <f>G495/E495-1</f>
        <v>-0.057715923045435935</v>
      </c>
      <c r="J495" s="5">
        <v>-0.05771592304543594</v>
      </c>
      <c r="K495" s="4">
        <v>16591342720</v>
      </c>
    </row>
    <row r="496" spans="1:11">
      <c r="A496" s="1" t="s">
        <v>1053</v>
      </c>
      <c r="B496" s="1" t="s">
        <v>1054</v>
      </c>
      <c r="C496" s="1" t="s">
        <v>47</v>
      </c>
      <c r="D496" s="1" t="s">
        <v>48</v>
      </c>
      <c r="E496" s="4">
        <v>100.28</v>
      </c>
      <c r="F496" s="4">
        <v>91.56</v>
      </c>
      <c r="G496" s="4">
        <v>91.54000000000001</v>
      </c>
      <c r="H496" s="5">
        <f>G496/F496-1</f>
        <v>-0.00021843599825244198</v>
      </c>
      <c r="I496" s="5">
        <f>G496/E496-1</f>
        <v>-0.08715596330275222</v>
      </c>
      <c r="J496" s="5">
        <v>-0.09652971679297973</v>
      </c>
      <c r="K496" s="4">
        <v>9426229982.139999</v>
      </c>
    </row>
    <row r="497" spans="1:11">
      <c r="A497" s="1" t="s">
        <v>1055</v>
      </c>
      <c r="B497" s="1" t="s">
        <v>1056</v>
      </c>
      <c r="C497" s="1" t="s">
        <v>76</v>
      </c>
      <c r="D497" s="1" t="s">
        <v>76</v>
      </c>
      <c r="E497" s="4">
        <v>76.3</v>
      </c>
      <c r="F497" s="4">
        <v>76.34</v>
      </c>
      <c r="G497" s="4">
        <v>75.72</v>
      </c>
      <c r="H497" s="5">
        <f>G497/F497-1</f>
        <v>-0.008121561435682545</v>
      </c>
      <c r="I497" s="5">
        <f>G497/E497-1</f>
        <v>-0.007601572739187379</v>
      </c>
      <c r="J497" s="5">
        <v>-0.0279351184346035</v>
      </c>
      <c r="K497" s="4">
        <v>47297309650.32</v>
      </c>
    </row>
    <row r="498" spans="1:11">
      <c r="A498" s="1" t="s">
        <v>1057</v>
      </c>
      <c r="B498" s="1" t="s">
        <v>1058</v>
      </c>
      <c r="C498" s="1" t="s">
        <v>129</v>
      </c>
      <c r="D498" s="1" t="s">
        <v>129</v>
      </c>
      <c r="E498" s="4">
        <v>165.11</v>
      </c>
      <c r="F498" s="4">
        <v>162.21</v>
      </c>
      <c r="G498" s="4">
        <v>159.47</v>
      </c>
      <c r="H498" s="5">
        <f>G498/F498-1</f>
        <v>-0.01689168361999882</v>
      </c>
      <c r="I498" s="5">
        <f>G498/E498-1</f>
        <v>-0.0341590454848284</v>
      </c>
      <c r="J498" s="5">
        <v>-0.05251044758040102</v>
      </c>
      <c r="K498" s="4">
        <v>660916328153.2001</v>
      </c>
    </row>
    <row r="499" spans="1:11">
      <c r="A499" s="1" t="s">
        <v>1059</v>
      </c>
      <c r="B499" s="1" t="s">
        <v>1060</v>
      </c>
      <c r="C499" s="1" t="s">
        <v>70</v>
      </c>
      <c r="D499" s="1" t="s">
        <v>100</v>
      </c>
      <c r="E499" s="4">
        <v>113.42</v>
      </c>
      <c r="F499" s="4">
        <v>107.89</v>
      </c>
      <c r="G499" s="4">
        <v>105.69</v>
      </c>
      <c r="H499" s="5">
        <f>G499/F499-1</f>
        <v>-0.020391139123181024</v>
      </c>
      <c r="I499" s="5">
        <f>G499/E499-1</f>
        <v>-0.06815376476811852</v>
      </c>
      <c r="J499" s="5">
        <v>-0.07435627955859181</v>
      </c>
      <c r="K499" s="4">
        <v>24677221160.28</v>
      </c>
    </row>
    <row r="500" spans="1:11">
      <c r="A500" s="1" t="s">
        <v>1061</v>
      </c>
      <c r="B500" s="1" t="s">
        <v>1062</v>
      </c>
      <c r="C500" s="1" t="s">
        <v>54</v>
      </c>
      <c r="D500" s="1" t="s">
        <v>113</v>
      </c>
      <c r="E500" s="4">
        <v>82.16</v>
      </c>
      <c r="F500" s="4">
        <v>83.37</v>
      </c>
      <c r="G500" s="4">
        <v>82.76000000000001</v>
      </c>
      <c r="H500" s="5">
        <f>G500/F500-1</f>
        <v>-0.00731678061652874</v>
      </c>
      <c r="I500" s="5">
        <f>G500/E500-1</f>
        <v>0.007302823758519983</v>
      </c>
      <c r="J500" s="5">
        <v>-0.0821449616971125</v>
      </c>
      <c r="K500" s="4">
        <v>49721794200.00001</v>
      </c>
    </row>
    <row r="501" spans="1:11">
      <c r="A501" s="1" t="s">
        <v>1063</v>
      </c>
      <c r="B501" s="1" t="s">
        <v>1064</v>
      </c>
      <c r="C501" s="1" t="s">
        <v>47</v>
      </c>
      <c r="D501" s="1" t="s">
        <v>48</v>
      </c>
      <c r="E501" s="4">
        <v>152.99</v>
      </c>
      <c r="F501" s="4">
        <v>152.54</v>
      </c>
      <c r="G501" s="4">
        <v>150.71</v>
      </c>
      <c r="H501" s="5">
        <f>G501/F501-1</f>
        <v>-0.011996853284384268</v>
      </c>
      <c r="I501" s="5">
        <f>G501/E501-1</f>
        <v>-0.014902934832341952</v>
      </c>
      <c r="J501" s="5">
        <v>-0.04219891960597388</v>
      </c>
      <c r="K501" s="4">
        <v>41128922520.35001</v>
      </c>
    </row>
    <row r="502" spans="1:11">
      <c r="A502" s="1" t="s">
        <v>1065</v>
      </c>
      <c r="B502" s="1" t="s">
        <v>1066</v>
      </c>
      <c r="C502" s="1" t="s">
        <v>37</v>
      </c>
      <c r="D502" s="1" t="s">
        <v>51</v>
      </c>
      <c r="E502" s="4">
        <v>100.98</v>
      </c>
      <c r="F502" s="4">
        <v>98.92</v>
      </c>
      <c r="G502" s="4">
        <v>98.06999999999999</v>
      </c>
      <c r="H502" s="5">
        <f>G502/F502-1</f>
        <v>-0.008592802264456245</v>
      </c>
      <c r="I502" s="5">
        <f>G502/E502-1</f>
        <v>-0.028817587641117193</v>
      </c>
      <c r="J502" s="5">
        <v>-0.03264943775892681</v>
      </c>
      <c r="K502" s="4">
        <v>18705645160.23</v>
      </c>
    </row>
    <row r="503" spans="1:11">
      <c r="A503" s="1" t="s">
        <v>1067</v>
      </c>
      <c r="B503" s="1" t="s">
        <v>1068</v>
      </c>
      <c r="C503" s="1" t="s">
        <v>41</v>
      </c>
      <c r="D503" s="1" t="s">
        <v>42</v>
      </c>
      <c r="E503" s="4">
        <v>368.51</v>
      </c>
      <c r="F503" s="4">
        <v>357.5</v>
      </c>
      <c r="G503" s="4">
        <v>362.74</v>
      </c>
      <c r="H503" s="5">
        <f>G503/F503-1</f>
        <v>0.014657342657342642</v>
      </c>
      <c r="I503" s="5">
        <f>G503/E503-1</f>
        <v>-0.015657648367751187</v>
      </c>
      <c r="J503" s="5">
        <v>-0.06732517435076391</v>
      </c>
      <c r="K503" s="4">
        <v>17161468808.4</v>
      </c>
    </row>
    <row r="504" spans="1:11">
      <c r="A504" s="1" t="s">
        <v>1069</v>
      </c>
      <c r="B504" s="1" t="s">
        <v>1070</v>
      </c>
      <c r="C504" s="1" t="s">
        <v>37</v>
      </c>
      <c r="D504" s="1" t="s">
        <v>38</v>
      </c>
      <c r="E504" s="4">
        <v>77.73</v>
      </c>
      <c r="F504" s="4">
        <v>76.29000000000001</v>
      </c>
      <c r="G504" s="4">
        <v>75.81</v>
      </c>
      <c r="H504" s="5">
        <f>G504/F504-1</f>
        <v>-0.006291781360597826</v>
      </c>
      <c r="I504" s="5">
        <f>G504/E504-1</f>
        <v>-0.024700887688151263</v>
      </c>
      <c r="J504" s="5">
        <v>-0.03486427376817203</v>
      </c>
      <c r="K504" s="4">
        <v>31326481267.62</v>
      </c>
    </row>
  </sheetData>
  <autoFilter ref="A1:K504"/>
  <conditionalFormatting sqref="H2:H504">
    <cfRule type="colorScale" priority="1">
      <colorScale>
        <cfvo type="min" val="0"/>
        <cfvo type="num" val="0"/>
        <cfvo type="max" val="0"/>
        <color rgb="FFF6C7CE"/>
        <color rgb="FFFFFFFF"/>
        <color rgb="FFB9E5D1"/>
      </colorScale>
    </cfRule>
  </conditionalFormatting>
  <conditionalFormatting sqref="I2:I504">
    <cfRule type="colorScale" priority="2">
      <colorScale>
        <cfvo type="min" val="0"/>
        <cfvo type="num" val="0"/>
        <cfvo type="max" val="0"/>
        <color rgb="FFF6C7CE"/>
        <color rgb="FFFFFFFF"/>
        <color rgb="FFB9E5D1"/>
      </colorScale>
    </cfRule>
  </conditionalFormatting>
  <conditionalFormatting sqref="J2:J504">
    <cfRule type="colorScale" priority="3">
      <colorScale>
        <cfvo type="min" val="0"/>
        <cfvo type="num" val="0"/>
        <cfvo type="max" val="0"/>
        <color rgb="FFF6C7CE"/>
        <color rgb="FFFFFFFF"/>
        <color rgb="FFB9E5D1"/>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101"/>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5.7109375" style="1" customWidth="1"/>
    <col min="2" max="2" width="22.7109375" style="1" customWidth="1"/>
    <col min="3" max="3" width="40.7109375" style="1" customWidth="1"/>
    <col min="4" max="4" width="27.7109375" style="1" customWidth="1"/>
    <col min="5" max="7" width="15.7109375" style="1" customWidth="1"/>
  </cols>
  <sheetData>
    <row r="1" spans="1:7" ht="30" customHeight="1">
      <c r="A1" s="3" t="s">
        <v>1071</v>
      </c>
      <c r="B1" s="3" t="s">
        <v>24</v>
      </c>
      <c r="C1" s="3" t="s">
        <v>25</v>
      </c>
      <c r="D1" s="3" t="s">
        <v>26</v>
      </c>
      <c r="E1" s="3" t="s">
        <v>1072</v>
      </c>
      <c r="F1" s="3" t="s">
        <v>1073</v>
      </c>
      <c r="G1" s="3" t="s">
        <v>1074</v>
      </c>
    </row>
    <row r="2" spans="1:7">
      <c r="A2" s="4">
        <v>1</v>
      </c>
      <c r="B2" s="1" t="s">
        <v>879</v>
      </c>
      <c r="C2" s="1" t="s">
        <v>880</v>
      </c>
      <c r="D2" s="1" t="s">
        <v>41</v>
      </c>
      <c r="E2" s="5">
        <v>0.118978257094901</v>
      </c>
      <c r="F2" s="5">
        <v>0.09017091875093985</v>
      </c>
      <c r="G2" s="4">
        <v>1740</v>
      </c>
    </row>
    <row r="3" spans="1:7">
      <c r="A3" s="4">
        <v>2</v>
      </c>
      <c r="B3" s="1" t="s">
        <v>602</v>
      </c>
      <c r="C3" s="1" t="s">
        <v>603</v>
      </c>
      <c r="D3" s="1" t="s">
        <v>41</v>
      </c>
      <c r="E3" s="5">
        <v>0.07320457962299054</v>
      </c>
      <c r="F3" s="5">
        <v>0.008750475569324401</v>
      </c>
      <c r="G3" s="4">
        <v>185.6</v>
      </c>
    </row>
    <row r="4" spans="1:7">
      <c r="A4" s="4">
        <v>3</v>
      </c>
      <c r="B4" s="1" t="s">
        <v>698</v>
      </c>
      <c r="C4" s="1" t="s">
        <v>699</v>
      </c>
      <c r="D4" s="1" t="s">
        <v>41</v>
      </c>
      <c r="E4" s="5">
        <v>0.07048795671120045</v>
      </c>
      <c r="F4" s="5">
        <v>-0.05691022612217345</v>
      </c>
      <c r="G4" s="4">
        <v>223.55</v>
      </c>
    </row>
    <row r="5" spans="1:7">
      <c r="A5" s="4">
        <v>4</v>
      </c>
      <c r="B5" s="1" t="s">
        <v>273</v>
      </c>
      <c r="C5" s="1" t="s">
        <v>274</v>
      </c>
      <c r="D5" s="1" t="s">
        <v>41</v>
      </c>
      <c r="E5" s="5">
        <v>0.06599599107446763</v>
      </c>
      <c r="F5" s="5">
        <v>-0.02645758496822315</v>
      </c>
      <c r="G5" s="4">
        <v>281.86</v>
      </c>
    </row>
    <row r="6" spans="1:7">
      <c r="A6" s="4">
        <v>5</v>
      </c>
      <c r="B6" s="1" t="s">
        <v>734</v>
      </c>
      <c r="C6" s="1" t="s">
        <v>735</v>
      </c>
      <c r="D6" s="1" t="s">
        <v>76</v>
      </c>
      <c r="E6" s="5">
        <v>0.0641988555078683</v>
      </c>
      <c r="F6" s="5">
        <v>0.05225002210237828</v>
      </c>
      <c r="G6" s="4">
        <v>119.02</v>
      </c>
    </row>
    <row r="7" spans="1:7">
      <c r="A7" s="4">
        <v>6</v>
      </c>
      <c r="B7" s="1" t="s">
        <v>899</v>
      </c>
      <c r="C7" s="1" t="s">
        <v>900</v>
      </c>
      <c r="D7" s="1" t="s">
        <v>41</v>
      </c>
      <c r="E7" s="5">
        <v>0.06344774044903012</v>
      </c>
      <c r="F7" s="5">
        <v>-0.000847058823529423</v>
      </c>
      <c r="G7" s="4">
        <v>849.28</v>
      </c>
    </row>
    <row r="8" spans="1:7">
      <c r="A8" s="4">
        <v>7</v>
      </c>
      <c r="B8" s="1" t="s">
        <v>712</v>
      </c>
      <c r="C8" s="1" t="s">
        <v>713</v>
      </c>
      <c r="D8" s="1" t="s">
        <v>41</v>
      </c>
      <c r="E8" s="5">
        <v>0.06098146447357444</v>
      </c>
      <c r="F8" s="5">
        <v>0.05152154574980861</v>
      </c>
      <c r="G8" s="4">
        <v>1016.59</v>
      </c>
    </row>
    <row r="9" spans="1:7">
      <c r="A9" s="4">
        <v>8</v>
      </c>
      <c r="B9" s="1" t="s">
        <v>1029</v>
      </c>
      <c r="C9" s="1" t="s">
        <v>1030</v>
      </c>
      <c r="D9" s="1" t="s">
        <v>41</v>
      </c>
      <c r="E9" s="5">
        <v>0.05863170052313338</v>
      </c>
      <c r="F9" s="5">
        <v>0.01745603343200419</v>
      </c>
      <c r="G9" s="4">
        <v>467.46</v>
      </c>
    </row>
    <row r="10" spans="1:7">
      <c r="A10" s="4">
        <v>9</v>
      </c>
      <c r="B10" s="1" t="s">
        <v>481</v>
      </c>
      <c r="C10" s="1" t="s">
        <v>482</v>
      </c>
      <c r="D10" s="1" t="s">
        <v>41</v>
      </c>
      <c r="E10" s="5">
        <v>0.05684931506849322</v>
      </c>
      <c r="F10" s="5">
        <v>0.02976508275493872</v>
      </c>
      <c r="G10" s="4">
        <v>154.3</v>
      </c>
    </row>
    <row r="11" spans="1:7">
      <c r="A11" s="4">
        <v>10</v>
      </c>
      <c r="B11" s="1" t="s">
        <v>927</v>
      </c>
      <c r="C11" s="1" t="s">
        <v>928</v>
      </c>
      <c r="D11" s="1" t="s">
        <v>41</v>
      </c>
      <c r="E11" s="5">
        <v>0.05446114770075905</v>
      </c>
      <c r="F11" s="5">
        <v>-0.04979507105977543</v>
      </c>
      <c r="G11" s="4">
        <v>357.03</v>
      </c>
    </row>
    <row r="12" spans="1:7">
      <c r="A12" s="4">
        <v>11</v>
      </c>
      <c r="B12" s="1" t="s">
        <v>638</v>
      </c>
      <c r="C12" s="1" t="s">
        <v>639</v>
      </c>
      <c r="D12" s="1" t="s">
        <v>41</v>
      </c>
      <c r="E12" s="5">
        <v>0.05121984555456827</v>
      </c>
      <c r="F12" s="5">
        <v>-0.02022292993630581</v>
      </c>
      <c r="G12" s="4">
        <v>307.65</v>
      </c>
    </row>
    <row r="13" spans="1:7">
      <c r="A13" s="4">
        <v>12</v>
      </c>
      <c r="B13" s="1" t="s">
        <v>232</v>
      </c>
      <c r="C13" s="1" t="s">
        <v>233</v>
      </c>
      <c r="D13" s="1" t="s">
        <v>76</v>
      </c>
      <c r="E13" s="5">
        <v>0.04879845641115588</v>
      </c>
      <c r="F13" s="5">
        <v>0.09557314570507169</v>
      </c>
      <c r="G13" s="4">
        <v>298.96</v>
      </c>
    </row>
    <row r="14" spans="1:7">
      <c r="A14" s="4">
        <v>13</v>
      </c>
      <c r="B14" s="1" t="s">
        <v>105</v>
      </c>
      <c r="C14" s="1" t="s">
        <v>106</v>
      </c>
      <c r="D14" s="1" t="s">
        <v>41</v>
      </c>
      <c r="E14" s="5">
        <v>0.04693528586460882</v>
      </c>
      <c r="F14" s="5">
        <v>0.009128367670364401</v>
      </c>
      <c r="G14" s="4">
        <v>477.57</v>
      </c>
    </row>
    <row r="15" spans="1:7">
      <c r="A15" s="4">
        <v>14</v>
      </c>
      <c r="B15" s="1" t="s">
        <v>875</v>
      </c>
      <c r="C15" s="1" t="s">
        <v>876</v>
      </c>
      <c r="D15" s="1" t="s">
        <v>41</v>
      </c>
      <c r="E15" s="5">
        <v>0.0454185371006075</v>
      </c>
      <c r="F15" s="5">
        <v>0.06310418904403869</v>
      </c>
      <c r="G15" s="4">
        <v>39.59</v>
      </c>
    </row>
    <row r="16" spans="1:7">
      <c r="A16" s="4">
        <v>15</v>
      </c>
      <c r="B16" s="1" t="s">
        <v>554</v>
      </c>
      <c r="C16" s="1" t="s">
        <v>555</v>
      </c>
      <c r="D16" s="1" t="s">
        <v>41</v>
      </c>
      <c r="E16" s="5">
        <v>0.04505290716701205</v>
      </c>
      <c r="F16" s="5">
        <v>0.06361718663261917</v>
      </c>
      <c r="G16" s="4">
        <v>95.8</v>
      </c>
    </row>
    <row r="17" spans="1:7">
      <c r="A17" s="4">
        <v>16</v>
      </c>
      <c r="B17" s="1" t="s">
        <v>1009</v>
      </c>
      <c r="C17" s="1" t="s">
        <v>1010</v>
      </c>
      <c r="D17" s="1" t="s">
        <v>70</v>
      </c>
      <c r="E17" s="5">
        <v>0.04352192835621027</v>
      </c>
      <c r="F17" s="5">
        <v>0.07092956671120443</v>
      </c>
      <c r="G17" s="4">
        <v>280.53</v>
      </c>
    </row>
    <row r="18" spans="1:7">
      <c r="A18" s="4">
        <v>17</v>
      </c>
      <c r="B18" s="1" t="s">
        <v>101</v>
      </c>
      <c r="C18" s="1" t="s">
        <v>102</v>
      </c>
      <c r="D18" s="1" t="s">
        <v>41</v>
      </c>
      <c r="E18" s="5">
        <v>0.04312816865866798</v>
      </c>
      <c r="F18" s="5">
        <v>-0.07639340266493344</v>
      </c>
      <c r="G18" s="4">
        <v>454.71</v>
      </c>
    </row>
    <row r="19" spans="1:7">
      <c r="A19" s="4">
        <v>18</v>
      </c>
      <c r="B19" s="1" t="s">
        <v>628</v>
      </c>
      <c r="C19" s="1" t="s">
        <v>629</v>
      </c>
      <c r="D19" s="1" t="s">
        <v>41</v>
      </c>
      <c r="E19" s="5">
        <v>0.03998843480415881</v>
      </c>
      <c r="F19" s="5">
        <v>0.01678185321503145</v>
      </c>
      <c r="G19" s="4">
        <v>881.255</v>
      </c>
    </row>
    <row r="20" spans="1:7">
      <c r="A20" s="4">
        <v>19</v>
      </c>
      <c r="B20" s="1" t="s">
        <v>518</v>
      </c>
      <c r="C20" s="1" t="s">
        <v>519</v>
      </c>
      <c r="D20" s="1" t="s">
        <v>70</v>
      </c>
      <c r="E20" s="5">
        <v>0.03904233350542063</v>
      </c>
      <c r="F20" s="5">
        <v>-0.02258240757603347</v>
      </c>
      <c r="G20" s="4">
        <v>161.01</v>
      </c>
    </row>
    <row r="21" spans="1:7">
      <c r="A21" s="4">
        <v>20</v>
      </c>
      <c r="B21" s="1" t="s">
        <v>907</v>
      </c>
      <c r="C21" s="1" t="s">
        <v>908</v>
      </c>
      <c r="D21" s="1" t="s">
        <v>41</v>
      </c>
      <c r="E21" s="5">
        <v>0.03524475524475523</v>
      </c>
      <c r="F21" s="5">
        <v>0.1024724456359845</v>
      </c>
      <c r="G21" s="4">
        <v>74.02</v>
      </c>
    </row>
    <row r="22" spans="1:7">
      <c r="A22" s="4">
        <v>21</v>
      </c>
      <c r="B22" s="1" t="s">
        <v>1013</v>
      </c>
      <c r="C22" s="1" t="s">
        <v>1014</v>
      </c>
      <c r="D22" s="1" t="s">
        <v>76</v>
      </c>
      <c r="E22" s="5">
        <v>0.03522396338926659</v>
      </c>
      <c r="F22" s="5">
        <v>0.09610160781146759</v>
      </c>
      <c r="G22" s="4">
        <v>149.3</v>
      </c>
    </row>
    <row r="23" spans="1:7">
      <c r="A23" s="4">
        <v>22</v>
      </c>
      <c r="B23" s="1" t="s">
        <v>174</v>
      </c>
      <c r="C23" s="1" t="s">
        <v>175</v>
      </c>
      <c r="D23" s="1" t="s">
        <v>54</v>
      </c>
      <c r="E23" s="5">
        <v>0.03517138599105807</v>
      </c>
      <c r="F23" s="5">
        <v>0.01224132905858344</v>
      </c>
      <c r="G23" s="4">
        <v>34.73</v>
      </c>
    </row>
    <row r="24" spans="1:7">
      <c r="A24" s="4">
        <v>23</v>
      </c>
      <c r="B24" s="1" t="s">
        <v>402</v>
      </c>
      <c r="C24" s="1" t="s">
        <v>403</v>
      </c>
      <c r="D24" s="1" t="s">
        <v>70</v>
      </c>
      <c r="E24" s="5">
        <v>0.03457393231265105</v>
      </c>
      <c r="F24" s="5">
        <v>-0.01991889312977091</v>
      </c>
      <c r="G24" s="4">
        <v>410.85</v>
      </c>
    </row>
    <row r="25" spans="1:7">
      <c r="A25" s="4">
        <v>24</v>
      </c>
      <c r="B25" s="1" t="s">
        <v>170</v>
      </c>
      <c r="C25" s="1" t="s">
        <v>171</v>
      </c>
      <c r="D25" s="1" t="s">
        <v>47</v>
      </c>
      <c r="E25" s="5">
        <v>0.03177506000685804</v>
      </c>
      <c r="F25" s="5">
        <v>0.05099545930841765</v>
      </c>
      <c r="G25" s="4">
        <v>90.27</v>
      </c>
    </row>
    <row r="26" spans="1:7">
      <c r="A26" s="4">
        <v>25</v>
      </c>
      <c r="B26" s="1" t="s">
        <v>763</v>
      </c>
      <c r="C26" s="1" t="s">
        <v>764</v>
      </c>
      <c r="D26" s="1" t="s">
        <v>41</v>
      </c>
      <c r="E26" s="5">
        <v>0.03077122825240197</v>
      </c>
      <c r="F26" s="5">
        <v>0.08404451423499704</v>
      </c>
      <c r="G26" s="4">
        <v>158.78</v>
      </c>
    </row>
    <row r="27" spans="1:7">
      <c r="A27" s="4">
        <v>26</v>
      </c>
      <c r="B27" s="1" t="s">
        <v>140</v>
      </c>
      <c r="C27" s="1" t="s">
        <v>141</v>
      </c>
      <c r="D27" s="1" t="s">
        <v>47</v>
      </c>
      <c r="E27" s="5">
        <v>0.0305179454115625</v>
      </c>
      <c r="F27" s="5">
        <v>-0.006835128417564174</v>
      </c>
      <c r="G27" s="4">
        <v>47.95</v>
      </c>
    </row>
    <row r="28" spans="1:7">
      <c r="A28" s="4">
        <v>27</v>
      </c>
      <c r="B28" s="1" t="s">
        <v>382</v>
      </c>
      <c r="C28" s="1" t="s">
        <v>383</v>
      </c>
      <c r="D28" s="1" t="s">
        <v>66</v>
      </c>
      <c r="E28" s="5">
        <v>0.02974419988102328</v>
      </c>
      <c r="F28" s="5">
        <v>0.01883460859329023</v>
      </c>
      <c r="G28" s="4">
        <v>103.86</v>
      </c>
    </row>
    <row r="29" spans="1:7">
      <c r="A29" s="4">
        <v>28</v>
      </c>
      <c r="B29" s="1" t="s">
        <v>578</v>
      </c>
      <c r="C29" s="1" t="s">
        <v>579</v>
      </c>
      <c r="D29" s="1" t="s">
        <v>70</v>
      </c>
      <c r="E29" s="5">
        <v>0.02812828601472139</v>
      </c>
      <c r="F29" s="5">
        <v>-0.006099110546378683</v>
      </c>
      <c r="G29" s="4">
        <v>273.77</v>
      </c>
    </row>
    <row r="30" spans="1:7">
      <c r="A30" s="4">
        <v>29</v>
      </c>
      <c r="B30" s="1" t="s">
        <v>263</v>
      </c>
      <c r="C30" s="1" t="s">
        <v>264</v>
      </c>
      <c r="D30" s="1" t="s">
        <v>70</v>
      </c>
      <c r="E30" s="5">
        <v>0.02795600366636108</v>
      </c>
      <c r="F30" s="5">
        <v>-0.04582425809964596</v>
      </c>
      <c r="G30" s="4">
        <v>560.75</v>
      </c>
    </row>
    <row r="31" spans="1:7">
      <c r="A31" s="4">
        <v>30</v>
      </c>
      <c r="B31" s="1" t="s">
        <v>186</v>
      </c>
      <c r="C31" s="1" t="s">
        <v>187</v>
      </c>
      <c r="D31" s="1" t="s">
        <v>70</v>
      </c>
      <c r="E31" s="5">
        <v>0.02508569647865388</v>
      </c>
      <c r="F31" s="5">
        <v>-0.06295399515738487</v>
      </c>
      <c r="G31" s="4">
        <v>65.79000000000001</v>
      </c>
    </row>
    <row r="32" spans="1:7">
      <c r="A32" s="4">
        <v>31</v>
      </c>
      <c r="B32" s="1" t="s">
        <v>971</v>
      </c>
      <c r="C32" s="1" t="s">
        <v>972</v>
      </c>
      <c r="D32" s="1" t="s">
        <v>70</v>
      </c>
      <c r="E32" s="5">
        <v>0.02503221056506533</v>
      </c>
      <c r="F32" s="5">
        <v>-0.01581691260934881</v>
      </c>
      <c r="G32" s="4">
        <v>111.38</v>
      </c>
    </row>
    <row r="33" spans="1:7">
      <c r="A33" s="4">
        <v>32</v>
      </c>
      <c r="B33" s="1" t="s">
        <v>777</v>
      </c>
      <c r="C33" s="1" t="s">
        <v>778</v>
      </c>
      <c r="D33" s="1" t="s">
        <v>76</v>
      </c>
      <c r="E33" s="5">
        <v>0.02435530085959892</v>
      </c>
      <c r="F33" s="5">
        <v>-0.1875</v>
      </c>
      <c r="G33" s="4">
        <v>14.3</v>
      </c>
    </row>
    <row r="34" spans="1:7">
      <c r="A34" s="4">
        <v>33</v>
      </c>
      <c r="B34" s="1" t="s">
        <v>291</v>
      </c>
      <c r="C34" s="1" t="s">
        <v>292</v>
      </c>
      <c r="D34" s="1" t="s">
        <v>93</v>
      </c>
      <c r="E34" s="5">
        <v>0.02411994784876148</v>
      </c>
      <c r="F34" s="5">
        <v>-0.008520037866834862</v>
      </c>
      <c r="G34" s="4">
        <v>94.26000000000001</v>
      </c>
    </row>
    <row r="35" spans="1:7">
      <c r="A35" s="4">
        <v>34</v>
      </c>
      <c r="B35" s="1" t="s">
        <v>485</v>
      </c>
      <c r="C35" s="1" t="s">
        <v>486</v>
      </c>
      <c r="D35" s="1" t="s">
        <v>70</v>
      </c>
      <c r="E35" s="5">
        <v>0.02365861654463974</v>
      </c>
      <c r="F35" s="5">
        <v>-0.09044567433731432</v>
      </c>
      <c r="G35" s="4">
        <v>187.35</v>
      </c>
    </row>
    <row r="36" spans="1:7">
      <c r="A36" s="4">
        <v>35</v>
      </c>
      <c r="B36" s="1" t="s">
        <v>436</v>
      </c>
      <c r="C36" s="1" t="s">
        <v>437</v>
      </c>
      <c r="D36" s="1" t="s">
        <v>70</v>
      </c>
      <c r="E36" s="5">
        <v>0.02320476638444657</v>
      </c>
      <c r="F36" s="5">
        <v>-0.05709214002642016</v>
      </c>
      <c r="G36" s="4">
        <v>228.41</v>
      </c>
    </row>
    <row r="37" spans="1:7">
      <c r="A37" s="4">
        <v>36</v>
      </c>
      <c r="B37" s="1" t="s">
        <v>642</v>
      </c>
      <c r="C37" s="1" t="s">
        <v>643</v>
      </c>
      <c r="D37" s="1" t="s">
        <v>70</v>
      </c>
      <c r="E37" s="5">
        <v>0.02297960237541963</v>
      </c>
      <c r="F37" s="5">
        <v>-0.01882119861317499</v>
      </c>
      <c r="G37" s="4">
        <v>39.62</v>
      </c>
    </row>
    <row r="38" spans="1:7">
      <c r="A38" s="4">
        <v>37</v>
      </c>
      <c r="B38" s="1" t="s">
        <v>136</v>
      </c>
      <c r="C38" s="1" t="s">
        <v>137</v>
      </c>
      <c r="D38" s="1" t="s">
        <v>138</v>
      </c>
      <c r="E38" s="5">
        <v>0.0222590726449392</v>
      </c>
      <c r="F38" s="5">
        <v>0.04836968963600108</v>
      </c>
      <c r="G38" s="4">
        <v>320.56</v>
      </c>
    </row>
    <row r="39" spans="1:7">
      <c r="A39" s="4">
        <v>38</v>
      </c>
      <c r="B39" s="1" t="s">
        <v>524</v>
      </c>
      <c r="C39" s="1" t="s">
        <v>525</v>
      </c>
      <c r="D39" s="1" t="s">
        <v>41</v>
      </c>
      <c r="E39" s="5">
        <v>0.02223614155966169</v>
      </c>
      <c r="F39" s="5">
        <v>0.09861999326825988</v>
      </c>
      <c r="G39" s="4">
        <v>32.64</v>
      </c>
    </row>
    <row r="40" spans="1:7">
      <c r="A40" s="4">
        <v>39</v>
      </c>
      <c r="B40" s="1" t="s">
        <v>560</v>
      </c>
      <c r="C40" s="1" t="s">
        <v>561</v>
      </c>
      <c r="D40" s="1" t="s">
        <v>93</v>
      </c>
      <c r="E40" s="5">
        <v>0.02195389681668503</v>
      </c>
      <c r="F40" s="5">
        <v>-0.1024343215232586</v>
      </c>
      <c r="G40" s="4">
        <v>37.24</v>
      </c>
    </row>
    <row r="41" spans="1:7">
      <c r="A41" s="4">
        <v>40</v>
      </c>
      <c r="B41" s="1" t="s">
        <v>1045</v>
      </c>
      <c r="C41" s="1" t="s">
        <v>1046</v>
      </c>
      <c r="D41" s="1" t="s">
        <v>47</v>
      </c>
      <c r="E41" s="5">
        <v>0.0209193751122283</v>
      </c>
      <c r="F41" s="5">
        <v>-0.04276454246990502</v>
      </c>
      <c r="G41" s="4">
        <v>227.42</v>
      </c>
    </row>
    <row r="42" spans="1:7">
      <c r="A42" s="4">
        <v>41</v>
      </c>
      <c r="B42" s="1" t="s">
        <v>845</v>
      </c>
      <c r="C42" s="1" t="s">
        <v>846</v>
      </c>
      <c r="D42" s="1" t="s">
        <v>47</v>
      </c>
      <c r="E42" s="5">
        <v>0.02033701336432303</v>
      </c>
      <c r="F42" s="5">
        <v>-0.05740894817359565</v>
      </c>
      <c r="G42" s="4">
        <v>351.2</v>
      </c>
    </row>
    <row r="43" spans="1:7">
      <c r="A43" s="4">
        <v>42</v>
      </c>
      <c r="B43" s="1" t="s">
        <v>448</v>
      </c>
      <c r="C43" s="1" t="s">
        <v>449</v>
      </c>
      <c r="D43" s="1" t="s">
        <v>70</v>
      </c>
      <c r="E43" s="5">
        <v>0.01907998405255062</v>
      </c>
      <c r="F43" s="5">
        <v>-0.02734339608965874</v>
      </c>
      <c r="G43" s="4">
        <v>1610.34</v>
      </c>
    </row>
    <row r="44" spans="1:7">
      <c r="A44" s="4">
        <v>43</v>
      </c>
      <c r="B44" s="1" t="s">
        <v>582</v>
      </c>
      <c r="C44" s="1" t="s">
        <v>583</v>
      </c>
      <c r="D44" s="1" t="s">
        <v>70</v>
      </c>
      <c r="E44" s="5">
        <v>0.01905364550376154</v>
      </c>
      <c r="F44" s="5">
        <v>0.01321216357916799</v>
      </c>
      <c r="G44" s="4">
        <v>144.94</v>
      </c>
    </row>
    <row r="45" spans="1:7">
      <c r="A45" s="4">
        <v>44</v>
      </c>
      <c r="B45" s="1" t="s">
        <v>965</v>
      </c>
      <c r="C45" s="1" t="s">
        <v>966</v>
      </c>
      <c r="D45" s="1" t="s">
        <v>41</v>
      </c>
      <c r="E45" s="5">
        <v>0.0181617618090848</v>
      </c>
      <c r="F45" s="5">
        <v>-0.02239370555303377</v>
      </c>
      <c r="G45" s="4">
        <v>258.44</v>
      </c>
    </row>
    <row r="46" spans="1:7">
      <c r="A46" s="4">
        <v>45</v>
      </c>
      <c r="B46" s="1" t="s">
        <v>200</v>
      </c>
      <c r="C46" s="1" t="s">
        <v>201</v>
      </c>
      <c r="D46" s="1" t="s">
        <v>37</v>
      </c>
      <c r="E46" s="5">
        <v>0.01810436634717782</v>
      </c>
      <c r="F46" s="5">
        <v>-0.05102243398848527</v>
      </c>
      <c r="G46" s="4">
        <v>47.8</v>
      </c>
    </row>
    <row r="47" spans="1:7">
      <c r="A47" s="4">
        <v>46</v>
      </c>
      <c r="B47" s="1" t="s">
        <v>319</v>
      </c>
      <c r="C47" s="1" t="s">
        <v>320</v>
      </c>
      <c r="D47" s="1" t="s">
        <v>70</v>
      </c>
      <c r="E47" s="5">
        <v>0.01803174603174607</v>
      </c>
      <c r="F47" s="5">
        <v>-0.02718116733406128</v>
      </c>
      <c r="G47" s="4">
        <v>80.17</v>
      </c>
    </row>
    <row r="48" spans="1:7">
      <c r="A48" s="4">
        <v>47</v>
      </c>
      <c r="B48" s="1" t="s">
        <v>656</v>
      </c>
      <c r="C48" s="1" t="s">
        <v>657</v>
      </c>
      <c r="D48" s="1" t="s">
        <v>70</v>
      </c>
      <c r="E48" s="5">
        <v>0.01792215065807889</v>
      </c>
      <c r="F48" s="5">
        <v>-0.008050211488606962</v>
      </c>
      <c r="G48" s="4">
        <v>72.7</v>
      </c>
    </row>
    <row r="49" spans="1:7">
      <c r="A49" s="4">
        <v>48</v>
      </c>
      <c r="B49" s="1" t="s">
        <v>432</v>
      </c>
      <c r="C49" s="1" t="s">
        <v>433</v>
      </c>
      <c r="D49" s="1" t="s">
        <v>70</v>
      </c>
      <c r="E49" s="5">
        <v>0.01776869250727242</v>
      </c>
      <c r="F49" s="5">
        <v>-0.05731138945528691</v>
      </c>
      <c r="G49" s="4">
        <v>129.45</v>
      </c>
    </row>
    <row r="50" spans="1:7">
      <c r="A50" s="4">
        <v>49</v>
      </c>
      <c r="B50" s="1" t="s">
        <v>388</v>
      </c>
      <c r="C50" s="1" t="s">
        <v>389</v>
      </c>
      <c r="D50" s="1" t="s">
        <v>70</v>
      </c>
      <c r="E50" s="5">
        <v>0.01737567405632112</v>
      </c>
      <c r="F50" s="5">
        <v>-0.02823349866463176</v>
      </c>
      <c r="G50" s="4">
        <v>152.82</v>
      </c>
    </row>
    <row r="51" spans="1:7">
      <c r="A51" s="4">
        <v>50</v>
      </c>
      <c r="B51" s="1" t="s">
        <v>386</v>
      </c>
      <c r="C51" s="1" t="s">
        <v>387</v>
      </c>
      <c r="D51" s="1" t="s">
        <v>70</v>
      </c>
      <c r="E51" s="5">
        <v>0.01732045540387417</v>
      </c>
      <c r="F51" s="5">
        <v>-0.02892019262960011</v>
      </c>
      <c r="G51" s="4">
        <v>754.16</v>
      </c>
    </row>
    <row r="52" spans="1:7">
      <c r="A52" s="4">
        <v>51</v>
      </c>
      <c r="B52" s="1" t="s">
        <v>215</v>
      </c>
      <c r="C52" s="1" t="s">
        <v>216</v>
      </c>
      <c r="D52" s="1" t="s">
        <v>70</v>
      </c>
      <c r="E52" s="5">
        <v>0.01724698177818884</v>
      </c>
      <c r="F52" s="5">
        <v>-0.01686193984780759</v>
      </c>
      <c r="G52" s="4">
        <v>813.9400000000001</v>
      </c>
    </row>
    <row r="53" spans="1:7">
      <c r="A53" s="4">
        <v>52</v>
      </c>
      <c r="B53" s="1" t="s">
        <v>829</v>
      </c>
      <c r="C53" s="1" t="s">
        <v>830</v>
      </c>
      <c r="D53" s="1" t="s">
        <v>41</v>
      </c>
      <c r="E53" s="5">
        <v>0.01688191103232883</v>
      </c>
      <c r="F53" s="5">
        <v>-0.06525450031036617</v>
      </c>
      <c r="G53" s="4">
        <v>120.47</v>
      </c>
    </row>
    <row r="54" spans="1:7">
      <c r="A54" s="4">
        <v>53</v>
      </c>
      <c r="B54" s="1" t="s">
        <v>566</v>
      </c>
      <c r="C54" s="1" t="s">
        <v>567</v>
      </c>
      <c r="D54" s="1" t="s">
        <v>116</v>
      </c>
      <c r="E54" s="5">
        <v>0.01635066968168375</v>
      </c>
      <c r="F54" s="5">
        <v>-0.0422881494836912</v>
      </c>
      <c r="G54" s="4">
        <v>116.86</v>
      </c>
    </row>
    <row r="55" spans="1:7">
      <c r="A55" s="4">
        <v>54</v>
      </c>
      <c r="B55" s="1" t="s">
        <v>61</v>
      </c>
      <c r="C55" s="1" t="s">
        <v>62</v>
      </c>
      <c r="D55" s="1" t="s">
        <v>41</v>
      </c>
      <c r="E55" s="5">
        <v>0.0161290322580645</v>
      </c>
      <c r="F55" s="5">
        <v>-0.029054651692621</v>
      </c>
      <c r="G55" s="4">
        <v>362.25</v>
      </c>
    </row>
    <row r="56" spans="1:7">
      <c r="A56" s="4">
        <v>55</v>
      </c>
      <c r="B56" s="1" t="s">
        <v>987</v>
      </c>
      <c r="C56" s="1" t="s">
        <v>988</v>
      </c>
      <c r="D56" s="1" t="s">
        <v>70</v>
      </c>
      <c r="E56" s="5">
        <v>0.01608862326058746</v>
      </c>
      <c r="F56" s="5">
        <v>-0.08070022120872822</v>
      </c>
      <c r="G56" s="4">
        <v>1009.86</v>
      </c>
    </row>
    <row r="57" spans="1:7">
      <c r="A57" s="4">
        <v>56</v>
      </c>
      <c r="B57" s="1" t="s">
        <v>811</v>
      </c>
      <c r="C57" s="1" t="s">
        <v>812</v>
      </c>
      <c r="D57" s="1" t="s">
        <v>93</v>
      </c>
      <c r="E57" s="5">
        <v>0.01607223476297959</v>
      </c>
      <c r="F57" s="5">
        <v>-0.009680542110358181</v>
      </c>
      <c r="G57" s="4">
        <v>112.53</v>
      </c>
    </row>
    <row r="58" spans="1:7">
      <c r="A58" s="4">
        <v>57</v>
      </c>
      <c r="B58" s="1" t="s">
        <v>311</v>
      </c>
      <c r="C58" s="1" t="s">
        <v>312</v>
      </c>
      <c r="D58" s="1" t="s">
        <v>47</v>
      </c>
      <c r="E58" s="5">
        <v>0.01579735802805393</v>
      </c>
      <c r="F58" s="5">
        <v>0.06694321270204551</v>
      </c>
      <c r="G58" s="4">
        <v>74.59</v>
      </c>
    </row>
    <row r="59" spans="1:7">
      <c r="A59" s="4">
        <v>58</v>
      </c>
      <c r="B59" s="1" t="s">
        <v>329</v>
      </c>
      <c r="C59" s="1" t="s">
        <v>330</v>
      </c>
      <c r="D59" s="1" t="s">
        <v>47</v>
      </c>
      <c r="E59" s="5">
        <v>0.0155029585798816</v>
      </c>
      <c r="F59" s="5">
        <v>-0.06402705061082026</v>
      </c>
      <c r="G59" s="4">
        <v>85.81</v>
      </c>
    </row>
    <row r="60" spans="1:7">
      <c r="A60" s="4">
        <v>59</v>
      </c>
      <c r="B60" s="1" t="s">
        <v>580</v>
      </c>
      <c r="C60" s="1" t="s">
        <v>581</v>
      </c>
      <c r="D60" s="1" t="s">
        <v>41</v>
      </c>
      <c r="E60" s="5">
        <v>0.01520005230125521</v>
      </c>
      <c r="F60" s="5">
        <v>-0.008428849653587034</v>
      </c>
      <c r="G60" s="4">
        <v>310.57</v>
      </c>
    </row>
    <row r="61" spans="1:7">
      <c r="A61" s="4">
        <v>60</v>
      </c>
      <c r="B61" s="1" t="s">
        <v>107</v>
      </c>
      <c r="C61" s="1" t="s">
        <v>108</v>
      </c>
      <c r="D61" s="1" t="s">
        <v>70</v>
      </c>
      <c r="E61" s="5">
        <v>0.01502988898377455</v>
      </c>
      <c r="F61" s="5">
        <v>-0.007639323731997494</v>
      </c>
      <c r="G61" s="4">
        <v>237.72</v>
      </c>
    </row>
    <row r="62" spans="1:7">
      <c r="A62" s="4">
        <v>61</v>
      </c>
      <c r="B62" s="1" t="s">
        <v>450</v>
      </c>
      <c r="C62" s="1" t="s">
        <v>451</v>
      </c>
      <c r="D62" s="1" t="s">
        <v>41</v>
      </c>
      <c r="E62" s="5">
        <v>0.01501529335434237</v>
      </c>
      <c r="F62" s="5">
        <v>-0.008510638297872353</v>
      </c>
      <c r="G62" s="4">
        <v>109.51</v>
      </c>
    </row>
    <row r="63" spans="1:7">
      <c r="A63" s="4">
        <v>62</v>
      </c>
      <c r="B63" s="1" t="s">
        <v>332</v>
      </c>
      <c r="C63" s="1" t="s">
        <v>333</v>
      </c>
      <c r="D63" s="1" t="s">
        <v>41</v>
      </c>
      <c r="E63" s="5">
        <v>0.0150080365615135</v>
      </c>
      <c r="F63" s="5">
        <v>0.1856225117625769</v>
      </c>
      <c r="G63" s="4">
        <v>524.14</v>
      </c>
    </row>
    <row r="64" spans="1:7">
      <c r="A64" s="4">
        <v>63</v>
      </c>
      <c r="B64" s="1" t="s">
        <v>334</v>
      </c>
      <c r="C64" s="1" t="s">
        <v>335</v>
      </c>
      <c r="D64" s="1" t="s">
        <v>66</v>
      </c>
      <c r="E64" s="5">
        <v>0.01485601097059286</v>
      </c>
      <c r="F64" s="5">
        <v>0.07941009642654584</v>
      </c>
      <c r="G64" s="4">
        <v>133.21</v>
      </c>
    </row>
    <row r="65" spans="1:7">
      <c r="A65" s="4">
        <v>64</v>
      </c>
      <c r="B65" s="1" t="s">
        <v>1067</v>
      </c>
      <c r="C65" s="1" t="s">
        <v>1068</v>
      </c>
      <c r="D65" s="1" t="s">
        <v>41</v>
      </c>
      <c r="E65" s="5">
        <v>0.01465734265734264</v>
      </c>
      <c r="F65" s="5">
        <v>-0.01565764836775119</v>
      </c>
      <c r="G65" s="4">
        <v>362.74</v>
      </c>
    </row>
    <row r="66" spans="1:7">
      <c r="A66" s="4">
        <v>65</v>
      </c>
      <c r="B66" s="1" t="s">
        <v>420</v>
      </c>
      <c r="C66" s="1" t="s">
        <v>421</v>
      </c>
      <c r="D66" s="1" t="s">
        <v>47</v>
      </c>
      <c r="E66" s="5">
        <v>0.0145732130464955</v>
      </c>
      <c r="F66" s="5">
        <v>0.0145732130464955</v>
      </c>
      <c r="G66" s="4">
        <v>14.62</v>
      </c>
    </row>
    <row r="67" spans="1:7">
      <c r="A67" s="4">
        <v>66</v>
      </c>
      <c r="B67" s="1" t="s">
        <v>660</v>
      </c>
      <c r="C67" s="1" t="s">
        <v>661</v>
      </c>
      <c r="D67" s="1" t="s">
        <v>41</v>
      </c>
      <c r="E67" s="5">
        <v>0.01449870058815494</v>
      </c>
      <c r="F67" s="5">
        <v>-0.02510515247108303</v>
      </c>
      <c r="G67" s="4">
        <v>74.17</v>
      </c>
    </row>
    <row r="68" spans="1:7">
      <c r="A68" s="4">
        <v>67</v>
      </c>
      <c r="B68" s="1" t="s">
        <v>594</v>
      </c>
      <c r="C68" s="1" t="s">
        <v>595</v>
      </c>
      <c r="D68" s="1" t="s">
        <v>41</v>
      </c>
      <c r="E68" s="5">
        <v>0.01422726427375842</v>
      </c>
      <c r="F68" s="5">
        <v>0.03504887229937048</v>
      </c>
      <c r="G68" s="4">
        <v>327.21</v>
      </c>
    </row>
    <row r="69" spans="1:7">
      <c r="A69" s="4">
        <v>68</v>
      </c>
      <c r="B69" s="1" t="s">
        <v>686</v>
      </c>
      <c r="C69" s="1" t="s">
        <v>687</v>
      </c>
      <c r="D69" s="1" t="s">
        <v>93</v>
      </c>
      <c r="E69" s="5">
        <v>0.01412318556296599</v>
      </c>
      <c r="F69" s="5">
        <v>0.05899221630479312</v>
      </c>
      <c r="G69" s="4">
        <v>25.85</v>
      </c>
    </row>
    <row r="70" spans="1:7">
      <c r="A70" s="4">
        <v>69</v>
      </c>
      <c r="B70" s="1" t="s">
        <v>849</v>
      </c>
      <c r="C70" s="1" t="s">
        <v>850</v>
      </c>
      <c r="D70" s="1" t="s">
        <v>70</v>
      </c>
      <c r="E70" s="5">
        <v>0.01291211357056143</v>
      </c>
      <c r="F70" s="5">
        <v>-0.007481467923492247</v>
      </c>
      <c r="G70" s="4">
        <v>433.81</v>
      </c>
    </row>
    <row r="71" spans="1:7">
      <c r="A71" s="4">
        <v>70</v>
      </c>
      <c r="B71" s="1" t="s">
        <v>362</v>
      </c>
      <c r="C71" s="1" t="s">
        <v>363</v>
      </c>
      <c r="D71" s="1" t="s">
        <v>37</v>
      </c>
      <c r="E71" s="5">
        <v>0.01282615875811954</v>
      </c>
      <c r="F71" s="5">
        <v>0.05850880220918198</v>
      </c>
      <c r="G71" s="4">
        <v>183.99</v>
      </c>
    </row>
    <row r="72" spans="1:7">
      <c r="A72" s="4">
        <v>71</v>
      </c>
      <c r="B72" s="1" t="s">
        <v>564</v>
      </c>
      <c r="C72" s="1" t="s">
        <v>565</v>
      </c>
      <c r="D72" s="1" t="s">
        <v>70</v>
      </c>
      <c r="E72" s="5">
        <v>0.01273209549071619</v>
      </c>
      <c r="F72" s="5">
        <v>-0.05154639175257736</v>
      </c>
      <c r="G72" s="4">
        <v>76.36</v>
      </c>
    </row>
    <row r="73" spans="1:7">
      <c r="A73" s="4">
        <v>72</v>
      </c>
      <c r="B73" s="1" t="s">
        <v>751</v>
      </c>
      <c r="C73" s="1" t="s">
        <v>752</v>
      </c>
      <c r="D73" s="1" t="s">
        <v>41</v>
      </c>
      <c r="E73" s="5">
        <v>0.01264500644473077</v>
      </c>
      <c r="F73" s="5">
        <v>0.01008600815747474</v>
      </c>
      <c r="G73" s="4">
        <v>227.835</v>
      </c>
    </row>
    <row r="74" spans="1:7">
      <c r="A74" s="4">
        <v>73</v>
      </c>
      <c r="B74" s="1" t="s">
        <v>636</v>
      </c>
      <c r="C74" s="1" t="s">
        <v>637</v>
      </c>
      <c r="D74" s="1" t="s">
        <v>47</v>
      </c>
      <c r="E74" s="5">
        <v>0.01263001485884097</v>
      </c>
      <c r="F74" s="5">
        <v>-0.05386644453699851</v>
      </c>
      <c r="G74" s="4">
        <v>204.45</v>
      </c>
    </row>
    <row r="75" spans="1:7">
      <c r="A75" s="4">
        <v>74</v>
      </c>
      <c r="B75" s="1" t="s">
        <v>903</v>
      </c>
      <c r="C75" s="1" t="s">
        <v>904</v>
      </c>
      <c r="D75" s="1" t="s">
        <v>93</v>
      </c>
      <c r="E75" s="5">
        <v>0.01259390190013265</v>
      </c>
      <c r="F75" s="5">
        <v>-0.07207936829317685</v>
      </c>
      <c r="G75" s="4">
        <v>45.83</v>
      </c>
    </row>
    <row r="76" spans="1:7">
      <c r="A76" s="4">
        <v>75</v>
      </c>
      <c r="B76" s="1" t="s">
        <v>979</v>
      </c>
      <c r="C76" s="1" t="s">
        <v>980</v>
      </c>
      <c r="D76" s="1" t="s">
        <v>47</v>
      </c>
      <c r="E76" s="5">
        <v>0.01258279334422285</v>
      </c>
      <c r="F76" s="5">
        <v>0.08180876769071443</v>
      </c>
      <c r="G76" s="4">
        <v>564.12</v>
      </c>
    </row>
    <row r="77" spans="1:7">
      <c r="A77" s="4">
        <v>76</v>
      </c>
      <c r="B77" s="1" t="s">
        <v>121</v>
      </c>
      <c r="C77" s="1" t="s">
        <v>122</v>
      </c>
      <c r="D77" s="1" t="s">
        <v>41</v>
      </c>
      <c r="E77" s="5">
        <v>0.01222315085666525</v>
      </c>
      <c r="F77" s="5">
        <v>0.02719321494831695</v>
      </c>
      <c r="G77" s="4">
        <v>193.78</v>
      </c>
    </row>
    <row r="78" spans="1:7">
      <c r="A78" s="4">
        <v>77</v>
      </c>
      <c r="B78" s="1" t="s">
        <v>151</v>
      </c>
      <c r="C78" s="1" t="s">
        <v>152</v>
      </c>
      <c r="D78" s="1" t="s">
        <v>93</v>
      </c>
      <c r="E78" s="5">
        <v>0.01173206958330919</v>
      </c>
      <c r="F78" s="5">
        <v>-0.04708507974525067</v>
      </c>
      <c r="G78" s="4">
        <v>175.06</v>
      </c>
    </row>
    <row r="79" spans="1:7">
      <c r="A79" s="4">
        <v>78</v>
      </c>
      <c r="B79" s="1" t="s">
        <v>624</v>
      </c>
      <c r="C79" s="1" t="s">
        <v>625</v>
      </c>
      <c r="D79" s="1" t="s">
        <v>70</v>
      </c>
      <c r="E79" s="5">
        <v>0.01152610857853298</v>
      </c>
      <c r="F79" s="5">
        <v>-0.03063022811328719</v>
      </c>
      <c r="G79" s="4">
        <v>390.53</v>
      </c>
    </row>
    <row r="80" spans="1:7">
      <c r="A80" s="4">
        <v>79</v>
      </c>
      <c r="B80" s="1" t="s">
        <v>546</v>
      </c>
      <c r="C80" s="1" t="s">
        <v>547</v>
      </c>
      <c r="D80" s="1" t="s">
        <v>37</v>
      </c>
      <c r="E80" s="5">
        <v>0.01150597970866629</v>
      </c>
      <c r="F80" s="5">
        <v>-0.03869427037509199</v>
      </c>
      <c r="G80" s="4">
        <v>535.38</v>
      </c>
    </row>
    <row r="81" spans="1:7">
      <c r="A81" s="4">
        <v>80</v>
      </c>
      <c r="B81" s="1" t="s">
        <v>668</v>
      </c>
      <c r="C81" s="1" t="s">
        <v>669</v>
      </c>
      <c r="D81" s="1" t="s">
        <v>37</v>
      </c>
      <c r="E81" s="5">
        <v>0.01149301825993554</v>
      </c>
      <c r="F81" s="5">
        <v>0.008784145688270018</v>
      </c>
      <c r="G81" s="4">
        <v>94.17</v>
      </c>
    </row>
    <row r="82" spans="1:7">
      <c r="A82" s="4">
        <v>81</v>
      </c>
      <c r="B82" s="1" t="s">
        <v>678</v>
      </c>
      <c r="C82" s="1" t="s">
        <v>679</v>
      </c>
      <c r="D82" s="1" t="s">
        <v>93</v>
      </c>
      <c r="E82" s="5">
        <v>0.01145518135733092</v>
      </c>
      <c r="F82" s="5">
        <v>-0.03766918417707321</v>
      </c>
      <c r="G82" s="4">
        <v>514.77</v>
      </c>
    </row>
    <row r="83" spans="1:7">
      <c r="A83" s="4">
        <v>82</v>
      </c>
      <c r="B83" s="1" t="s">
        <v>795</v>
      </c>
      <c r="C83" s="1" t="s">
        <v>796</v>
      </c>
      <c r="D83" s="1" t="s">
        <v>93</v>
      </c>
      <c r="E83" s="5">
        <v>0.01142516093277068</v>
      </c>
      <c r="F83" s="5">
        <v>-0.06147395071007555</v>
      </c>
      <c r="G83" s="4">
        <v>237.25</v>
      </c>
    </row>
    <row r="84" spans="1:7">
      <c r="A84" s="4">
        <v>83</v>
      </c>
      <c r="B84" s="1" t="s">
        <v>953</v>
      </c>
      <c r="C84" s="1" t="s">
        <v>954</v>
      </c>
      <c r="D84" s="1" t="s">
        <v>47</v>
      </c>
      <c r="E84" s="5">
        <v>0.01127167630057802</v>
      </c>
      <c r="F84" s="5">
        <v>0.0002858776443683819</v>
      </c>
      <c r="G84" s="4">
        <v>34.99</v>
      </c>
    </row>
    <row r="85" spans="1:7">
      <c r="A85" s="4">
        <v>84</v>
      </c>
      <c r="B85" s="1" t="s">
        <v>248</v>
      </c>
      <c r="C85" s="1" t="s">
        <v>249</v>
      </c>
      <c r="D85" s="1" t="s">
        <v>41</v>
      </c>
      <c r="E85" s="5">
        <v>0.01115101115101114</v>
      </c>
      <c r="F85" s="5">
        <v>-0.1889638444629729</v>
      </c>
      <c r="G85" s="4">
        <v>321</v>
      </c>
    </row>
    <row r="86" spans="1:7">
      <c r="A86" s="4">
        <v>85</v>
      </c>
      <c r="B86" s="1" t="s">
        <v>574</v>
      </c>
      <c r="C86" s="1" t="s">
        <v>575</v>
      </c>
      <c r="D86" s="1" t="s">
        <v>54</v>
      </c>
      <c r="E86" s="5">
        <v>0.01100580862121681</v>
      </c>
      <c r="F86" s="5">
        <v>0.03279200499687684</v>
      </c>
      <c r="G86" s="4">
        <v>33.07</v>
      </c>
    </row>
    <row r="87" spans="1:7">
      <c r="A87" s="4">
        <v>86</v>
      </c>
      <c r="B87" s="1" t="s">
        <v>467</v>
      </c>
      <c r="C87" s="1" t="s">
        <v>468</v>
      </c>
      <c r="D87" s="1" t="s">
        <v>70</v>
      </c>
      <c r="E87" s="5">
        <v>0.01091519731318225</v>
      </c>
      <c r="F87" s="5">
        <v>-0.03229325142807937</v>
      </c>
      <c r="G87" s="4">
        <v>337.12</v>
      </c>
    </row>
    <row r="88" spans="1:7">
      <c r="A88" s="4">
        <v>87</v>
      </c>
      <c r="B88" s="1" t="s">
        <v>210</v>
      </c>
      <c r="C88" s="1" t="s">
        <v>211</v>
      </c>
      <c r="D88" s="1" t="s">
        <v>70</v>
      </c>
      <c r="E88" s="5">
        <v>0.01066350710900488</v>
      </c>
      <c r="F88" s="5">
        <v>-0.01093258240848094</v>
      </c>
      <c r="G88" s="4">
        <v>59.71</v>
      </c>
    </row>
    <row r="89" spans="1:7">
      <c r="A89" s="4">
        <v>88</v>
      </c>
      <c r="B89" s="1" t="s">
        <v>168</v>
      </c>
      <c r="C89" s="1" t="s">
        <v>169</v>
      </c>
      <c r="D89" s="1" t="s">
        <v>37</v>
      </c>
      <c r="E89" s="5">
        <v>0.01016816581931934</v>
      </c>
      <c r="F89" s="5">
        <v>-0.01936218678815493</v>
      </c>
      <c r="G89" s="4">
        <v>25.83</v>
      </c>
    </row>
    <row r="90" spans="1:7">
      <c r="A90" s="4">
        <v>89</v>
      </c>
      <c r="B90" s="1" t="s">
        <v>98</v>
      </c>
      <c r="C90" s="1" t="s">
        <v>99</v>
      </c>
      <c r="D90" s="1" t="s">
        <v>70</v>
      </c>
      <c r="E90" s="5">
        <v>0.01002828490614549</v>
      </c>
      <c r="F90" s="5">
        <v>-0.03197584868461589</v>
      </c>
      <c r="G90" s="4">
        <v>157.12</v>
      </c>
    </row>
    <row r="91" spans="1:7">
      <c r="A91" s="4">
        <v>90</v>
      </c>
      <c r="B91" s="1" t="s">
        <v>672</v>
      </c>
      <c r="C91" s="1" t="s">
        <v>673</v>
      </c>
      <c r="D91" s="1" t="s">
        <v>138</v>
      </c>
      <c r="E91" s="5">
        <v>0.009972489683631514</v>
      </c>
      <c r="F91" s="5">
        <v>0.1216039279869068</v>
      </c>
      <c r="G91" s="4">
        <v>616.77</v>
      </c>
    </row>
    <row r="92" spans="1:7">
      <c r="A92" s="4">
        <v>91</v>
      </c>
      <c r="B92" s="1" t="s">
        <v>761</v>
      </c>
      <c r="C92" s="1" t="s">
        <v>762</v>
      </c>
      <c r="D92" s="1" t="s">
        <v>41</v>
      </c>
      <c r="E92" s="5">
        <v>0.009911744738628547</v>
      </c>
      <c r="F92" s="5">
        <v>0.002290796388626948</v>
      </c>
      <c r="G92" s="4">
        <v>74.38</v>
      </c>
    </row>
    <row r="93" spans="1:7">
      <c r="A93" s="4">
        <v>92</v>
      </c>
      <c r="B93" s="1" t="s">
        <v>516</v>
      </c>
      <c r="C93" s="1" t="s">
        <v>517</v>
      </c>
      <c r="D93" s="1" t="s">
        <v>70</v>
      </c>
      <c r="E93" s="5">
        <v>0.009536194191590797</v>
      </c>
      <c r="F93" s="5">
        <v>-0.02913385826771653</v>
      </c>
      <c r="G93" s="4">
        <v>209.61</v>
      </c>
    </row>
    <row r="94" spans="1:7">
      <c r="A94" s="4">
        <v>93</v>
      </c>
      <c r="B94" s="1" t="s">
        <v>350</v>
      </c>
      <c r="C94" s="1" t="s">
        <v>351</v>
      </c>
      <c r="D94" s="1" t="s">
        <v>70</v>
      </c>
      <c r="E94" s="5">
        <v>0.009472968022190775</v>
      </c>
      <c r="F94" s="5">
        <v>-0.04477020602218695</v>
      </c>
      <c r="G94" s="4">
        <v>192.88</v>
      </c>
    </row>
    <row r="95" spans="1:7">
      <c r="A95" s="4">
        <v>94</v>
      </c>
      <c r="B95" s="1" t="s">
        <v>508</v>
      </c>
      <c r="C95" s="1" t="s">
        <v>509</v>
      </c>
      <c r="D95" s="1" t="s">
        <v>47</v>
      </c>
      <c r="E95" s="5">
        <v>0.009369006822397719</v>
      </c>
      <c r="F95" s="5">
        <v>-0.04338368940138848</v>
      </c>
      <c r="G95" s="4">
        <v>321.05</v>
      </c>
    </row>
    <row r="96" spans="1:7">
      <c r="A96" s="4">
        <v>95</v>
      </c>
      <c r="B96" s="1" t="s">
        <v>1001</v>
      </c>
      <c r="C96" s="1" t="s">
        <v>1002</v>
      </c>
      <c r="D96" s="1" t="s">
        <v>93</v>
      </c>
      <c r="E96" s="5">
        <v>0.009222610767398054</v>
      </c>
      <c r="F96" s="5">
        <v>-0.04857991595420963</v>
      </c>
      <c r="G96" s="4">
        <v>262.63</v>
      </c>
    </row>
    <row r="97" spans="1:7">
      <c r="A97" s="4">
        <v>96</v>
      </c>
      <c r="B97" s="1" t="s">
        <v>414</v>
      </c>
      <c r="C97" s="1" t="s">
        <v>415</v>
      </c>
      <c r="D97" s="1" t="s">
        <v>70</v>
      </c>
      <c r="E97" s="5">
        <v>0.008924277240421219</v>
      </c>
      <c r="F97" s="5">
        <v>0.005271284809115651</v>
      </c>
      <c r="G97" s="4">
        <v>188.8</v>
      </c>
    </row>
    <row r="98" spans="1:7">
      <c r="A98" s="4">
        <v>97</v>
      </c>
      <c r="B98" s="1" t="s">
        <v>905</v>
      </c>
      <c r="C98" s="1" t="s">
        <v>906</v>
      </c>
      <c r="D98" s="1" t="s">
        <v>70</v>
      </c>
      <c r="E98" s="5">
        <v>0.008911917098445521</v>
      </c>
      <c r="F98" s="5">
        <v>-0.02659468106378726</v>
      </c>
      <c r="G98" s="4">
        <v>97.36</v>
      </c>
    </row>
    <row r="99" spans="1:7">
      <c r="A99" s="4">
        <v>98</v>
      </c>
      <c r="B99" s="1" t="s">
        <v>498</v>
      </c>
      <c r="C99" s="1" t="s">
        <v>499</v>
      </c>
      <c r="D99" s="1" t="s">
        <v>70</v>
      </c>
      <c r="E99" s="5">
        <v>0.008873891715669879</v>
      </c>
      <c r="F99" s="5">
        <v>0.009335182588550817</v>
      </c>
      <c r="G99" s="4">
        <v>1324.49</v>
      </c>
    </row>
    <row r="100" spans="1:7">
      <c r="A100" s="4">
        <v>99</v>
      </c>
      <c r="B100" s="1" t="s">
        <v>1035</v>
      </c>
      <c r="C100" s="1" t="s">
        <v>1036</v>
      </c>
      <c r="D100" s="1" t="s">
        <v>54</v>
      </c>
      <c r="E100" s="5">
        <v>0.008745375042044978</v>
      </c>
      <c r="F100" s="5">
        <v>0.07311545801526709</v>
      </c>
      <c r="G100" s="4">
        <v>89.97</v>
      </c>
    </row>
    <row r="101" spans="1:7">
      <c r="A101" s="4">
        <v>100</v>
      </c>
      <c r="B101" s="1" t="s">
        <v>132</v>
      </c>
      <c r="C101" s="1" t="s">
        <v>133</v>
      </c>
      <c r="D101" s="1" t="s">
        <v>41</v>
      </c>
      <c r="E101" s="5">
        <v>0.008651151456074091</v>
      </c>
      <c r="F101" s="5">
        <v>0.0544551302464813</v>
      </c>
      <c r="G101" s="4">
        <v>82.78</v>
      </c>
    </row>
  </sheetData>
  <autoFilter ref="A1:G101"/>
  <conditionalFormatting sqref="E2:E101">
    <cfRule type="colorScale" priority="1">
      <colorScale>
        <cfvo type="min" val="0"/>
        <cfvo type="num" val="0"/>
        <cfvo type="max" val="0"/>
        <color rgb="FFF6C7CE"/>
        <color rgb="FFFFFFFF"/>
        <color rgb="FFB9E5D1"/>
      </colorScale>
    </cfRule>
  </conditionalFormatting>
  <conditionalFormatting sqref="F2:F101">
    <cfRule type="colorScale" priority="2">
      <colorScale>
        <cfvo type="min" val="0"/>
        <cfvo type="num" val="0"/>
        <cfvo type="max" val="0"/>
        <color rgb="FFF6C7CE"/>
        <color rgb="FFFFFFFF"/>
        <color rgb="FFB9E5D1"/>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01"/>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5.7109375" style="1" customWidth="1"/>
    <col min="2" max="2" width="22.7109375" style="1" customWidth="1"/>
    <col min="3" max="3" width="40.7109375" style="1" customWidth="1"/>
    <col min="4" max="4" width="27.7109375" style="1" customWidth="1"/>
    <col min="5" max="7" width="15.7109375" style="1" customWidth="1"/>
  </cols>
  <sheetData>
    <row r="1" spans="1:7" ht="30" customHeight="1">
      <c r="A1" s="3" t="s">
        <v>1071</v>
      </c>
      <c r="B1" s="3" t="s">
        <v>24</v>
      </c>
      <c r="C1" s="3" t="s">
        <v>25</v>
      </c>
      <c r="D1" s="3" t="s">
        <v>26</v>
      </c>
      <c r="E1" s="3" t="s">
        <v>1072</v>
      </c>
      <c r="F1" s="3" t="s">
        <v>1073</v>
      </c>
      <c r="G1" s="3" t="s">
        <v>1074</v>
      </c>
    </row>
    <row r="2" spans="1:7">
      <c r="A2" s="4">
        <v>1</v>
      </c>
      <c r="B2" s="1" t="s">
        <v>640</v>
      </c>
      <c r="C2" s="1" t="s">
        <v>641</v>
      </c>
      <c r="D2" s="1" t="s">
        <v>47</v>
      </c>
      <c r="E2" s="5">
        <v>-0.1737702225507103</v>
      </c>
      <c r="F2" s="5">
        <v>-0.1689931444618815</v>
      </c>
      <c r="G2" s="4">
        <v>100.61</v>
      </c>
    </row>
    <row r="3" spans="1:7">
      <c r="A3" s="4">
        <v>2</v>
      </c>
      <c r="B3" s="1" t="s">
        <v>440</v>
      </c>
      <c r="C3" s="1" t="s">
        <v>441</v>
      </c>
      <c r="D3" s="1" t="s">
        <v>41</v>
      </c>
      <c r="E3" s="5">
        <v>-0.1668290241570072</v>
      </c>
      <c r="F3" s="5">
        <v>-0.2050107873485295</v>
      </c>
      <c r="G3" s="4">
        <v>932.26</v>
      </c>
    </row>
    <row r="4" spans="1:7">
      <c r="A4" s="4">
        <v>3</v>
      </c>
      <c r="B4" s="1" t="s">
        <v>72</v>
      </c>
      <c r="C4" s="1" t="s">
        <v>73</v>
      </c>
      <c r="D4" s="1" t="s">
        <v>41</v>
      </c>
      <c r="E4" s="5">
        <v>-0.08260357022566522</v>
      </c>
      <c r="F4" s="5">
        <v>-0.1415345218162118</v>
      </c>
      <c r="G4" s="4">
        <v>217.9</v>
      </c>
    </row>
    <row r="5" spans="1:7">
      <c r="A5" s="4">
        <v>4</v>
      </c>
      <c r="B5" s="1" t="s">
        <v>59</v>
      </c>
      <c r="C5" s="1" t="s">
        <v>60</v>
      </c>
      <c r="D5" s="1" t="s">
        <v>41</v>
      </c>
      <c r="E5" s="5">
        <v>-0.06733158355205604</v>
      </c>
      <c r="F5" s="5">
        <v>-0.03192880494006545</v>
      </c>
      <c r="G5" s="4">
        <v>266.51</v>
      </c>
    </row>
    <row r="6" spans="1:7">
      <c r="A6" s="4">
        <v>5</v>
      </c>
      <c r="B6" s="1" t="s">
        <v>376</v>
      </c>
      <c r="C6" s="1" t="s">
        <v>377</v>
      </c>
      <c r="D6" s="1" t="s">
        <v>70</v>
      </c>
      <c r="E6" s="5">
        <v>-0.06367338304511072</v>
      </c>
      <c r="F6" s="5">
        <v>-0.08083272765029592</v>
      </c>
      <c r="G6" s="4">
        <v>177.05</v>
      </c>
    </row>
    <row r="7" spans="1:7">
      <c r="A7" s="4">
        <v>6</v>
      </c>
      <c r="B7" s="1" t="s">
        <v>823</v>
      </c>
      <c r="C7" s="1" t="s">
        <v>824</v>
      </c>
      <c r="D7" s="1" t="s">
        <v>41</v>
      </c>
      <c r="E7" s="5">
        <v>-0.06036780383795315</v>
      </c>
      <c r="F7" s="5">
        <v>-0.08831135246961463</v>
      </c>
      <c r="G7" s="4">
        <v>141.02</v>
      </c>
    </row>
    <row r="8" spans="1:7">
      <c r="A8" s="4">
        <v>7</v>
      </c>
      <c r="B8" s="1" t="s">
        <v>955</v>
      </c>
      <c r="C8" s="1" t="s">
        <v>956</v>
      </c>
      <c r="D8" s="1" t="s">
        <v>47</v>
      </c>
      <c r="E8" s="5">
        <v>-0.05921113812389578</v>
      </c>
      <c r="F8" s="5">
        <v>-0.02419665986882003</v>
      </c>
      <c r="G8" s="4">
        <v>354.08</v>
      </c>
    </row>
    <row r="9" spans="1:7">
      <c r="A9" s="4">
        <v>8</v>
      </c>
      <c r="B9" s="1" t="s">
        <v>881</v>
      </c>
      <c r="C9" s="1" t="s">
        <v>882</v>
      </c>
      <c r="D9" s="1" t="s">
        <v>41</v>
      </c>
      <c r="E9" s="5">
        <v>-0.05397420191684088</v>
      </c>
      <c r="F9" s="5">
        <v>-0.01012893658732761</v>
      </c>
      <c r="G9" s="4">
        <v>393.84</v>
      </c>
    </row>
    <row r="10" spans="1:7">
      <c r="A10" s="4">
        <v>9</v>
      </c>
      <c r="B10" s="1" t="s">
        <v>1027</v>
      </c>
      <c r="C10" s="1" t="s">
        <v>1028</v>
      </c>
      <c r="D10" s="1" t="s">
        <v>41</v>
      </c>
      <c r="E10" s="5">
        <v>-0.05378890392422186</v>
      </c>
      <c r="F10" s="5">
        <v>-0.02109894505274734</v>
      </c>
      <c r="G10" s="4">
        <v>195.79</v>
      </c>
    </row>
    <row r="11" spans="1:7">
      <c r="A11" s="4">
        <v>10</v>
      </c>
      <c r="B11" s="1" t="s">
        <v>724</v>
      </c>
      <c r="C11" s="1" t="s">
        <v>725</v>
      </c>
      <c r="D11" s="1" t="s">
        <v>138</v>
      </c>
      <c r="E11" s="5">
        <v>-0.05346558606507801</v>
      </c>
      <c r="F11" s="5">
        <v>-0.01683628596557363</v>
      </c>
      <c r="G11" s="4">
        <v>78.25</v>
      </c>
    </row>
    <row r="12" spans="1:7">
      <c r="A12" s="4">
        <v>11</v>
      </c>
      <c r="B12" s="1" t="s">
        <v>321</v>
      </c>
      <c r="C12" s="1" t="s">
        <v>322</v>
      </c>
      <c r="D12" s="1" t="s">
        <v>47</v>
      </c>
      <c r="E12" s="5">
        <v>-0.04626126126126129</v>
      </c>
      <c r="F12" s="5">
        <v>-0.05261980401807698</v>
      </c>
      <c r="G12" s="4">
        <v>211.73</v>
      </c>
    </row>
    <row r="13" spans="1:7">
      <c r="A13" s="4">
        <v>12</v>
      </c>
      <c r="B13" s="1" t="s">
        <v>570</v>
      </c>
      <c r="C13" s="1" t="s">
        <v>571</v>
      </c>
      <c r="D13" s="1" t="s">
        <v>41</v>
      </c>
      <c r="E13" s="5">
        <v>-0.0462498720965927</v>
      </c>
      <c r="F13" s="5">
        <v>-0.04839203675344572</v>
      </c>
      <c r="G13" s="4">
        <v>186.42</v>
      </c>
    </row>
    <row r="14" spans="1:7">
      <c r="A14" s="4">
        <v>13</v>
      </c>
      <c r="B14" s="1" t="s">
        <v>799</v>
      </c>
      <c r="C14" s="1" t="s">
        <v>800</v>
      </c>
      <c r="D14" s="1" t="s">
        <v>41</v>
      </c>
      <c r="E14" s="5">
        <v>-0.0449241220621267</v>
      </c>
      <c r="F14" s="5">
        <v>-0.03117705901967316</v>
      </c>
      <c r="G14" s="4">
        <v>174.33</v>
      </c>
    </row>
    <row r="15" spans="1:7">
      <c r="A15" s="4">
        <v>14</v>
      </c>
      <c r="B15" s="1" t="s">
        <v>522</v>
      </c>
      <c r="C15" s="1" t="s">
        <v>523</v>
      </c>
      <c r="D15" s="1" t="s">
        <v>41</v>
      </c>
      <c r="E15" s="5">
        <v>-0.04481998530492282</v>
      </c>
      <c r="F15" s="5">
        <v>-0.02712815715622086</v>
      </c>
      <c r="G15" s="4">
        <v>52</v>
      </c>
    </row>
    <row r="16" spans="1:7">
      <c r="A16" s="4">
        <v>15</v>
      </c>
      <c r="B16" s="1" t="s">
        <v>91</v>
      </c>
      <c r="C16" s="1" t="s">
        <v>92</v>
      </c>
      <c r="D16" s="1" t="s">
        <v>93</v>
      </c>
      <c r="E16" s="5">
        <v>-0.04449152542372881</v>
      </c>
      <c r="F16" s="5">
        <v>-0.1184642233856893</v>
      </c>
      <c r="G16" s="4">
        <v>126.28</v>
      </c>
    </row>
    <row r="17" spans="1:7">
      <c r="A17" s="4">
        <v>16</v>
      </c>
      <c r="B17" s="1" t="s">
        <v>961</v>
      </c>
      <c r="C17" s="1" t="s">
        <v>962</v>
      </c>
      <c r="D17" s="1" t="s">
        <v>138</v>
      </c>
      <c r="E17" s="5">
        <v>-0.0437375745526839</v>
      </c>
      <c r="F17" s="5">
        <v>0.09484066767830046</v>
      </c>
      <c r="G17" s="4">
        <v>14.43</v>
      </c>
    </row>
    <row r="18" spans="1:7">
      <c r="A18" s="4">
        <v>17</v>
      </c>
      <c r="B18" s="1" t="s">
        <v>275</v>
      </c>
      <c r="C18" s="1" t="s">
        <v>276</v>
      </c>
      <c r="D18" s="1" t="s">
        <v>54</v>
      </c>
      <c r="E18" s="5">
        <v>-0.04182667358588477</v>
      </c>
      <c r="F18" s="5">
        <v>-0.009920102954582122</v>
      </c>
      <c r="G18" s="4">
        <v>184.64</v>
      </c>
    </row>
    <row r="19" spans="1:7">
      <c r="A19" s="4">
        <v>18</v>
      </c>
      <c r="B19" s="1" t="s">
        <v>155</v>
      </c>
      <c r="C19" s="1" t="s">
        <v>156</v>
      </c>
      <c r="D19" s="1" t="s">
        <v>70</v>
      </c>
      <c r="E19" s="5">
        <v>-0.04177273994239528</v>
      </c>
      <c r="F19" s="5">
        <v>-0.1785424133811231</v>
      </c>
      <c r="G19" s="4">
        <v>515.67</v>
      </c>
    </row>
    <row r="20" spans="1:7">
      <c r="A20" s="4">
        <v>19</v>
      </c>
      <c r="B20" s="1" t="s">
        <v>969</v>
      </c>
      <c r="C20" s="1" t="s">
        <v>970</v>
      </c>
      <c r="D20" s="1" t="s">
        <v>41</v>
      </c>
      <c r="E20" s="5">
        <v>-0.04018245577029556</v>
      </c>
      <c r="F20" s="5">
        <v>0.03792090782083068</v>
      </c>
      <c r="G20" s="4">
        <v>364.03</v>
      </c>
    </row>
    <row r="21" spans="1:7">
      <c r="A21" s="4">
        <v>20</v>
      </c>
      <c r="B21" s="1" t="s">
        <v>228</v>
      </c>
      <c r="C21" s="1" t="s">
        <v>229</v>
      </c>
      <c r="D21" s="1" t="s">
        <v>41</v>
      </c>
      <c r="E21" s="5">
        <v>-0.03993439934399345</v>
      </c>
      <c r="F21" s="5">
        <v>-0.08250266440975484</v>
      </c>
      <c r="G21" s="4">
        <v>292.7</v>
      </c>
    </row>
    <row r="22" spans="1:7">
      <c r="A22" s="4">
        <v>21</v>
      </c>
      <c r="B22" s="1" t="s">
        <v>307</v>
      </c>
      <c r="C22" s="1" t="s">
        <v>308</v>
      </c>
      <c r="D22" s="1" t="s">
        <v>41</v>
      </c>
      <c r="E22" s="5">
        <v>-0.03604579207920788</v>
      </c>
      <c r="F22" s="5">
        <v>0.007111685792791311</v>
      </c>
      <c r="G22" s="4">
        <v>62.31</v>
      </c>
    </row>
    <row r="23" spans="1:7">
      <c r="A23" s="4">
        <v>22</v>
      </c>
      <c r="B23" s="1" t="s">
        <v>853</v>
      </c>
      <c r="C23" s="1" t="s">
        <v>854</v>
      </c>
      <c r="D23" s="1" t="s">
        <v>41</v>
      </c>
      <c r="E23" s="5">
        <v>-0.03568130697288985</v>
      </c>
      <c r="F23" s="5">
        <v>-0.01095218436581769</v>
      </c>
      <c r="G23" s="4">
        <v>407.28</v>
      </c>
    </row>
    <row r="24" spans="1:7">
      <c r="A24" s="4">
        <v>23</v>
      </c>
      <c r="B24" s="1" t="s">
        <v>428</v>
      </c>
      <c r="C24" s="1" t="s">
        <v>429</v>
      </c>
      <c r="D24" s="1" t="s">
        <v>54</v>
      </c>
      <c r="E24" s="5">
        <v>-0.03514826175869123</v>
      </c>
      <c r="F24" s="5">
        <v>0.006835383948517793</v>
      </c>
      <c r="G24" s="4">
        <v>301.96</v>
      </c>
    </row>
    <row r="25" spans="1:7">
      <c r="A25" s="4">
        <v>24</v>
      </c>
      <c r="B25" s="1" t="s">
        <v>939</v>
      </c>
      <c r="C25" s="1" t="s">
        <v>940</v>
      </c>
      <c r="D25" s="1" t="s">
        <v>138</v>
      </c>
      <c r="E25" s="5">
        <v>-0.03457079034145305</v>
      </c>
      <c r="F25" s="5">
        <v>-0.008304195804195724</v>
      </c>
      <c r="G25" s="4">
        <v>181.52</v>
      </c>
    </row>
    <row r="26" spans="1:7">
      <c r="A26" s="4">
        <v>25</v>
      </c>
      <c r="B26" s="1" t="s">
        <v>452</v>
      </c>
      <c r="C26" s="1" t="s">
        <v>453</v>
      </c>
      <c r="D26" s="1" t="s">
        <v>138</v>
      </c>
      <c r="E26" s="5">
        <v>-0.03390110798743173</v>
      </c>
      <c r="F26" s="5">
        <v>-0.043079443079443</v>
      </c>
      <c r="G26" s="4">
        <v>58.42</v>
      </c>
    </row>
    <row r="27" spans="1:7">
      <c r="A27" s="4">
        <v>26</v>
      </c>
      <c r="B27" s="1" t="s">
        <v>454</v>
      </c>
      <c r="C27" s="1" t="s">
        <v>453</v>
      </c>
      <c r="D27" s="1" t="s">
        <v>138</v>
      </c>
      <c r="E27" s="5">
        <v>-0.03382070595185338</v>
      </c>
      <c r="F27" s="5">
        <v>-0.04552086372920927</v>
      </c>
      <c r="G27" s="4">
        <v>65.42</v>
      </c>
    </row>
    <row r="28" spans="1:7">
      <c r="A28" s="4">
        <v>27</v>
      </c>
      <c r="B28" s="1" t="s">
        <v>194</v>
      </c>
      <c r="C28" s="1" t="s">
        <v>195</v>
      </c>
      <c r="D28" s="1" t="s">
        <v>70</v>
      </c>
      <c r="E28" s="5">
        <v>-0.03370409703202726</v>
      </c>
      <c r="F28" s="5">
        <v>-0.051048413656823</v>
      </c>
      <c r="G28" s="4">
        <v>172.88</v>
      </c>
    </row>
    <row r="29" spans="1:7">
      <c r="A29" s="4">
        <v>28</v>
      </c>
      <c r="B29" s="1" t="s">
        <v>556</v>
      </c>
      <c r="C29" s="1" t="s">
        <v>557</v>
      </c>
      <c r="D29" s="1" t="s">
        <v>41</v>
      </c>
      <c r="E29" s="5">
        <v>-0.03369154806854491</v>
      </c>
      <c r="F29" s="5">
        <v>-0.09346049046321525</v>
      </c>
      <c r="G29" s="4">
        <v>332.7</v>
      </c>
    </row>
    <row r="30" spans="1:7">
      <c r="A30" s="4">
        <v>29</v>
      </c>
      <c r="B30" s="1" t="s">
        <v>56</v>
      </c>
      <c r="C30" s="1" t="s">
        <v>57</v>
      </c>
      <c r="D30" s="1" t="s">
        <v>41</v>
      </c>
      <c r="E30" s="5">
        <v>-0.03314001657000831</v>
      </c>
      <c r="F30" s="5">
        <v>0.007772020725388629</v>
      </c>
      <c r="G30" s="4">
        <v>186.72</v>
      </c>
    </row>
    <row r="31" spans="1:7">
      <c r="A31" s="4">
        <v>30</v>
      </c>
      <c r="B31" s="1" t="s">
        <v>827</v>
      </c>
      <c r="C31" s="1" t="s">
        <v>828</v>
      </c>
      <c r="D31" s="1" t="s">
        <v>54</v>
      </c>
      <c r="E31" s="5">
        <v>-0.03273495248152059</v>
      </c>
      <c r="F31" s="5">
        <v>-0.1070674248578392</v>
      </c>
      <c r="G31" s="4">
        <v>54.96</v>
      </c>
    </row>
    <row r="32" spans="1:7">
      <c r="A32" s="4">
        <v>31</v>
      </c>
      <c r="B32" s="1" t="s">
        <v>993</v>
      </c>
      <c r="C32" s="1" t="s">
        <v>994</v>
      </c>
      <c r="D32" s="1" t="s">
        <v>37</v>
      </c>
      <c r="E32" s="5">
        <v>-0.0326675574934947</v>
      </c>
      <c r="F32" s="5">
        <v>0.1096813231141589</v>
      </c>
      <c r="G32" s="4">
        <v>275.09</v>
      </c>
    </row>
    <row r="33" spans="1:7">
      <c r="A33" s="4">
        <v>32</v>
      </c>
      <c r="B33" s="1" t="s">
        <v>234</v>
      </c>
      <c r="C33" s="1" t="s">
        <v>235</v>
      </c>
      <c r="D33" s="1" t="s">
        <v>93</v>
      </c>
      <c r="E33" s="5">
        <v>-0.03236339888251949</v>
      </c>
      <c r="F33" s="5">
        <v>0.02893518518518512</v>
      </c>
      <c r="G33" s="4">
        <v>133.35</v>
      </c>
    </row>
    <row r="34" spans="1:7">
      <c r="A34" s="4">
        <v>33</v>
      </c>
      <c r="B34" s="1" t="s">
        <v>127</v>
      </c>
      <c r="C34" s="1" t="s">
        <v>128</v>
      </c>
      <c r="D34" s="1" t="s">
        <v>129</v>
      </c>
      <c r="E34" s="5">
        <v>-0.03191489361702116</v>
      </c>
      <c r="F34" s="5">
        <v>-0.01428900668356758</v>
      </c>
      <c r="G34" s="4">
        <v>42.77</v>
      </c>
    </row>
    <row r="35" spans="1:7">
      <c r="A35" s="4">
        <v>34</v>
      </c>
      <c r="B35" s="1" t="s">
        <v>352</v>
      </c>
      <c r="C35" s="1" t="s">
        <v>353</v>
      </c>
      <c r="D35" s="1" t="s">
        <v>93</v>
      </c>
      <c r="E35" s="5">
        <v>-0.03030303030303028</v>
      </c>
      <c r="F35" s="5">
        <v>-0.08995363214837715</v>
      </c>
      <c r="G35" s="4">
        <v>29.44</v>
      </c>
    </row>
    <row r="36" spans="1:7">
      <c r="A36" s="4">
        <v>35</v>
      </c>
      <c r="B36" s="1" t="s">
        <v>732</v>
      </c>
      <c r="C36" s="1" t="s">
        <v>733</v>
      </c>
      <c r="D36" s="1" t="s">
        <v>41</v>
      </c>
      <c r="E36" s="5">
        <v>-0.02974105364379431</v>
      </c>
      <c r="F36" s="5">
        <v>0.09947073474470747</v>
      </c>
      <c r="G36" s="4">
        <v>141.26</v>
      </c>
    </row>
    <row r="37" spans="1:7">
      <c r="A37" s="4">
        <v>36</v>
      </c>
      <c r="B37" s="1" t="s">
        <v>176</v>
      </c>
      <c r="C37" s="1" t="s">
        <v>177</v>
      </c>
      <c r="D37" s="1" t="s">
        <v>66</v>
      </c>
      <c r="E37" s="5">
        <v>-0.02835332606324981</v>
      </c>
      <c r="F37" s="5">
        <v>-0.060126582278481</v>
      </c>
      <c r="G37" s="4">
        <v>26.73</v>
      </c>
    </row>
    <row r="38" spans="1:7">
      <c r="A38" s="4">
        <v>37</v>
      </c>
      <c r="B38" s="1" t="s">
        <v>604</v>
      </c>
      <c r="C38" s="1" t="s">
        <v>605</v>
      </c>
      <c r="D38" s="1" t="s">
        <v>66</v>
      </c>
      <c r="E38" s="5">
        <v>-0.02769800833719327</v>
      </c>
      <c r="F38" s="5">
        <v>-0.03979507821791239</v>
      </c>
      <c r="G38" s="4">
        <v>104.96</v>
      </c>
    </row>
    <row r="39" spans="1:7">
      <c r="A39" s="4">
        <v>38</v>
      </c>
      <c r="B39" s="1" t="s">
        <v>773</v>
      </c>
      <c r="C39" s="1" t="s">
        <v>774</v>
      </c>
      <c r="D39" s="1" t="s">
        <v>70</v>
      </c>
      <c r="E39" s="5">
        <v>-0.02694275663575318</v>
      </c>
      <c r="F39" s="5">
        <v>-0.02221329584253862</v>
      </c>
      <c r="G39" s="4">
        <v>121.71</v>
      </c>
    </row>
    <row r="40" spans="1:7">
      <c r="A40" s="4">
        <v>39</v>
      </c>
      <c r="B40" s="1" t="s">
        <v>1005</v>
      </c>
      <c r="C40" s="1" t="s">
        <v>1006</v>
      </c>
      <c r="D40" s="1" t="s">
        <v>70</v>
      </c>
      <c r="E40" s="5">
        <v>-0.02523609653725079</v>
      </c>
      <c r="F40" s="5">
        <v>-0.009120000000000017</v>
      </c>
      <c r="G40" s="4">
        <v>185.79</v>
      </c>
    </row>
    <row r="41" spans="1:7">
      <c r="A41" s="4">
        <v>40</v>
      </c>
      <c r="B41" s="1" t="s">
        <v>39</v>
      </c>
      <c r="C41" s="1" t="s">
        <v>40</v>
      </c>
      <c r="D41" s="1" t="s">
        <v>41</v>
      </c>
      <c r="E41" s="5">
        <v>-0.02510587733463321</v>
      </c>
      <c r="F41" s="5">
        <v>0.03433004687247454</v>
      </c>
      <c r="G41" s="4">
        <v>319.97</v>
      </c>
    </row>
    <row r="42" spans="1:7">
      <c r="A42" s="4">
        <v>41</v>
      </c>
      <c r="B42" s="1" t="s">
        <v>730</v>
      </c>
      <c r="C42" s="1" t="s">
        <v>731</v>
      </c>
      <c r="D42" s="1" t="s">
        <v>70</v>
      </c>
      <c r="E42" s="5">
        <v>-0.02510222626079051</v>
      </c>
      <c r="F42" s="5">
        <v>-0.06542293523038667</v>
      </c>
      <c r="G42" s="4">
        <v>514.98</v>
      </c>
    </row>
    <row r="43" spans="1:7">
      <c r="A43" s="4">
        <v>42</v>
      </c>
      <c r="B43" s="1" t="s">
        <v>759</v>
      </c>
      <c r="C43" s="1" t="s">
        <v>760</v>
      </c>
      <c r="D43" s="1" t="s">
        <v>138</v>
      </c>
      <c r="E43" s="5">
        <v>-0.02490263188953146</v>
      </c>
      <c r="F43" s="5">
        <v>-0.05620287868403018</v>
      </c>
      <c r="G43" s="4">
        <v>82.62</v>
      </c>
    </row>
    <row r="44" spans="1:7">
      <c r="A44" s="4">
        <v>43</v>
      </c>
      <c r="B44" s="1" t="s">
        <v>477</v>
      </c>
      <c r="C44" s="1" t="s">
        <v>478</v>
      </c>
      <c r="D44" s="1" t="s">
        <v>66</v>
      </c>
      <c r="E44" s="5">
        <v>-0.02470708099847174</v>
      </c>
      <c r="F44" s="5">
        <v>-0.04203152364273199</v>
      </c>
      <c r="G44" s="4">
        <v>38.29</v>
      </c>
    </row>
    <row r="45" spans="1:7">
      <c r="A45" s="4">
        <v>44</v>
      </c>
      <c r="B45" s="1" t="s">
        <v>301</v>
      </c>
      <c r="C45" s="1" t="s">
        <v>302</v>
      </c>
      <c r="D45" s="1" t="s">
        <v>116</v>
      </c>
      <c r="E45" s="5">
        <v>-0.02430555555555558</v>
      </c>
      <c r="F45" s="5">
        <v>-0.04184748915065095</v>
      </c>
      <c r="G45" s="4">
        <v>30.91</v>
      </c>
    </row>
    <row r="46" spans="1:7">
      <c r="A46" s="4">
        <v>45</v>
      </c>
      <c r="B46" s="1" t="s">
        <v>748</v>
      </c>
      <c r="C46" s="1" t="s">
        <v>749</v>
      </c>
      <c r="D46" s="1" t="s">
        <v>138</v>
      </c>
      <c r="E46" s="5">
        <v>-0.02361751152073732</v>
      </c>
      <c r="F46" s="5">
        <v>-0.01881331403762654</v>
      </c>
      <c r="G46" s="4">
        <v>33.9</v>
      </c>
    </row>
    <row r="47" spans="1:7">
      <c r="A47" s="4">
        <v>46</v>
      </c>
      <c r="B47" s="1" t="s">
        <v>368</v>
      </c>
      <c r="C47" s="1" t="s">
        <v>369</v>
      </c>
      <c r="D47" s="1" t="s">
        <v>47</v>
      </c>
      <c r="E47" s="5">
        <v>-0.02314377479690155</v>
      </c>
      <c r="F47" s="5">
        <v>-0.00691443388072599</v>
      </c>
      <c r="G47" s="4">
        <v>103.41</v>
      </c>
    </row>
    <row r="48" spans="1:7">
      <c r="A48" s="4">
        <v>47</v>
      </c>
      <c r="B48" s="1" t="s">
        <v>648</v>
      </c>
      <c r="C48" s="1" t="s">
        <v>649</v>
      </c>
      <c r="D48" s="1" t="s">
        <v>138</v>
      </c>
      <c r="E48" s="5">
        <v>-0.02248013972618179</v>
      </c>
      <c r="F48" s="5">
        <v>-0.04575954240457591</v>
      </c>
      <c r="G48" s="4">
        <v>173.5</v>
      </c>
    </row>
    <row r="49" spans="1:7">
      <c r="A49" s="4">
        <v>48</v>
      </c>
      <c r="B49" s="1" t="s">
        <v>596</v>
      </c>
      <c r="C49" s="1" t="s">
        <v>597</v>
      </c>
      <c r="D49" s="1" t="s">
        <v>66</v>
      </c>
      <c r="E49" s="5">
        <v>-0.02242328874901656</v>
      </c>
      <c r="F49" s="5">
        <v>-0.0285379202501953</v>
      </c>
      <c r="G49" s="4">
        <v>24.85</v>
      </c>
    </row>
    <row r="50" spans="1:7">
      <c r="A50" s="4">
        <v>49</v>
      </c>
      <c r="B50" s="1" t="s">
        <v>465</v>
      </c>
      <c r="C50" s="1" t="s">
        <v>466</v>
      </c>
      <c r="D50" s="1" t="s">
        <v>41</v>
      </c>
      <c r="E50" s="5">
        <v>-0.02238733957348249</v>
      </c>
      <c r="F50" s="5">
        <v>0.04367981868754511</v>
      </c>
      <c r="G50" s="4">
        <v>101.31</v>
      </c>
    </row>
    <row r="51" spans="1:7">
      <c r="A51" s="4">
        <v>50</v>
      </c>
      <c r="B51" s="1" t="s">
        <v>694</v>
      </c>
      <c r="C51" s="1" t="s">
        <v>695</v>
      </c>
      <c r="D51" s="1" t="s">
        <v>37</v>
      </c>
      <c r="E51" s="5">
        <v>-0.02230133673675017</v>
      </c>
      <c r="F51" s="5">
        <v>0.002893957141872905</v>
      </c>
      <c r="G51" s="4">
        <v>145.55</v>
      </c>
    </row>
    <row r="52" spans="1:7">
      <c r="A52" s="4">
        <v>51</v>
      </c>
      <c r="B52" s="1" t="s">
        <v>789</v>
      </c>
      <c r="C52" s="1" t="s">
        <v>790</v>
      </c>
      <c r="D52" s="1" t="s">
        <v>54</v>
      </c>
      <c r="E52" s="5">
        <v>-0.02197704024657177</v>
      </c>
      <c r="F52" s="5">
        <v>-0.001504925209777519</v>
      </c>
      <c r="G52" s="4">
        <v>218.95</v>
      </c>
    </row>
    <row r="53" spans="1:7">
      <c r="A53" s="4">
        <v>52</v>
      </c>
      <c r="B53" s="1" t="s">
        <v>622</v>
      </c>
      <c r="C53" s="1" t="s">
        <v>623</v>
      </c>
      <c r="D53" s="1" t="s">
        <v>70</v>
      </c>
      <c r="E53" s="5">
        <v>-0.02170595864805069</v>
      </c>
      <c r="F53" s="5">
        <v>-0.03854084654894474</v>
      </c>
      <c r="G53" s="4">
        <v>256.45</v>
      </c>
    </row>
    <row r="54" spans="1:7">
      <c r="A54" s="4">
        <v>53</v>
      </c>
      <c r="B54" s="1" t="s">
        <v>471</v>
      </c>
      <c r="C54" s="1" t="s">
        <v>472</v>
      </c>
      <c r="D54" s="1" t="s">
        <v>41</v>
      </c>
      <c r="E54" s="5">
        <v>-0.02170443664219601</v>
      </c>
      <c r="F54" s="5">
        <v>0.05945385413066018</v>
      </c>
      <c r="G54" s="4">
        <v>30.65</v>
      </c>
    </row>
    <row r="55" spans="1:7">
      <c r="A55" s="4">
        <v>54</v>
      </c>
      <c r="B55" s="1" t="s">
        <v>396</v>
      </c>
      <c r="C55" s="1" t="s">
        <v>397</v>
      </c>
      <c r="D55" s="1" t="s">
        <v>54</v>
      </c>
      <c r="E55" s="5">
        <v>-0.02155823044471106</v>
      </c>
      <c r="F55" s="5">
        <v>-0.04549745138757788</v>
      </c>
      <c r="G55" s="4">
        <v>252.8</v>
      </c>
    </row>
    <row r="56" spans="1:7">
      <c r="A56" s="4">
        <v>55</v>
      </c>
      <c r="B56" s="1" t="s">
        <v>1049</v>
      </c>
      <c r="C56" s="1" t="s">
        <v>1050</v>
      </c>
      <c r="D56" s="1" t="s">
        <v>54</v>
      </c>
      <c r="E56" s="5">
        <v>-0.02139975442904751</v>
      </c>
      <c r="F56" s="5">
        <v>-0.02119945027632386</v>
      </c>
      <c r="G56" s="4">
        <v>334.74</v>
      </c>
    </row>
    <row r="57" spans="1:7">
      <c r="A57" s="4">
        <v>56</v>
      </c>
      <c r="B57" s="1" t="s">
        <v>664</v>
      </c>
      <c r="C57" s="1" t="s">
        <v>665</v>
      </c>
      <c r="D57" s="1" t="s">
        <v>54</v>
      </c>
      <c r="E57" s="5">
        <v>-0.02131667658139991</v>
      </c>
      <c r="F57" s="5">
        <v>-0.0194111102280855</v>
      </c>
      <c r="G57" s="4">
        <v>493.55</v>
      </c>
    </row>
    <row r="58" spans="1:7">
      <c r="A58" s="4">
        <v>57</v>
      </c>
      <c r="B58" s="1" t="s">
        <v>1011</v>
      </c>
      <c r="C58" s="1" t="s">
        <v>1012</v>
      </c>
      <c r="D58" s="1" t="s">
        <v>37</v>
      </c>
      <c r="E58" s="5">
        <v>-0.02122015915119368</v>
      </c>
      <c r="F58" s="5">
        <v>-0.003521576498494605</v>
      </c>
      <c r="G58" s="4">
        <v>546.12</v>
      </c>
    </row>
    <row r="59" spans="1:7">
      <c r="A59" s="4">
        <v>58</v>
      </c>
      <c r="B59" s="1" t="s">
        <v>520</v>
      </c>
      <c r="C59" s="1" t="s">
        <v>521</v>
      </c>
      <c r="D59" s="1" t="s">
        <v>54</v>
      </c>
      <c r="E59" s="5">
        <v>-0.02092687620269407</v>
      </c>
      <c r="F59" s="5">
        <v>0.1292888190141497</v>
      </c>
      <c r="G59" s="4">
        <v>122.11</v>
      </c>
    </row>
    <row r="60" spans="1:7">
      <c r="A60" s="4">
        <v>59</v>
      </c>
      <c r="B60" s="1" t="s">
        <v>68</v>
      </c>
      <c r="C60" s="1" t="s">
        <v>69</v>
      </c>
      <c r="D60" s="1" t="s">
        <v>70</v>
      </c>
      <c r="E60" s="5">
        <v>-0.02084435509469884</v>
      </c>
      <c r="F60" s="5">
        <v>-0.01135999430219725</v>
      </c>
      <c r="G60" s="4">
        <v>277.62</v>
      </c>
    </row>
    <row r="61" spans="1:7">
      <c r="A61" s="4">
        <v>60</v>
      </c>
      <c r="B61" s="1" t="s">
        <v>250</v>
      </c>
      <c r="C61" s="1" t="s">
        <v>251</v>
      </c>
      <c r="D61" s="1" t="s">
        <v>54</v>
      </c>
      <c r="E61" s="5">
        <v>-0.02071886446886451</v>
      </c>
      <c r="F61" s="5">
        <v>0.01669736763919416</v>
      </c>
      <c r="G61" s="4">
        <v>171.1</v>
      </c>
    </row>
    <row r="62" spans="1:7">
      <c r="A62" s="4">
        <v>61</v>
      </c>
      <c r="B62" s="1" t="s">
        <v>809</v>
      </c>
      <c r="C62" s="1" t="s">
        <v>810</v>
      </c>
      <c r="D62" s="1" t="s">
        <v>37</v>
      </c>
      <c r="E62" s="5">
        <v>-0.02058706335502736</v>
      </c>
      <c r="F62" s="5">
        <v>-0.004589632829373747</v>
      </c>
      <c r="G62" s="4">
        <v>147.48</v>
      </c>
    </row>
    <row r="63" spans="1:7">
      <c r="A63" s="4">
        <v>62</v>
      </c>
      <c r="B63" s="1" t="s">
        <v>1033</v>
      </c>
      <c r="C63" s="1" t="s">
        <v>1034</v>
      </c>
      <c r="D63" s="1" t="s">
        <v>116</v>
      </c>
      <c r="E63" s="5">
        <v>-0.02052919708029199</v>
      </c>
      <c r="F63" s="5">
        <v>-0.01274977008611322</v>
      </c>
      <c r="G63" s="4">
        <v>236.17</v>
      </c>
    </row>
    <row r="64" spans="1:7">
      <c r="A64" s="4">
        <v>63</v>
      </c>
      <c r="B64" s="1" t="s">
        <v>704</v>
      </c>
      <c r="C64" s="1" t="s">
        <v>705</v>
      </c>
      <c r="D64" s="1" t="s">
        <v>41</v>
      </c>
      <c r="E64" s="5">
        <v>-0.020426566298126</v>
      </c>
      <c r="F64" s="5">
        <v>0.03406174985514432</v>
      </c>
      <c r="G64" s="4">
        <v>499.7</v>
      </c>
    </row>
    <row r="65" spans="1:7">
      <c r="A65" s="4">
        <v>64</v>
      </c>
      <c r="B65" s="1" t="s">
        <v>1059</v>
      </c>
      <c r="C65" s="1" t="s">
        <v>1060</v>
      </c>
      <c r="D65" s="1" t="s">
        <v>70</v>
      </c>
      <c r="E65" s="5">
        <v>-0.02039113912318102</v>
      </c>
      <c r="F65" s="5">
        <v>-0.06815376476811852</v>
      </c>
      <c r="G65" s="4">
        <v>105.69</v>
      </c>
    </row>
    <row r="66" spans="1:7">
      <c r="A66" s="4">
        <v>65</v>
      </c>
      <c r="B66" s="1" t="s">
        <v>544</v>
      </c>
      <c r="C66" s="1" t="s">
        <v>545</v>
      </c>
      <c r="D66" s="1" t="s">
        <v>54</v>
      </c>
      <c r="E66" s="5">
        <v>-0.02023209186463337</v>
      </c>
      <c r="F66" s="5">
        <v>6.201550387596733E-05</v>
      </c>
      <c r="G66" s="4">
        <v>161.26</v>
      </c>
    </row>
    <row r="67" spans="1:7">
      <c r="A67" s="4">
        <v>66</v>
      </c>
      <c r="B67" s="1" t="s">
        <v>366</v>
      </c>
      <c r="C67" s="1" t="s">
        <v>367</v>
      </c>
      <c r="D67" s="1" t="s">
        <v>37</v>
      </c>
      <c r="E67" s="5">
        <v>-0.02017612306320349</v>
      </c>
      <c r="F67" s="5">
        <v>-0.04808317089018843</v>
      </c>
      <c r="G67" s="4">
        <v>87.90000000000001</v>
      </c>
    </row>
    <row r="68" spans="1:7">
      <c r="A68" s="4">
        <v>67</v>
      </c>
      <c r="B68" s="1" t="s">
        <v>410</v>
      </c>
      <c r="C68" s="1" t="s">
        <v>411</v>
      </c>
      <c r="D68" s="1" t="s">
        <v>76</v>
      </c>
      <c r="E68" s="5">
        <v>-0.01998652593757022</v>
      </c>
      <c r="F68" s="5">
        <v>-0.003197807217907744</v>
      </c>
      <c r="G68" s="4">
        <v>43.64</v>
      </c>
    </row>
    <row r="69" spans="1:7">
      <c r="A69" s="4">
        <v>68</v>
      </c>
      <c r="B69" s="1" t="s">
        <v>1015</v>
      </c>
      <c r="C69" s="1" t="s">
        <v>1016</v>
      </c>
      <c r="D69" s="1" t="s">
        <v>116</v>
      </c>
      <c r="E69" s="5">
        <v>-0.01997611551405931</v>
      </c>
      <c r="F69" s="5">
        <v>-0.02998065764023217</v>
      </c>
      <c r="G69" s="4">
        <v>90.27</v>
      </c>
    </row>
    <row r="70" spans="1:7">
      <c r="A70" s="4">
        <v>69</v>
      </c>
      <c r="B70" s="1" t="s">
        <v>295</v>
      </c>
      <c r="C70" s="1" t="s">
        <v>296</v>
      </c>
      <c r="D70" s="1" t="s">
        <v>41</v>
      </c>
      <c r="E70" s="5">
        <v>-0.01966493968157923</v>
      </c>
      <c r="F70" s="5">
        <v>0.2393268633169194</v>
      </c>
      <c r="G70" s="4">
        <v>259.23</v>
      </c>
    </row>
    <row r="71" spans="1:7">
      <c r="A71" s="4">
        <v>70</v>
      </c>
      <c r="B71" s="1" t="s">
        <v>801</v>
      </c>
      <c r="C71" s="1" t="s">
        <v>802</v>
      </c>
      <c r="D71" s="1" t="s">
        <v>66</v>
      </c>
      <c r="E71" s="5">
        <v>-0.01955202234516829</v>
      </c>
      <c r="F71" s="5">
        <v>-0.03028210168410983</v>
      </c>
      <c r="G71" s="4">
        <v>182.53</v>
      </c>
    </row>
    <row r="72" spans="1:7">
      <c r="A72" s="4">
        <v>71</v>
      </c>
      <c r="B72" s="1" t="s">
        <v>915</v>
      </c>
      <c r="C72" s="1" t="s">
        <v>916</v>
      </c>
      <c r="D72" s="1" t="s">
        <v>138</v>
      </c>
      <c r="E72" s="5">
        <v>-0.01947308132875147</v>
      </c>
      <c r="F72" s="5">
        <v>0.01542111506524324</v>
      </c>
      <c r="G72" s="4">
        <v>25.68</v>
      </c>
    </row>
    <row r="73" spans="1:7">
      <c r="A73" s="4">
        <v>72</v>
      </c>
      <c r="B73" s="1" t="s">
        <v>646</v>
      </c>
      <c r="C73" s="1" t="s">
        <v>647</v>
      </c>
      <c r="D73" s="1" t="s">
        <v>93</v>
      </c>
      <c r="E73" s="5">
        <v>-0.01914762198888209</v>
      </c>
      <c r="F73" s="5">
        <v>-0.0593810158448097</v>
      </c>
      <c r="G73" s="4">
        <v>63.52</v>
      </c>
    </row>
    <row r="74" spans="1:7">
      <c r="A74" s="4">
        <v>73</v>
      </c>
      <c r="B74" s="1" t="s">
        <v>217</v>
      </c>
      <c r="C74" s="1" t="s">
        <v>218</v>
      </c>
      <c r="D74" s="1" t="s">
        <v>54</v>
      </c>
      <c r="E74" s="5">
        <v>-0.0191241923905241</v>
      </c>
      <c r="F74" s="5">
        <v>0.001759582392445447</v>
      </c>
      <c r="G74" s="4">
        <v>341.59</v>
      </c>
    </row>
    <row r="75" spans="1:7">
      <c r="A75" s="4">
        <v>74</v>
      </c>
      <c r="B75" s="1" t="s">
        <v>871</v>
      </c>
      <c r="C75" s="1" t="s">
        <v>872</v>
      </c>
      <c r="D75" s="1" t="s">
        <v>66</v>
      </c>
      <c r="E75" s="5">
        <v>-0.01890903431639557</v>
      </c>
      <c r="F75" s="5">
        <v>0.0141570141570142</v>
      </c>
      <c r="G75" s="4">
        <v>126.08</v>
      </c>
    </row>
    <row r="76" spans="1:7">
      <c r="A76" s="4">
        <v>75</v>
      </c>
      <c r="B76" s="1" t="s">
        <v>839</v>
      </c>
      <c r="C76" s="1" t="s">
        <v>840</v>
      </c>
      <c r="D76" s="1" t="s">
        <v>37</v>
      </c>
      <c r="E76" s="5">
        <v>-0.0186728632909291</v>
      </c>
      <c r="F76" s="5">
        <v>-0.007577574217063843</v>
      </c>
      <c r="G76" s="4">
        <v>827.72</v>
      </c>
    </row>
    <row r="77" spans="1:7">
      <c r="A77" s="4">
        <v>76</v>
      </c>
      <c r="B77" s="1" t="s">
        <v>190</v>
      </c>
      <c r="C77" s="1" t="s">
        <v>191</v>
      </c>
      <c r="D77" s="1" t="s">
        <v>37</v>
      </c>
      <c r="E77" s="5">
        <v>-0.0186517844029962</v>
      </c>
      <c r="F77" s="5">
        <v>-0.002835397701835718</v>
      </c>
      <c r="G77" s="4">
        <v>66.81999999999999</v>
      </c>
    </row>
    <row r="78" spans="1:7">
      <c r="A78" s="4">
        <v>77</v>
      </c>
      <c r="B78" s="1" t="s">
        <v>281</v>
      </c>
      <c r="C78" s="1" t="s">
        <v>282</v>
      </c>
      <c r="D78" s="1" t="s">
        <v>37</v>
      </c>
      <c r="E78" s="5">
        <v>-0.01859320325010394</v>
      </c>
      <c r="F78" s="5">
        <v>0.04059237831719265</v>
      </c>
      <c r="G78" s="4">
        <v>330.95</v>
      </c>
    </row>
    <row r="79" spans="1:7">
      <c r="A79" s="4">
        <v>78</v>
      </c>
      <c r="B79" s="1" t="s">
        <v>716</v>
      </c>
      <c r="C79" s="1" t="s">
        <v>717</v>
      </c>
      <c r="D79" s="1" t="s">
        <v>54</v>
      </c>
      <c r="E79" s="5">
        <v>-0.01853915510080029</v>
      </c>
      <c r="F79" s="5">
        <v>-0.01364284259824888</v>
      </c>
      <c r="G79" s="4">
        <v>96.88</v>
      </c>
    </row>
    <row r="80" spans="1:7">
      <c r="A80" s="4">
        <v>79</v>
      </c>
      <c r="B80" s="1" t="s">
        <v>224</v>
      </c>
      <c r="C80" s="1" t="s">
        <v>225</v>
      </c>
      <c r="D80" s="1" t="s">
        <v>116</v>
      </c>
      <c r="E80" s="5">
        <v>-0.01850893088273375</v>
      </c>
      <c r="F80" s="5">
        <v>0.004237849291484519</v>
      </c>
      <c r="G80" s="4">
        <v>75.83</v>
      </c>
    </row>
    <row r="81" spans="1:7">
      <c r="A81" s="4">
        <v>80</v>
      </c>
      <c r="B81" s="1" t="s">
        <v>600</v>
      </c>
      <c r="C81" s="1" t="s">
        <v>601</v>
      </c>
      <c r="D81" s="1" t="s">
        <v>54</v>
      </c>
      <c r="E81" s="5">
        <v>-0.01849489795918369</v>
      </c>
      <c r="F81" s="5">
        <v>-0.00691371681415931</v>
      </c>
      <c r="G81" s="4">
        <v>107.73</v>
      </c>
    </row>
    <row r="82" spans="1:7">
      <c r="A82" s="4">
        <v>81</v>
      </c>
      <c r="B82" s="1" t="s">
        <v>422</v>
      </c>
      <c r="C82" s="1" t="s">
        <v>423</v>
      </c>
      <c r="D82" s="1" t="s">
        <v>129</v>
      </c>
      <c r="E82" s="5">
        <v>-0.0183305410466148</v>
      </c>
      <c r="F82" s="5">
        <v>-0.05457479119210329</v>
      </c>
      <c r="G82" s="4">
        <v>199.22</v>
      </c>
    </row>
    <row r="83" spans="1:7">
      <c r="A83" s="4">
        <v>82</v>
      </c>
      <c r="B83" s="1" t="s">
        <v>348</v>
      </c>
      <c r="C83" s="1" t="s">
        <v>349</v>
      </c>
      <c r="D83" s="1" t="s">
        <v>116</v>
      </c>
      <c r="E83" s="5">
        <v>-0.01806942463147898</v>
      </c>
      <c r="F83" s="5">
        <v>-0.03504672897196259</v>
      </c>
      <c r="G83" s="4">
        <v>20.65</v>
      </c>
    </row>
    <row r="84" spans="1:7">
      <c r="A84" s="4">
        <v>83</v>
      </c>
      <c r="B84" s="1" t="s">
        <v>935</v>
      </c>
      <c r="C84" s="1" t="s">
        <v>936</v>
      </c>
      <c r="D84" s="1" t="s">
        <v>138</v>
      </c>
      <c r="E84" s="5">
        <v>-0.01800232288037162</v>
      </c>
      <c r="F84" s="5">
        <v>-0.03691622657139892</v>
      </c>
      <c r="G84" s="4">
        <v>186.01</v>
      </c>
    </row>
    <row r="85" spans="1:7">
      <c r="A85" s="4">
        <v>84</v>
      </c>
      <c r="B85" s="1" t="s">
        <v>722</v>
      </c>
      <c r="C85" s="1" t="s">
        <v>723</v>
      </c>
      <c r="D85" s="1" t="s">
        <v>93</v>
      </c>
      <c r="E85" s="5">
        <v>-0.01794065782412024</v>
      </c>
      <c r="F85" s="5">
        <v>-0.02652378780969755</v>
      </c>
      <c r="G85" s="4">
        <v>128.09</v>
      </c>
    </row>
    <row r="86" spans="1:7">
      <c r="A86" s="4">
        <v>85</v>
      </c>
      <c r="B86" s="1" t="s">
        <v>750</v>
      </c>
      <c r="C86" s="1" t="s">
        <v>749</v>
      </c>
      <c r="D86" s="1" t="s">
        <v>138</v>
      </c>
      <c r="E86" s="5">
        <v>-0.01793504604944252</v>
      </c>
      <c r="F86" s="5">
        <v>0.0003291639236340238</v>
      </c>
      <c r="G86" s="4">
        <v>30.39</v>
      </c>
    </row>
    <row r="87" spans="1:7">
      <c r="A87" s="4">
        <v>86</v>
      </c>
      <c r="B87" s="1" t="s">
        <v>45</v>
      </c>
      <c r="C87" s="1" t="s">
        <v>46</v>
      </c>
      <c r="D87" s="1" t="s">
        <v>47</v>
      </c>
      <c r="E87" s="5">
        <v>-0.01786774628879895</v>
      </c>
      <c r="F87" s="5">
        <v>-0.02861719167111598</v>
      </c>
      <c r="G87" s="4">
        <v>181.94</v>
      </c>
    </row>
    <row r="88" spans="1:7">
      <c r="A88" s="4">
        <v>87</v>
      </c>
      <c r="B88" s="1" t="s">
        <v>463</v>
      </c>
      <c r="C88" s="1" t="s">
        <v>464</v>
      </c>
      <c r="D88" s="1" t="s">
        <v>70</v>
      </c>
      <c r="E88" s="5">
        <v>-0.01771120889933586</v>
      </c>
      <c r="F88" s="5">
        <v>-0.06479481641468687</v>
      </c>
      <c r="G88" s="4">
        <v>359.39</v>
      </c>
    </row>
    <row r="89" spans="1:7">
      <c r="A89" s="4">
        <v>88</v>
      </c>
      <c r="B89" s="1" t="s">
        <v>384</v>
      </c>
      <c r="C89" s="1" t="s">
        <v>385</v>
      </c>
      <c r="D89" s="1" t="s">
        <v>37</v>
      </c>
      <c r="E89" s="5">
        <v>-0.01755147307006122</v>
      </c>
      <c r="F89" s="5">
        <v>0.01737654166874725</v>
      </c>
      <c r="G89" s="4">
        <v>407.5</v>
      </c>
    </row>
    <row r="90" spans="1:7">
      <c r="A90" s="4">
        <v>89</v>
      </c>
      <c r="B90" s="1" t="s">
        <v>52</v>
      </c>
      <c r="C90" s="1" t="s">
        <v>53</v>
      </c>
      <c r="D90" s="1" t="s">
        <v>54</v>
      </c>
      <c r="E90" s="5">
        <v>-0.01732946008213965</v>
      </c>
      <c r="F90" s="5">
        <v>-0.01297917295502571</v>
      </c>
      <c r="G90" s="4">
        <v>98.09999999999999</v>
      </c>
    </row>
    <row r="91" spans="1:7">
      <c r="A91" s="4">
        <v>90</v>
      </c>
      <c r="B91" s="1" t="s">
        <v>342</v>
      </c>
      <c r="C91" s="1" t="s">
        <v>343</v>
      </c>
      <c r="D91" s="1" t="s">
        <v>138</v>
      </c>
      <c r="E91" s="5">
        <v>-0.01726390444195591</v>
      </c>
      <c r="F91" s="5">
        <v>-0.02291705325663385</v>
      </c>
      <c r="G91" s="4">
        <v>105.31</v>
      </c>
    </row>
    <row r="92" spans="1:7">
      <c r="A92" s="4">
        <v>91</v>
      </c>
      <c r="B92" s="1" t="s">
        <v>354</v>
      </c>
      <c r="C92" s="1" t="s">
        <v>355</v>
      </c>
      <c r="D92" s="1" t="s">
        <v>47</v>
      </c>
      <c r="E92" s="5">
        <v>-0.01714549174422952</v>
      </c>
      <c r="F92" s="5">
        <v>-0.002252449904929121</v>
      </c>
      <c r="G92" s="4">
        <v>341.08</v>
      </c>
    </row>
    <row r="93" spans="1:7">
      <c r="A93" s="4">
        <v>92</v>
      </c>
      <c r="B93" s="1" t="s">
        <v>781</v>
      </c>
      <c r="C93" s="1" t="s">
        <v>782</v>
      </c>
      <c r="D93" s="1" t="s">
        <v>66</v>
      </c>
      <c r="E93" s="5">
        <v>-0.01706899014426522</v>
      </c>
      <c r="F93" s="5">
        <v>-0.04077223306384159</v>
      </c>
      <c r="G93" s="4">
        <v>137.63</v>
      </c>
    </row>
    <row r="94" spans="1:7">
      <c r="A94" s="4">
        <v>93</v>
      </c>
      <c r="B94" s="1" t="s">
        <v>1057</v>
      </c>
      <c r="C94" s="1" t="s">
        <v>1058</v>
      </c>
      <c r="D94" s="1" t="s">
        <v>129</v>
      </c>
      <c r="E94" s="5">
        <v>-0.01689168361999882</v>
      </c>
      <c r="F94" s="5">
        <v>-0.0341590454848284</v>
      </c>
      <c r="G94" s="4">
        <v>159.47</v>
      </c>
    </row>
    <row r="95" spans="1:7">
      <c r="A95" s="4">
        <v>94</v>
      </c>
      <c r="B95" s="1" t="s">
        <v>416</v>
      </c>
      <c r="C95" s="1" t="s">
        <v>417</v>
      </c>
      <c r="D95" s="1" t="s">
        <v>47</v>
      </c>
      <c r="E95" s="5">
        <v>-0.01682390974467229</v>
      </c>
      <c r="F95" s="5">
        <v>-0.07334514815160265</v>
      </c>
      <c r="G95" s="4">
        <v>298.04</v>
      </c>
    </row>
    <row r="96" spans="1:7">
      <c r="A96" s="4">
        <v>95</v>
      </c>
      <c r="B96" s="1" t="s">
        <v>293</v>
      </c>
      <c r="C96" s="1" t="s">
        <v>294</v>
      </c>
      <c r="D96" s="1" t="s">
        <v>37</v>
      </c>
      <c r="E96" s="5">
        <v>-0.01653315152548163</v>
      </c>
      <c r="F96" s="5">
        <v>-0.02266336935533042</v>
      </c>
      <c r="G96" s="4">
        <v>288.5</v>
      </c>
    </row>
    <row r="97" spans="1:7">
      <c r="A97" s="4">
        <v>96</v>
      </c>
      <c r="B97" s="1" t="s">
        <v>512</v>
      </c>
      <c r="C97" s="1" t="s">
        <v>513</v>
      </c>
      <c r="D97" s="1" t="s">
        <v>70</v>
      </c>
      <c r="E97" s="5">
        <v>-0.01651016406975547</v>
      </c>
      <c r="F97" s="5">
        <v>-0.04114688128772626</v>
      </c>
      <c r="G97" s="4">
        <v>285.93</v>
      </c>
    </row>
    <row r="98" spans="1:7">
      <c r="A98" s="4">
        <v>97</v>
      </c>
      <c r="B98" s="1" t="s">
        <v>180</v>
      </c>
      <c r="C98" s="1" t="s">
        <v>181</v>
      </c>
      <c r="D98" s="1" t="s">
        <v>37</v>
      </c>
      <c r="E98" s="5">
        <v>-0.01639125206004177</v>
      </c>
      <c r="F98" s="5">
        <v>0.01868253528923347</v>
      </c>
      <c r="G98" s="4">
        <v>220.83</v>
      </c>
    </row>
    <row r="99" spans="1:7">
      <c r="A99" s="4">
        <v>98</v>
      </c>
      <c r="B99" s="1" t="s">
        <v>819</v>
      </c>
      <c r="C99" s="1" t="s">
        <v>820</v>
      </c>
      <c r="D99" s="1" t="s">
        <v>138</v>
      </c>
      <c r="E99" s="5">
        <v>-0.01630434782608692</v>
      </c>
      <c r="F99" s="5">
        <v>0.04927536231884067</v>
      </c>
      <c r="G99" s="4">
        <v>10.86</v>
      </c>
    </row>
    <row r="100" spans="1:7">
      <c r="A100" s="4">
        <v>99</v>
      </c>
      <c r="B100" s="1" t="s">
        <v>261</v>
      </c>
      <c r="C100" s="1" t="s">
        <v>262</v>
      </c>
      <c r="D100" s="1" t="s">
        <v>47</v>
      </c>
      <c r="E100" s="5">
        <v>-0.01623635879691243</v>
      </c>
      <c r="F100" s="5">
        <v>0.001626016260162677</v>
      </c>
      <c r="G100" s="4">
        <v>36.96</v>
      </c>
    </row>
    <row r="101" spans="1:7">
      <c r="A101" s="4">
        <v>100</v>
      </c>
      <c r="B101" s="1" t="s">
        <v>670</v>
      </c>
      <c r="C101" s="1" t="s">
        <v>671</v>
      </c>
      <c r="D101" s="1" t="s">
        <v>54</v>
      </c>
      <c r="E101" s="5">
        <v>-0.01622493197621688</v>
      </c>
      <c r="F101" s="5">
        <v>0.03476786092855622</v>
      </c>
      <c r="G101" s="4">
        <v>97.62</v>
      </c>
    </row>
  </sheetData>
  <autoFilter ref="A1:G101"/>
  <conditionalFormatting sqref="E2:E101">
    <cfRule type="colorScale" priority="1">
      <colorScale>
        <cfvo type="min" val="0"/>
        <cfvo type="num" val="0"/>
        <cfvo type="max" val="0"/>
        <color rgb="FFF6C7CE"/>
        <color rgb="FFFFFFFF"/>
        <color rgb="FFB9E5D1"/>
      </colorScale>
    </cfRule>
  </conditionalFormatting>
  <conditionalFormatting sqref="F2:F101">
    <cfRule type="colorScale" priority="2">
      <colorScale>
        <cfvo type="min" val="0"/>
        <cfvo type="num" val="0"/>
        <cfvo type="max" val="0"/>
        <color rgb="FFF6C7CE"/>
        <color rgb="FFFFFFFF"/>
        <color rgb="FFB9E5D1"/>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101"/>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5.7109375" style="1" customWidth="1"/>
    <col min="2" max="2" width="22.7109375" style="1" customWidth="1"/>
    <col min="3" max="3" width="40.7109375" style="1" customWidth="1"/>
    <col min="4" max="4" width="27.7109375" style="1" customWidth="1"/>
    <col min="5" max="7" width="15.7109375" style="1" customWidth="1"/>
  </cols>
  <sheetData>
    <row r="1" spans="1:7" ht="30" customHeight="1">
      <c r="A1" s="3" t="s">
        <v>1071</v>
      </c>
      <c r="B1" s="3" t="s">
        <v>24</v>
      </c>
      <c r="C1" s="3" t="s">
        <v>25</v>
      </c>
      <c r="D1" s="3" t="s">
        <v>26</v>
      </c>
      <c r="E1" s="3" t="s">
        <v>1072</v>
      </c>
      <c r="F1" s="3" t="s">
        <v>1073</v>
      </c>
      <c r="G1" s="3" t="s">
        <v>1074</v>
      </c>
    </row>
    <row r="2" spans="1:7">
      <c r="A2" s="4">
        <v>1</v>
      </c>
      <c r="B2" s="1" t="s">
        <v>295</v>
      </c>
      <c r="C2" s="1" t="s">
        <v>296</v>
      </c>
      <c r="D2" s="1" t="s">
        <v>41</v>
      </c>
      <c r="E2" s="5">
        <v>-0.01966493968157923</v>
      </c>
      <c r="F2" s="5">
        <v>0.2393268633169194</v>
      </c>
      <c r="G2" s="4">
        <v>259.23</v>
      </c>
    </row>
    <row r="3" spans="1:7">
      <c r="A3" s="4">
        <v>2</v>
      </c>
      <c r="B3" s="1" t="s">
        <v>332</v>
      </c>
      <c r="C3" s="1" t="s">
        <v>333</v>
      </c>
      <c r="D3" s="1" t="s">
        <v>41</v>
      </c>
      <c r="E3" s="5">
        <v>0.0150080365615135</v>
      </c>
      <c r="F3" s="5">
        <v>0.1856225117625769</v>
      </c>
      <c r="G3" s="4">
        <v>524.14</v>
      </c>
    </row>
    <row r="4" spans="1:7">
      <c r="A4" s="4">
        <v>3</v>
      </c>
      <c r="B4" s="1" t="s">
        <v>520</v>
      </c>
      <c r="C4" s="1" t="s">
        <v>521</v>
      </c>
      <c r="D4" s="1" t="s">
        <v>54</v>
      </c>
      <c r="E4" s="5">
        <v>-0.02092687620269407</v>
      </c>
      <c r="F4" s="5">
        <v>0.1292888190141497</v>
      </c>
      <c r="G4" s="4">
        <v>122.11</v>
      </c>
    </row>
    <row r="5" spans="1:7">
      <c r="A5" s="4">
        <v>4</v>
      </c>
      <c r="B5" s="1" t="s">
        <v>672</v>
      </c>
      <c r="C5" s="1" t="s">
        <v>673</v>
      </c>
      <c r="D5" s="1" t="s">
        <v>138</v>
      </c>
      <c r="E5" s="5">
        <v>0.009972489683631514</v>
      </c>
      <c r="F5" s="5">
        <v>0.1216039279869068</v>
      </c>
      <c r="G5" s="4">
        <v>616.77</v>
      </c>
    </row>
    <row r="6" spans="1:7">
      <c r="A6" s="4">
        <v>5</v>
      </c>
      <c r="B6" s="1" t="s">
        <v>230</v>
      </c>
      <c r="C6" s="1" t="s">
        <v>231</v>
      </c>
      <c r="D6" s="1" t="s">
        <v>41</v>
      </c>
      <c r="E6" s="5">
        <v>-0.01000519750519746</v>
      </c>
      <c r="F6" s="5">
        <v>0.1102367941712203</v>
      </c>
      <c r="G6" s="4">
        <v>152.38</v>
      </c>
    </row>
    <row r="7" spans="1:7">
      <c r="A7" s="4">
        <v>6</v>
      </c>
      <c r="B7" s="1" t="s">
        <v>297</v>
      </c>
      <c r="C7" s="1" t="s">
        <v>298</v>
      </c>
      <c r="D7" s="1" t="s">
        <v>41</v>
      </c>
      <c r="E7" s="5">
        <v>-0.008698888216960521</v>
      </c>
      <c r="F7" s="5">
        <v>0.1101849439958322</v>
      </c>
      <c r="G7" s="4">
        <v>213.1</v>
      </c>
    </row>
    <row r="8" spans="1:7">
      <c r="A8" s="4">
        <v>7</v>
      </c>
      <c r="B8" s="1" t="s">
        <v>993</v>
      </c>
      <c r="C8" s="1" t="s">
        <v>994</v>
      </c>
      <c r="D8" s="1" t="s">
        <v>37</v>
      </c>
      <c r="E8" s="5">
        <v>-0.0326675574934947</v>
      </c>
      <c r="F8" s="5">
        <v>0.1096813231141589</v>
      </c>
      <c r="G8" s="4">
        <v>275.09</v>
      </c>
    </row>
    <row r="9" spans="1:7">
      <c r="A9" s="4">
        <v>8</v>
      </c>
      <c r="B9" s="1" t="s">
        <v>907</v>
      </c>
      <c r="C9" s="1" t="s">
        <v>908</v>
      </c>
      <c r="D9" s="1" t="s">
        <v>41</v>
      </c>
      <c r="E9" s="5">
        <v>0.03524475524475523</v>
      </c>
      <c r="F9" s="5">
        <v>0.1024724456359845</v>
      </c>
      <c r="G9" s="4">
        <v>74.02</v>
      </c>
    </row>
    <row r="10" spans="1:7">
      <c r="A10" s="4">
        <v>9</v>
      </c>
      <c r="B10" s="1" t="s">
        <v>732</v>
      </c>
      <c r="C10" s="1" t="s">
        <v>733</v>
      </c>
      <c r="D10" s="1" t="s">
        <v>41</v>
      </c>
      <c r="E10" s="5">
        <v>-0.02974105364379431</v>
      </c>
      <c r="F10" s="5">
        <v>0.09947073474470747</v>
      </c>
      <c r="G10" s="4">
        <v>141.26</v>
      </c>
    </row>
    <row r="11" spans="1:7">
      <c r="A11" s="4">
        <v>10</v>
      </c>
      <c r="B11" s="1" t="s">
        <v>524</v>
      </c>
      <c r="C11" s="1" t="s">
        <v>525</v>
      </c>
      <c r="D11" s="1" t="s">
        <v>41</v>
      </c>
      <c r="E11" s="5">
        <v>0.02223614155966169</v>
      </c>
      <c r="F11" s="5">
        <v>0.09861999326825988</v>
      </c>
      <c r="G11" s="4">
        <v>32.64</v>
      </c>
    </row>
    <row r="12" spans="1:7">
      <c r="A12" s="4">
        <v>11</v>
      </c>
      <c r="B12" s="1" t="s">
        <v>1013</v>
      </c>
      <c r="C12" s="1" t="s">
        <v>1014</v>
      </c>
      <c r="D12" s="1" t="s">
        <v>76</v>
      </c>
      <c r="E12" s="5">
        <v>0.03522396338926659</v>
      </c>
      <c r="F12" s="5">
        <v>0.09610160781146759</v>
      </c>
      <c r="G12" s="4">
        <v>149.3</v>
      </c>
    </row>
    <row r="13" spans="1:7">
      <c r="A13" s="4">
        <v>12</v>
      </c>
      <c r="B13" s="1" t="s">
        <v>232</v>
      </c>
      <c r="C13" s="1" t="s">
        <v>233</v>
      </c>
      <c r="D13" s="1" t="s">
        <v>76</v>
      </c>
      <c r="E13" s="5">
        <v>0.04879845641115588</v>
      </c>
      <c r="F13" s="5">
        <v>0.09557314570507169</v>
      </c>
      <c r="G13" s="4">
        <v>298.96</v>
      </c>
    </row>
    <row r="14" spans="1:7">
      <c r="A14" s="4">
        <v>13</v>
      </c>
      <c r="B14" s="1" t="s">
        <v>961</v>
      </c>
      <c r="C14" s="1" t="s">
        <v>962</v>
      </c>
      <c r="D14" s="1" t="s">
        <v>138</v>
      </c>
      <c r="E14" s="5">
        <v>-0.0437375745526839</v>
      </c>
      <c r="F14" s="5">
        <v>0.09484066767830046</v>
      </c>
      <c r="G14" s="4">
        <v>14.43</v>
      </c>
    </row>
    <row r="15" spans="1:7">
      <c r="A15" s="4">
        <v>14</v>
      </c>
      <c r="B15" s="1" t="s">
        <v>879</v>
      </c>
      <c r="C15" s="1" t="s">
        <v>880</v>
      </c>
      <c r="D15" s="1" t="s">
        <v>41</v>
      </c>
      <c r="E15" s="5">
        <v>0.118978257094901</v>
      </c>
      <c r="F15" s="5">
        <v>0.09017091875093985</v>
      </c>
      <c r="G15" s="4">
        <v>1740</v>
      </c>
    </row>
    <row r="16" spans="1:7">
      <c r="A16" s="4">
        <v>15</v>
      </c>
      <c r="B16" s="1" t="s">
        <v>763</v>
      </c>
      <c r="C16" s="1" t="s">
        <v>764</v>
      </c>
      <c r="D16" s="1" t="s">
        <v>41</v>
      </c>
      <c r="E16" s="5">
        <v>0.03077122825240197</v>
      </c>
      <c r="F16" s="5">
        <v>0.08404451423499704</v>
      </c>
      <c r="G16" s="4">
        <v>158.78</v>
      </c>
    </row>
    <row r="17" spans="1:7">
      <c r="A17" s="4">
        <v>16</v>
      </c>
      <c r="B17" s="1" t="s">
        <v>979</v>
      </c>
      <c r="C17" s="1" t="s">
        <v>980</v>
      </c>
      <c r="D17" s="1" t="s">
        <v>47</v>
      </c>
      <c r="E17" s="5">
        <v>0.01258279334422285</v>
      </c>
      <c r="F17" s="5">
        <v>0.08180876769071443</v>
      </c>
      <c r="G17" s="4">
        <v>564.12</v>
      </c>
    </row>
    <row r="18" spans="1:7">
      <c r="A18" s="4">
        <v>17</v>
      </c>
      <c r="B18" s="1" t="s">
        <v>334</v>
      </c>
      <c r="C18" s="1" t="s">
        <v>335</v>
      </c>
      <c r="D18" s="1" t="s">
        <v>66</v>
      </c>
      <c r="E18" s="5">
        <v>0.01485601097059286</v>
      </c>
      <c r="F18" s="5">
        <v>0.07941009642654584</v>
      </c>
      <c r="G18" s="4">
        <v>133.21</v>
      </c>
    </row>
    <row r="19" spans="1:7">
      <c r="A19" s="4">
        <v>18</v>
      </c>
      <c r="B19" s="1" t="s">
        <v>688</v>
      </c>
      <c r="C19" s="1" t="s">
        <v>689</v>
      </c>
      <c r="D19" s="1" t="s">
        <v>129</v>
      </c>
      <c r="E19" s="5">
        <v>0.003069304376982718</v>
      </c>
      <c r="F19" s="5">
        <v>0.07812153470836081</v>
      </c>
      <c r="G19" s="4">
        <v>388.9</v>
      </c>
    </row>
    <row r="20" spans="1:7">
      <c r="A20" s="4">
        <v>19</v>
      </c>
      <c r="B20" s="1" t="s">
        <v>208</v>
      </c>
      <c r="C20" s="1" t="s">
        <v>209</v>
      </c>
      <c r="D20" s="1" t="s">
        <v>37</v>
      </c>
      <c r="E20" s="5">
        <v>-0.005751981014440299</v>
      </c>
      <c r="F20" s="5">
        <v>0.07699010936342643</v>
      </c>
      <c r="G20" s="4">
        <v>247.18</v>
      </c>
    </row>
    <row r="21" spans="1:7">
      <c r="A21" s="4">
        <v>20</v>
      </c>
      <c r="B21" s="1" t="s">
        <v>309</v>
      </c>
      <c r="C21" s="1" t="s">
        <v>310</v>
      </c>
      <c r="D21" s="1" t="s">
        <v>93</v>
      </c>
      <c r="E21" s="5">
        <v>-0.008575942225231392</v>
      </c>
      <c r="F21" s="5">
        <v>0.07421445164445517</v>
      </c>
      <c r="G21" s="4">
        <v>87.86</v>
      </c>
    </row>
    <row r="22" spans="1:7">
      <c r="A22" s="4">
        <v>21</v>
      </c>
      <c r="B22" s="1" t="s">
        <v>1035</v>
      </c>
      <c r="C22" s="1" t="s">
        <v>1036</v>
      </c>
      <c r="D22" s="1" t="s">
        <v>54</v>
      </c>
      <c r="E22" s="5">
        <v>0.008745375042044978</v>
      </c>
      <c r="F22" s="5">
        <v>0.07311545801526709</v>
      </c>
      <c r="G22" s="4">
        <v>89.97</v>
      </c>
    </row>
    <row r="23" spans="1:7">
      <c r="A23" s="4">
        <v>22</v>
      </c>
      <c r="B23" s="1" t="s">
        <v>744</v>
      </c>
      <c r="C23" s="1" t="s">
        <v>745</v>
      </c>
      <c r="D23" s="1" t="s">
        <v>41</v>
      </c>
      <c r="E23" s="5">
        <v>0.008360691617421923</v>
      </c>
      <c r="F23" s="5">
        <v>0.07283904619970194</v>
      </c>
      <c r="G23" s="4">
        <v>230.36</v>
      </c>
    </row>
    <row r="24" spans="1:7">
      <c r="A24" s="4">
        <v>23</v>
      </c>
      <c r="B24" s="1" t="s">
        <v>742</v>
      </c>
      <c r="C24" s="1" t="s">
        <v>743</v>
      </c>
      <c r="D24" s="1" t="s">
        <v>93</v>
      </c>
      <c r="E24" s="5">
        <v>-0.005333942926810775</v>
      </c>
      <c r="F24" s="5">
        <v>0.07158395928251848</v>
      </c>
      <c r="G24" s="4">
        <v>261.07</v>
      </c>
    </row>
    <row r="25" spans="1:7">
      <c r="A25" s="4">
        <v>24</v>
      </c>
      <c r="B25" s="1" t="s">
        <v>327</v>
      </c>
      <c r="C25" s="1" t="s">
        <v>328</v>
      </c>
      <c r="D25" s="1" t="s">
        <v>70</v>
      </c>
      <c r="E25" s="5">
        <v>-0.001267262856237683</v>
      </c>
      <c r="F25" s="5">
        <v>0.0711384311242218</v>
      </c>
      <c r="G25" s="4">
        <v>693.53</v>
      </c>
    </row>
    <row r="26" spans="1:7">
      <c r="A26" s="4">
        <v>25</v>
      </c>
      <c r="B26" s="1" t="s">
        <v>1009</v>
      </c>
      <c r="C26" s="1" t="s">
        <v>1010</v>
      </c>
      <c r="D26" s="1" t="s">
        <v>70</v>
      </c>
      <c r="E26" s="5">
        <v>0.04352192835621027</v>
      </c>
      <c r="F26" s="5">
        <v>0.07092956671120443</v>
      </c>
      <c r="G26" s="4">
        <v>280.53</v>
      </c>
    </row>
    <row r="27" spans="1:7">
      <c r="A27" s="4">
        <v>26</v>
      </c>
      <c r="B27" s="1" t="s">
        <v>873</v>
      </c>
      <c r="C27" s="1" t="s">
        <v>874</v>
      </c>
      <c r="D27" s="1" t="s">
        <v>129</v>
      </c>
      <c r="E27" s="5">
        <v>0.001741856819369447</v>
      </c>
      <c r="F27" s="5">
        <v>0.06757007610915178</v>
      </c>
      <c r="G27" s="4">
        <v>57.51</v>
      </c>
    </row>
    <row r="28" spans="1:7">
      <c r="A28" s="4">
        <v>27</v>
      </c>
      <c r="B28" s="1" t="s">
        <v>311</v>
      </c>
      <c r="C28" s="1" t="s">
        <v>312</v>
      </c>
      <c r="D28" s="1" t="s">
        <v>47</v>
      </c>
      <c r="E28" s="5">
        <v>0.01579735802805393</v>
      </c>
      <c r="F28" s="5">
        <v>0.06694321270204551</v>
      </c>
      <c r="G28" s="4">
        <v>74.59</v>
      </c>
    </row>
    <row r="29" spans="1:7">
      <c r="A29" s="4">
        <v>28</v>
      </c>
      <c r="B29" s="1" t="s">
        <v>554</v>
      </c>
      <c r="C29" s="1" t="s">
        <v>555</v>
      </c>
      <c r="D29" s="1" t="s">
        <v>41</v>
      </c>
      <c r="E29" s="5">
        <v>0.04505290716701205</v>
      </c>
      <c r="F29" s="5">
        <v>0.06361718663261917</v>
      </c>
      <c r="G29" s="4">
        <v>95.8</v>
      </c>
    </row>
    <row r="30" spans="1:7">
      <c r="A30" s="4">
        <v>29</v>
      </c>
      <c r="B30" s="1" t="s">
        <v>875</v>
      </c>
      <c r="C30" s="1" t="s">
        <v>876</v>
      </c>
      <c r="D30" s="1" t="s">
        <v>41</v>
      </c>
      <c r="E30" s="5">
        <v>0.0454185371006075</v>
      </c>
      <c r="F30" s="5">
        <v>0.06310418904403869</v>
      </c>
      <c r="G30" s="4">
        <v>39.59</v>
      </c>
    </row>
    <row r="31" spans="1:7">
      <c r="A31" s="4">
        <v>30</v>
      </c>
      <c r="B31" s="1" t="s">
        <v>997</v>
      </c>
      <c r="C31" s="1" t="s">
        <v>998</v>
      </c>
      <c r="D31" s="1" t="s">
        <v>129</v>
      </c>
      <c r="E31" s="5">
        <v>8.093015727439479E-05</v>
      </c>
      <c r="F31" s="5">
        <v>0.06266123946568825</v>
      </c>
      <c r="G31" s="4">
        <v>370.72</v>
      </c>
    </row>
    <row r="32" spans="1:7">
      <c r="A32" s="4">
        <v>31</v>
      </c>
      <c r="B32" s="1" t="s">
        <v>536</v>
      </c>
      <c r="C32" s="1" t="s">
        <v>537</v>
      </c>
      <c r="D32" s="1" t="s">
        <v>37</v>
      </c>
      <c r="E32" s="5">
        <v>-0.01225031978746427</v>
      </c>
      <c r="F32" s="5">
        <v>0.05980785472972983</v>
      </c>
      <c r="G32" s="4">
        <v>401.54</v>
      </c>
    </row>
    <row r="33" spans="1:7">
      <c r="A33" s="4">
        <v>32</v>
      </c>
      <c r="B33" s="1" t="s">
        <v>471</v>
      </c>
      <c r="C33" s="1" t="s">
        <v>472</v>
      </c>
      <c r="D33" s="1" t="s">
        <v>41</v>
      </c>
      <c r="E33" s="5">
        <v>-0.02170443664219601</v>
      </c>
      <c r="F33" s="5">
        <v>0.05945385413066018</v>
      </c>
      <c r="G33" s="4">
        <v>30.65</v>
      </c>
    </row>
    <row r="34" spans="1:7">
      <c r="A34" s="4">
        <v>33</v>
      </c>
      <c r="B34" s="1" t="s">
        <v>686</v>
      </c>
      <c r="C34" s="1" t="s">
        <v>687</v>
      </c>
      <c r="D34" s="1" t="s">
        <v>93</v>
      </c>
      <c r="E34" s="5">
        <v>0.01412318556296599</v>
      </c>
      <c r="F34" s="5">
        <v>0.05899221630479312</v>
      </c>
      <c r="G34" s="4">
        <v>25.85</v>
      </c>
    </row>
    <row r="35" spans="1:7">
      <c r="A35" s="4">
        <v>34</v>
      </c>
      <c r="B35" s="1" t="s">
        <v>895</v>
      </c>
      <c r="C35" s="1" t="s">
        <v>896</v>
      </c>
      <c r="D35" s="1" t="s">
        <v>93</v>
      </c>
      <c r="E35" s="5">
        <v>-0.01613624354753485</v>
      </c>
      <c r="F35" s="5">
        <v>0.05850970788875287</v>
      </c>
      <c r="G35" s="4">
        <v>242.06</v>
      </c>
    </row>
    <row r="36" spans="1:7">
      <c r="A36" s="4">
        <v>35</v>
      </c>
      <c r="B36" s="1" t="s">
        <v>362</v>
      </c>
      <c r="C36" s="1" t="s">
        <v>363</v>
      </c>
      <c r="D36" s="1" t="s">
        <v>37</v>
      </c>
      <c r="E36" s="5">
        <v>0.01282615875811954</v>
      </c>
      <c r="F36" s="5">
        <v>0.05850880220918198</v>
      </c>
      <c r="G36" s="4">
        <v>183.99</v>
      </c>
    </row>
    <row r="37" spans="1:7">
      <c r="A37" s="4">
        <v>36</v>
      </c>
      <c r="B37" s="1" t="s">
        <v>662</v>
      </c>
      <c r="C37" s="1" t="s">
        <v>663</v>
      </c>
      <c r="D37" s="1" t="s">
        <v>37</v>
      </c>
      <c r="E37" s="5">
        <v>-0.01453254900258305</v>
      </c>
      <c r="F37" s="5">
        <v>0.05715449994178612</v>
      </c>
      <c r="G37" s="4">
        <v>907.99</v>
      </c>
    </row>
    <row r="38" spans="1:7">
      <c r="A38" s="4">
        <v>37</v>
      </c>
      <c r="B38" s="1" t="s">
        <v>132</v>
      </c>
      <c r="C38" s="1" t="s">
        <v>133</v>
      </c>
      <c r="D38" s="1" t="s">
        <v>41</v>
      </c>
      <c r="E38" s="5">
        <v>0.008651151456074091</v>
      </c>
      <c r="F38" s="5">
        <v>0.0544551302464813</v>
      </c>
      <c r="G38" s="4">
        <v>82.78</v>
      </c>
    </row>
    <row r="39" spans="1:7">
      <c r="A39" s="4">
        <v>38</v>
      </c>
      <c r="B39" s="1" t="s">
        <v>64</v>
      </c>
      <c r="C39" s="1" t="s">
        <v>65</v>
      </c>
      <c r="D39" s="1" t="s">
        <v>66</v>
      </c>
      <c r="E39" s="5">
        <v>0.002725764399146735</v>
      </c>
      <c r="F39" s="5">
        <v>0.05367372353673727</v>
      </c>
      <c r="G39" s="4">
        <v>84.61</v>
      </c>
    </row>
    <row r="40" spans="1:7">
      <c r="A40" s="4">
        <v>39</v>
      </c>
      <c r="B40" s="1" t="s">
        <v>785</v>
      </c>
      <c r="C40" s="1" t="s">
        <v>786</v>
      </c>
      <c r="D40" s="1" t="s">
        <v>54</v>
      </c>
      <c r="E40" s="5">
        <v>-0.01544173487469414</v>
      </c>
      <c r="F40" s="5">
        <v>0.0535440180586908</v>
      </c>
      <c r="G40" s="4">
        <v>116.68</v>
      </c>
    </row>
    <row r="41" spans="1:7">
      <c r="A41" s="4">
        <v>40</v>
      </c>
      <c r="B41" s="1" t="s">
        <v>734</v>
      </c>
      <c r="C41" s="1" t="s">
        <v>735</v>
      </c>
      <c r="D41" s="1" t="s">
        <v>76</v>
      </c>
      <c r="E41" s="5">
        <v>0.0641988555078683</v>
      </c>
      <c r="F41" s="5">
        <v>0.05225002210237828</v>
      </c>
      <c r="G41" s="4">
        <v>119.02</v>
      </c>
    </row>
    <row r="42" spans="1:7">
      <c r="A42" s="4">
        <v>41</v>
      </c>
      <c r="B42" s="1" t="s">
        <v>1039</v>
      </c>
      <c r="C42" s="1" t="s">
        <v>1040</v>
      </c>
      <c r="D42" s="1" t="s">
        <v>129</v>
      </c>
      <c r="E42" s="5">
        <v>0.001350438892640193</v>
      </c>
      <c r="F42" s="5">
        <v>0.05192225847637988</v>
      </c>
      <c r="G42" s="4">
        <v>74.15000000000001</v>
      </c>
    </row>
    <row r="43" spans="1:7">
      <c r="A43" s="4">
        <v>42</v>
      </c>
      <c r="B43" s="1" t="s">
        <v>712</v>
      </c>
      <c r="C43" s="1" t="s">
        <v>713</v>
      </c>
      <c r="D43" s="1" t="s">
        <v>41</v>
      </c>
      <c r="E43" s="5">
        <v>0.06098146447357444</v>
      </c>
      <c r="F43" s="5">
        <v>0.05152154574980861</v>
      </c>
      <c r="G43" s="4">
        <v>1016.59</v>
      </c>
    </row>
    <row r="44" spans="1:7">
      <c r="A44" s="4">
        <v>43</v>
      </c>
      <c r="B44" s="1" t="s">
        <v>170</v>
      </c>
      <c r="C44" s="1" t="s">
        <v>171</v>
      </c>
      <c r="D44" s="1" t="s">
        <v>47</v>
      </c>
      <c r="E44" s="5">
        <v>0.03177506000685804</v>
      </c>
      <c r="F44" s="5">
        <v>0.05099545930841765</v>
      </c>
      <c r="G44" s="4">
        <v>90.27</v>
      </c>
    </row>
    <row r="45" spans="1:7">
      <c r="A45" s="4">
        <v>44</v>
      </c>
      <c r="B45" s="1" t="s">
        <v>821</v>
      </c>
      <c r="C45" s="1" t="s">
        <v>822</v>
      </c>
      <c r="D45" s="1" t="s">
        <v>129</v>
      </c>
      <c r="E45" s="5">
        <v>0.001688525877640901</v>
      </c>
      <c r="F45" s="5">
        <v>0.05031498332441231</v>
      </c>
      <c r="G45" s="4">
        <v>255.09</v>
      </c>
    </row>
    <row r="46" spans="1:7">
      <c r="A46" s="4">
        <v>45</v>
      </c>
      <c r="B46" s="1" t="s">
        <v>831</v>
      </c>
      <c r="C46" s="1" t="s">
        <v>832</v>
      </c>
      <c r="D46" s="1" t="s">
        <v>41</v>
      </c>
      <c r="E46" s="5">
        <v>0.001008483122738379</v>
      </c>
      <c r="F46" s="5">
        <v>0.04970451010886467</v>
      </c>
      <c r="G46" s="4">
        <v>168.74</v>
      </c>
    </row>
    <row r="47" spans="1:7">
      <c r="A47" s="4">
        <v>46</v>
      </c>
      <c r="B47" s="1" t="s">
        <v>178</v>
      </c>
      <c r="C47" s="1" t="s">
        <v>179</v>
      </c>
      <c r="D47" s="1" t="s">
        <v>66</v>
      </c>
      <c r="E47" s="5">
        <v>-0.01173826173826187</v>
      </c>
      <c r="F47" s="5">
        <v>0.04950932720360712</v>
      </c>
      <c r="G47" s="4">
        <v>118.71</v>
      </c>
    </row>
    <row r="48" spans="1:7">
      <c r="A48" s="4">
        <v>47</v>
      </c>
      <c r="B48" s="1" t="s">
        <v>819</v>
      </c>
      <c r="C48" s="1" t="s">
        <v>820</v>
      </c>
      <c r="D48" s="1" t="s">
        <v>138</v>
      </c>
      <c r="E48" s="5">
        <v>-0.01630434782608692</v>
      </c>
      <c r="F48" s="5">
        <v>0.04927536231884067</v>
      </c>
      <c r="G48" s="4">
        <v>10.86</v>
      </c>
    </row>
    <row r="49" spans="1:7">
      <c r="A49" s="4">
        <v>48</v>
      </c>
      <c r="B49" s="1" t="s">
        <v>500</v>
      </c>
      <c r="C49" s="1" t="s">
        <v>501</v>
      </c>
      <c r="D49" s="1" t="s">
        <v>129</v>
      </c>
      <c r="E49" s="5">
        <v>-0.005899705014749235</v>
      </c>
      <c r="F49" s="5">
        <v>0.04895302773061672</v>
      </c>
      <c r="G49" s="4">
        <v>37.07</v>
      </c>
    </row>
    <row r="50" spans="1:7">
      <c r="A50" s="4">
        <v>49</v>
      </c>
      <c r="B50" s="1" t="s">
        <v>136</v>
      </c>
      <c r="C50" s="1" t="s">
        <v>137</v>
      </c>
      <c r="D50" s="1" t="s">
        <v>138</v>
      </c>
      <c r="E50" s="5">
        <v>0.0222590726449392</v>
      </c>
      <c r="F50" s="5">
        <v>0.04836968963600108</v>
      </c>
      <c r="G50" s="4">
        <v>320.56</v>
      </c>
    </row>
    <row r="51" spans="1:7">
      <c r="A51" s="4">
        <v>50</v>
      </c>
      <c r="B51" s="1" t="s">
        <v>206</v>
      </c>
      <c r="C51" s="1" t="s">
        <v>207</v>
      </c>
      <c r="D51" s="1" t="s">
        <v>54</v>
      </c>
      <c r="E51" s="5">
        <v>-0.003040393803387831</v>
      </c>
      <c r="F51" s="5">
        <v>0.04610710216483094</v>
      </c>
      <c r="G51" s="4">
        <v>137.72</v>
      </c>
    </row>
    <row r="52" spans="1:7">
      <c r="A52" s="4">
        <v>51</v>
      </c>
      <c r="B52" s="1" t="s">
        <v>861</v>
      </c>
      <c r="C52" s="1" t="s">
        <v>862</v>
      </c>
      <c r="D52" s="1" t="s">
        <v>37</v>
      </c>
      <c r="E52" s="5">
        <v>-0.003138635841690274</v>
      </c>
      <c r="F52" s="5">
        <v>0.04384769539078159</v>
      </c>
      <c r="G52" s="4">
        <v>130.22</v>
      </c>
    </row>
    <row r="53" spans="1:7">
      <c r="A53" s="4">
        <v>52</v>
      </c>
      <c r="B53" s="1" t="s">
        <v>465</v>
      </c>
      <c r="C53" s="1" t="s">
        <v>466</v>
      </c>
      <c r="D53" s="1" t="s">
        <v>41</v>
      </c>
      <c r="E53" s="5">
        <v>-0.02238733957348249</v>
      </c>
      <c r="F53" s="5">
        <v>0.04367981868754511</v>
      </c>
      <c r="G53" s="4">
        <v>101.31</v>
      </c>
    </row>
    <row r="54" spans="1:7">
      <c r="A54" s="4">
        <v>53</v>
      </c>
      <c r="B54" s="1" t="s">
        <v>241</v>
      </c>
      <c r="C54" s="1" t="s">
        <v>242</v>
      </c>
      <c r="D54" s="1" t="s">
        <v>70</v>
      </c>
      <c r="E54" s="5">
        <v>0.006510549817636324</v>
      </c>
      <c r="F54" s="5">
        <v>0.04243451246204888</v>
      </c>
      <c r="G54" s="4">
        <v>147.64</v>
      </c>
    </row>
    <row r="55" spans="1:7">
      <c r="A55" s="4">
        <v>54</v>
      </c>
      <c r="B55" s="1" t="s">
        <v>684</v>
      </c>
      <c r="C55" s="1" t="s">
        <v>685</v>
      </c>
      <c r="D55" s="1" t="s">
        <v>66</v>
      </c>
      <c r="E55" s="5">
        <v>-0.008778241473593296</v>
      </c>
      <c r="F55" s="5">
        <v>0.04221516114389456</v>
      </c>
      <c r="G55" s="4">
        <v>68.88</v>
      </c>
    </row>
    <row r="56" spans="1:7">
      <c r="A56" s="4">
        <v>55</v>
      </c>
      <c r="B56" s="1" t="s">
        <v>281</v>
      </c>
      <c r="C56" s="1" t="s">
        <v>282</v>
      </c>
      <c r="D56" s="1" t="s">
        <v>37</v>
      </c>
      <c r="E56" s="5">
        <v>-0.01859320325010394</v>
      </c>
      <c r="F56" s="5">
        <v>0.04059237831719265</v>
      </c>
      <c r="G56" s="4">
        <v>330.95</v>
      </c>
    </row>
    <row r="57" spans="1:7">
      <c r="A57" s="4">
        <v>56</v>
      </c>
      <c r="B57" s="1" t="s">
        <v>192</v>
      </c>
      <c r="C57" s="1" t="s">
        <v>193</v>
      </c>
      <c r="D57" s="1" t="s">
        <v>54</v>
      </c>
      <c r="E57" s="5">
        <v>0.003103511227408262</v>
      </c>
      <c r="F57" s="5">
        <v>0.0400656192819735</v>
      </c>
      <c r="G57" s="4">
        <v>164.84</v>
      </c>
    </row>
    <row r="58" spans="1:7">
      <c r="A58" s="4">
        <v>57</v>
      </c>
      <c r="B58" s="1" t="s">
        <v>313</v>
      </c>
      <c r="C58" s="1" t="s">
        <v>314</v>
      </c>
      <c r="D58" s="1" t="s">
        <v>37</v>
      </c>
      <c r="E58" s="5">
        <v>-0.004732510288065872</v>
      </c>
      <c r="F58" s="5">
        <v>0.03999139969898935</v>
      </c>
      <c r="G58" s="4">
        <v>96.73999999999999</v>
      </c>
    </row>
    <row r="59" spans="1:7">
      <c r="A59" s="4">
        <v>58</v>
      </c>
      <c r="B59" s="1" t="s">
        <v>153</v>
      </c>
      <c r="C59" s="1" t="s">
        <v>154</v>
      </c>
      <c r="D59" s="1" t="s">
        <v>76</v>
      </c>
      <c r="E59" s="5">
        <v>-0.00134856980623177</v>
      </c>
      <c r="F59" s="5">
        <v>0.03922003102149341</v>
      </c>
      <c r="G59" s="4">
        <v>140.7</v>
      </c>
    </row>
    <row r="60" spans="1:7">
      <c r="A60" s="4">
        <v>59</v>
      </c>
      <c r="B60" s="1" t="s">
        <v>897</v>
      </c>
      <c r="C60" s="1" t="s">
        <v>898</v>
      </c>
      <c r="D60" s="1" t="s">
        <v>54</v>
      </c>
      <c r="E60" s="5">
        <v>0.001649994843766045</v>
      </c>
      <c r="F60" s="5">
        <v>0.03810185432586977</v>
      </c>
      <c r="G60" s="4">
        <v>194.26</v>
      </c>
    </row>
    <row r="61" spans="1:7">
      <c r="A61" s="4">
        <v>60</v>
      </c>
      <c r="B61" s="1" t="s">
        <v>969</v>
      </c>
      <c r="C61" s="1" t="s">
        <v>970</v>
      </c>
      <c r="D61" s="1" t="s">
        <v>41</v>
      </c>
      <c r="E61" s="5">
        <v>-0.04018245577029556</v>
      </c>
      <c r="F61" s="5">
        <v>0.03792090782083068</v>
      </c>
      <c r="G61" s="4">
        <v>364.03</v>
      </c>
    </row>
    <row r="62" spans="1:7">
      <c r="A62" s="4">
        <v>61</v>
      </c>
      <c r="B62" s="1" t="s">
        <v>863</v>
      </c>
      <c r="C62" s="1" t="s">
        <v>864</v>
      </c>
      <c r="D62" s="1" t="s">
        <v>116</v>
      </c>
      <c r="E62" s="5">
        <v>-0.01086048454469513</v>
      </c>
      <c r="F62" s="5">
        <v>0.03751574565967464</v>
      </c>
      <c r="G62" s="4">
        <v>189.44</v>
      </c>
    </row>
    <row r="63" spans="1:7">
      <c r="A63" s="4">
        <v>62</v>
      </c>
      <c r="B63" s="1" t="s">
        <v>1007</v>
      </c>
      <c r="C63" s="1" t="s">
        <v>1008</v>
      </c>
      <c r="D63" s="1" t="s">
        <v>41</v>
      </c>
      <c r="E63" s="5">
        <v>-0.004329299471621084</v>
      </c>
      <c r="F63" s="5">
        <v>0.03647977288857329</v>
      </c>
      <c r="G63" s="4">
        <v>292.08</v>
      </c>
    </row>
    <row r="64" spans="1:7">
      <c r="A64" s="4">
        <v>63</v>
      </c>
      <c r="B64" s="1" t="s">
        <v>594</v>
      </c>
      <c r="C64" s="1" t="s">
        <v>595</v>
      </c>
      <c r="D64" s="1" t="s">
        <v>41</v>
      </c>
      <c r="E64" s="5">
        <v>0.01422726427375842</v>
      </c>
      <c r="F64" s="5">
        <v>0.03504887229937048</v>
      </c>
      <c r="G64" s="4">
        <v>327.21</v>
      </c>
    </row>
    <row r="65" spans="1:7">
      <c r="A65" s="4">
        <v>64</v>
      </c>
      <c r="B65" s="1" t="s">
        <v>670</v>
      </c>
      <c r="C65" s="1" t="s">
        <v>671</v>
      </c>
      <c r="D65" s="1" t="s">
        <v>54</v>
      </c>
      <c r="E65" s="5">
        <v>-0.01622493197621688</v>
      </c>
      <c r="F65" s="5">
        <v>0.03476786092855622</v>
      </c>
      <c r="G65" s="4">
        <v>97.62</v>
      </c>
    </row>
    <row r="66" spans="1:7">
      <c r="A66" s="4">
        <v>65</v>
      </c>
      <c r="B66" s="1" t="s">
        <v>370</v>
      </c>
      <c r="C66" s="1" t="s">
        <v>371</v>
      </c>
      <c r="D66" s="1" t="s">
        <v>138</v>
      </c>
      <c r="E66" s="5">
        <v>0.0001113709767233129</v>
      </c>
      <c r="F66" s="5">
        <v>0.03444303651653025</v>
      </c>
      <c r="G66" s="4">
        <v>89.8</v>
      </c>
    </row>
    <row r="67" spans="1:7">
      <c r="A67" s="4">
        <v>66</v>
      </c>
      <c r="B67" s="1" t="s">
        <v>39</v>
      </c>
      <c r="C67" s="1" t="s">
        <v>40</v>
      </c>
      <c r="D67" s="1" t="s">
        <v>41</v>
      </c>
      <c r="E67" s="5">
        <v>-0.02510587733463321</v>
      </c>
      <c r="F67" s="5">
        <v>0.03433004687247454</v>
      </c>
      <c r="G67" s="4">
        <v>319.97</v>
      </c>
    </row>
    <row r="68" spans="1:7">
      <c r="A68" s="4">
        <v>67</v>
      </c>
      <c r="B68" s="1" t="s">
        <v>1017</v>
      </c>
      <c r="C68" s="1" t="s">
        <v>1018</v>
      </c>
      <c r="D68" s="1" t="s">
        <v>37</v>
      </c>
      <c r="E68" s="5">
        <v>-0.003541912632821886</v>
      </c>
      <c r="F68" s="5">
        <v>0.03431372549019596</v>
      </c>
      <c r="G68" s="4">
        <v>16.88</v>
      </c>
    </row>
    <row r="69" spans="1:7">
      <c r="A69" s="4">
        <v>68</v>
      </c>
      <c r="B69" s="1" t="s">
        <v>704</v>
      </c>
      <c r="C69" s="1" t="s">
        <v>705</v>
      </c>
      <c r="D69" s="1" t="s">
        <v>41</v>
      </c>
      <c r="E69" s="5">
        <v>-0.020426566298126</v>
      </c>
      <c r="F69" s="5">
        <v>0.03406174985514432</v>
      </c>
      <c r="G69" s="4">
        <v>499.7</v>
      </c>
    </row>
    <row r="70" spans="1:7">
      <c r="A70" s="4">
        <v>69</v>
      </c>
      <c r="B70" s="1" t="s">
        <v>475</v>
      </c>
      <c r="C70" s="1" t="s">
        <v>476</v>
      </c>
      <c r="D70" s="1" t="s">
        <v>37</v>
      </c>
      <c r="E70" s="5">
        <v>-0.00148789842613406</v>
      </c>
      <c r="F70" s="5">
        <v>0.03336298932384341</v>
      </c>
      <c r="G70" s="4">
        <v>150.995</v>
      </c>
    </row>
    <row r="71" spans="1:7">
      <c r="A71" s="4">
        <v>70</v>
      </c>
      <c r="B71" s="1" t="s">
        <v>1041</v>
      </c>
      <c r="C71" s="1" t="s">
        <v>1042</v>
      </c>
      <c r="D71" s="1" t="s">
        <v>66</v>
      </c>
      <c r="E71" s="5">
        <v>-0.01180593986349388</v>
      </c>
      <c r="F71" s="5">
        <v>0.033172613307618</v>
      </c>
      <c r="G71" s="4">
        <v>107.14</v>
      </c>
    </row>
    <row r="72" spans="1:7">
      <c r="A72" s="4">
        <v>71</v>
      </c>
      <c r="B72" s="1" t="s">
        <v>574</v>
      </c>
      <c r="C72" s="1" t="s">
        <v>575</v>
      </c>
      <c r="D72" s="1" t="s">
        <v>54</v>
      </c>
      <c r="E72" s="5">
        <v>0.01100580862121681</v>
      </c>
      <c r="F72" s="5">
        <v>0.03279200499687684</v>
      </c>
      <c r="G72" s="4">
        <v>33.07</v>
      </c>
    </row>
    <row r="73" spans="1:7">
      <c r="A73" s="4">
        <v>72</v>
      </c>
      <c r="B73" s="1" t="s">
        <v>267</v>
      </c>
      <c r="C73" s="1" t="s">
        <v>268</v>
      </c>
      <c r="D73" s="1" t="s">
        <v>37</v>
      </c>
      <c r="E73" s="5">
        <v>-0.01440752719788285</v>
      </c>
      <c r="F73" s="5">
        <v>0.03106736388803455</v>
      </c>
      <c r="G73" s="4">
        <v>67.04000000000001</v>
      </c>
    </row>
    <row r="74" spans="1:7">
      <c r="A74" s="4">
        <v>73</v>
      </c>
      <c r="B74" s="1" t="s">
        <v>490</v>
      </c>
      <c r="C74" s="1" t="s">
        <v>491</v>
      </c>
      <c r="D74" s="1" t="s">
        <v>47</v>
      </c>
      <c r="E74" s="5">
        <v>0.003342537421886504</v>
      </c>
      <c r="F74" s="5">
        <v>0.030755449387877</v>
      </c>
      <c r="G74" s="4">
        <v>138.08</v>
      </c>
    </row>
    <row r="75" spans="1:7">
      <c r="A75" s="4">
        <v>74</v>
      </c>
      <c r="B75" s="1" t="s">
        <v>562</v>
      </c>
      <c r="C75" s="1" t="s">
        <v>563</v>
      </c>
      <c r="D75" s="1" t="s">
        <v>37</v>
      </c>
      <c r="E75" s="5">
        <v>-0.01417421397540686</v>
      </c>
      <c r="F75" s="5">
        <v>0.03059810638134097</v>
      </c>
      <c r="G75" s="4">
        <v>267.77</v>
      </c>
    </row>
    <row r="76" spans="1:7">
      <c r="A76" s="4">
        <v>75</v>
      </c>
      <c r="B76" s="1" t="s">
        <v>481</v>
      </c>
      <c r="C76" s="1" t="s">
        <v>482</v>
      </c>
      <c r="D76" s="1" t="s">
        <v>41</v>
      </c>
      <c r="E76" s="5">
        <v>0.05684931506849322</v>
      </c>
      <c r="F76" s="5">
        <v>0.02976508275493872</v>
      </c>
      <c r="G76" s="4">
        <v>154.3</v>
      </c>
    </row>
    <row r="77" spans="1:7">
      <c r="A77" s="4">
        <v>76</v>
      </c>
      <c r="B77" s="1" t="s">
        <v>77</v>
      </c>
      <c r="C77" s="1" t="s">
        <v>78</v>
      </c>
      <c r="D77" s="1" t="s">
        <v>76</v>
      </c>
      <c r="E77" s="5">
        <v>-0.001683906663459189</v>
      </c>
      <c r="F77" s="5">
        <v>0.02943608400859943</v>
      </c>
      <c r="G77" s="4">
        <v>124.5</v>
      </c>
    </row>
    <row r="78" spans="1:7">
      <c r="A78" s="4">
        <v>77</v>
      </c>
      <c r="B78" s="1" t="s">
        <v>378</v>
      </c>
      <c r="C78" s="1" t="s">
        <v>379</v>
      </c>
      <c r="D78" s="1" t="s">
        <v>54</v>
      </c>
      <c r="E78" s="5">
        <v>-0.01392880258899676</v>
      </c>
      <c r="F78" s="5">
        <v>0.02921147921958611</v>
      </c>
      <c r="G78" s="4">
        <v>380.87</v>
      </c>
    </row>
    <row r="79" spans="1:7">
      <c r="A79" s="4">
        <v>78</v>
      </c>
      <c r="B79" s="1" t="s">
        <v>234</v>
      </c>
      <c r="C79" s="1" t="s">
        <v>235</v>
      </c>
      <c r="D79" s="1" t="s">
        <v>93</v>
      </c>
      <c r="E79" s="5">
        <v>-0.03236339888251949</v>
      </c>
      <c r="F79" s="5">
        <v>0.02893518518518512</v>
      </c>
      <c r="G79" s="4">
        <v>133.35</v>
      </c>
    </row>
    <row r="80" spans="1:7">
      <c r="A80" s="4">
        <v>79</v>
      </c>
      <c r="B80" s="1" t="s">
        <v>889</v>
      </c>
      <c r="C80" s="1" t="s">
        <v>890</v>
      </c>
      <c r="D80" s="1" t="s">
        <v>54</v>
      </c>
      <c r="E80" s="5">
        <v>-0.01569088730081225</v>
      </c>
      <c r="F80" s="5">
        <v>0.02833360383964378</v>
      </c>
      <c r="G80" s="4">
        <v>443.51</v>
      </c>
    </row>
    <row r="81" spans="1:7">
      <c r="A81" s="4">
        <v>80</v>
      </c>
      <c r="B81" s="1" t="s">
        <v>121</v>
      </c>
      <c r="C81" s="1" t="s">
        <v>122</v>
      </c>
      <c r="D81" s="1" t="s">
        <v>41</v>
      </c>
      <c r="E81" s="5">
        <v>0.01222315085666525</v>
      </c>
      <c r="F81" s="5">
        <v>0.02719321494831695</v>
      </c>
      <c r="G81" s="4">
        <v>193.78</v>
      </c>
    </row>
    <row r="82" spans="1:7">
      <c r="A82" s="4">
        <v>81</v>
      </c>
      <c r="B82" s="1" t="s">
        <v>394</v>
      </c>
      <c r="C82" s="1" t="s">
        <v>395</v>
      </c>
      <c r="D82" s="1" t="s">
        <v>129</v>
      </c>
      <c r="E82" s="5">
        <v>-0.007912245998921041</v>
      </c>
      <c r="F82" s="5">
        <v>0.02699180938198076</v>
      </c>
      <c r="G82" s="4">
        <v>55.17</v>
      </c>
    </row>
    <row r="83" spans="1:7">
      <c r="A83" s="4">
        <v>82</v>
      </c>
      <c r="B83" s="1" t="s">
        <v>404</v>
      </c>
      <c r="C83" s="1" t="s">
        <v>405</v>
      </c>
      <c r="D83" s="1" t="s">
        <v>76</v>
      </c>
      <c r="E83" s="5">
        <v>-0.004731861198738252</v>
      </c>
      <c r="F83" s="5">
        <v>0.02532976486331484</v>
      </c>
      <c r="G83" s="4">
        <v>107.27</v>
      </c>
    </row>
    <row r="84" spans="1:7">
      <c r="A84" s="4">
        <v>83</v>
      </c>
      <c r="B84" s="1" t="s">
        <v>925</v>
      </c>
      <c r="C84" s="1" t="s">
        <v>926</v>
      </c>
      <c r="D84" s="1" t="s">
        <v>41</v>
      </c>
      <c r="E84" s="5">
        <v>-0.003629244066663428</v>
      </c>
      <c r="F84" s="5">
        <v>0.02520636792452824</v>
      </c>
      <c r="G84" s="4">
        <v>208.65</v>
      </c>
    </row>
    <row r="85" spans="1:7">
      <c r="A85" s="4">
        <v>84</v>
      </c>
      <c r="B85" s="1" t="s">
        <v>550</v>
      </c>
      <c r="C85" s="1" t="s">
        <v>551</v>
      </c>
      <c r="D85" s="1" t="s">
        <v>93</v>
      </c>
      <c r="E85" s="5">
        <v>-0.001272264631043241</v>
      </c>
      <c r="F85" s="5">
        <v>0.02456098718557187</v>
      </c>
      <c r="G85" s="4">
        <v>86.34999999999999</v>
      </c>
    </row>
    <row r="86" spans="1:7">
      <c r="A86" s="4">
        <v>85</v>
      </c>
      <c r="B86" s="1" t="s">
        <v>929</v>
      </c>
      <c r="C86" s="1" t="s">
        <v>930</v>
      </c>
      <c r="D86" s="1" t="s">
        <v>54</v>
      </c>
      <c r="E86" s="5">
        <v>0.000775043596202174</v>
      </c>
      <c r="F86" s="5">
        <v>0.02439508131693757</v>
      </c>
      <c r="G86" s="4">
        <v>51.65</v>
      </c>
    </row>
    <row r="87" spans="1:7">
      <c r="A87" s="4">
        <v>86</v>
      </c>
      <c r="B87" s="1" t="s">
        <v>885</v>
      </c>
      <c r="C87" s="1" t="s">
        <v>886</v>
      </c>
      <c r="D87" s="1" t="s">
        <v>37</v>
      </c>
      <c r="E87" s="5">
        <v>-0.008113370835136302</v>
      </c>
      <c r="F87" s="5">
        <v>0.02366863905325456</v>
      </c>
      <c r="G87" s="4">
        <v>91.69</v>
      </c>
    </row>
    <row r="88" spans="1:7">
      <c r="A88" s="4">
        <v>87</v>
      </c>
      <c r="B88" s="1" t="s">
        <v>269</v>
      </c>
      <c r="C88" s="1" t="s">
        <v>270</v>
      </c>
      <c r="D88" s="1" t="s">
        <v>76</v>
      </c>
      <c r="E88" s="5">
        <v>-0.007753876938469073</v>
      </c>
      <c r="F88" s="5">
        <v>0.02321382512251735</v>
      </c>
      <c r="G88" s="4">
        <v>39.67</v>
      </c>
    </row>
    <row r="89" spans="1:7">
      <c r="A89" s="4">
        <v>88</v>
      </c>
      <c r="B89" s="1" t="s">
        <v>259</v>
      </c>
      <c r="C89" s="1" t="s">
        <v>260</v>
      </c>
      <c r="D89" s="1" t="s">
        <v>54</v>
      </c>
      <c r="E89" s="5">
        <v>-0.002694557702535016</v>
      </c>
      <c r="F89" s="5">
        <v>0.02294712342715832</v>
      </c>
      <c r="G89" s="4">
        <v>281.29</v>
      </c>
    </row>
    <row r="90" spans="1:7">
      <c r="A90" s="4">
        <v>89</v>
      </c>
      <c r="B90" s="1" t="s">
        <v>96</v>
      </c>
      <c r="C90" s="1" t="s">
        <v>97</v>
      </c>
      <c r="D90" s="1" t="s">
        <v>54</v>
      </c>
      <c r="E90" s="5">
        <v>-0.01345444870966528</v>
      </c>
      <c r="F90" s="5">
        <v>0.02261356025686467</v>
      </c>
      <c r="G90" s="4">
        <v>259.57</v>
      </c>
    </row>
    <row r="91" spans="1:7">
      <c r="A91" s="4">
        <v>90</v>
      </c>
      <c r="B91" s="1" t="s">
        <v>757</v>
      </c>
      <c r="C91" s="1" t="s">
        <v>758</v>
      </c>
      <c r="D91" s="1" t="s">
        <v>129</v>
      </c>
      <c r="E91" s="5">
        <v>-0.003342036553524719</v>
      </c>
      <c r="F91" s="5">
        <v>0.02250080360012863</v>
      </c>
      <c r="G91" s="4">
        <v>95.43000000000001</v>
      </c>
    </row>
    <row r="92" spans="1:7">
      <c r="A92" s="4">
        <v>91</v>
      </c>
      <c r="B92" s="1" t="s">
        <v>989</v>
      </c>
      <c r="C92" s="1" t="s">
        <v>990</v>
      </c>
      <c r="D92" s="1" t="s">
        <v>54</v>
      </c>
      <c r="E92" s="5">
        <v>-0.00251849519911862</v>
      </c>
      <c r="F92" s="5">
        <v>0.02127316680096691</v>
      </c>
      <c r="G92" s="4">
        <v>63.37</v>
      </c>
    </row>
    <row r="93" spans="1:7">
      <c r="A93" s="4">
        <v>92</v>
      </c>
      <c r="B93" s="1" t="s">
        <v>813</v>
      </c>
      <c r="C93" s="1" t="s">
        <v>814</v>
      </c>
      <c r="D93" s="1" t="s">
        <v>76</v>
      </c>
      <c r="E93" s="5">
        <v>0</v>
      </c>
      <c r="F93" s="5">
        <v>0.02123327515997664</v>
      </c>
      <c r="G93" s="4">
        <v>35.11</v>
      </c>
    </row>
    <row r="94" spans="1:7">
      <c r="A94" s="4">
        <v>93</v>
      </c>
      <c r="B94" s="1" t="s">
        <v>196</v>
      </c>
      <c r="C94" s="1" t="s">
        <v>197</v>
      </c>
      <c r="D94" s="1" t="s">
        <v>54</v>
      </c>
      <c r="E94" s="5">
        <v>-0.004132800661248104</v>
      </c>
      <c r="F94" s="5">
        <v>0.0205921503771529</v>
      </c>
      <c r="G94" s="4">
        <v>506.03</v>
      </c>
    </row>
    <row r="95" spans="1:7">
      <c r="A95" s="4">
        <v>94</v>
      </c>
      <c r="B95" s="1" t="s">
        <v>588</v>
      </c>
      <c r="C95" s="1" t="s">
        <v>589</v>
      </c>
      <c r="D95" s="1" t="s">
        <v>54</v>
      </c>
      <c r="E95" s="5">
        <v>-0.00944594818538369</v>
      </c>
      <c r="F95" s="5">
        <v>0.02008077820126286</v>
      </c>
      <c r="G95" s="4">
        <v>358.64</v>
      </c>
    </row>
    <row r="96" spans="1:7">
      <c r="A96" s="4">
        <v>95</v>
      </c>
      <c r="B96" s="1" t="s">
        <v>726</v>
      </c>
      <c r="C96" s="1" t="s">
        <v>727</v>
      </c>
      <c r="D96" s="1" t="s">
        <v>76</v>
      </c>
      <c r="E96" s="5">
        <v>-0.0064810369659144</v>
      </c>
      <c r="F96" s="5">
        <v>0.01895617922205828</v>
      </c>
      <c r="G96" s="4">
        <v>41.39</v>
      </c>
    </row>
    <row r="97" spans="1:7">
      <c r="A97" s="4">
        <v>96</v>
      </c>
      <c r="B97" s="1" t="s">
        <v>412</v>
      </c>
      <c r="C97" s="1" t="s">
        <v>413</v>
      </c>
      <c r="D97" s="1" t="s">
        <v>129</v>
      </c>
      <c r="E97" s="5">
        <v>-0.01150933871781934</v>
      </c>
      <c r="F97" s="5">
        <v>0.01894057654282433</v>
      </c>
      <c r="G97" s="4">
        <v>97.91</v>
      </c>
    </row>
    <row r="98" spans="1:7">
      <c r="A98" s="4">
        <v>97</v>
      </c>
      <c r="B98" s="1" t="s">
        <v>382</v>
      </c>
      <c r="C98" s="1" t="s">
        <v>383</v>
      </c>
      <c r="D98" s="1" t="s">
        <v>66</v>
      </c>
      <c r="E98" s="5">
        <v>0.02974419988102328</v>
      </c>
      <c r="F98" s="5">
        <v>0.01883460859329023</v>
      </c>
      <c r="G98" s="4">
        <v>103.86</v>
      </c>
    </row>
    <row r="99" spans="1:7">
      <c r="A99" s="4">
        <v>98</v>
      </c>
      <c r="B99" s="1" t="s">
        <v>180</v>
      </c>
      <c r="C99" s="1" t="s">
        <v>181</v>
      </c>
      <c r="D99" s="1" t="s">
        <v>37</v>
      </c>
      <c r="E99" s="5">
        <v>-0.01639125206004177</v>
      </c>
      <c r="F99" s="5">
        <v>0.01868253528923347</v>
      </c>
      <c r="G99" s="4">
        <v>220.83</v>
      </c>
    </row>
    <row r="100" spans="1:7">
      <c r="A100" s="4">
        <v>99</v>
      </c>
      <c r="B100" s="1" t="s">
        <v>479</v>
      </c>
      <c r="C100" s="1" t="s">
        <v>480</v>
      </c>
      <c r="D100" s="1" t="s">
        <v>54</v>
      </c>
      <c r="E100" s="5">
        <v>-0.01274643099932016</v>
      </c>
      <c r="F100" s="5">
        <v>0.01864624736965159</v>
      </c>
      <c r="G100" s="4">
        <v>174.27</v>
      </c>
    </row>
    <row r="101" spans="1:7">
      <c r="A101" s="4">
        <v>100</v>
      </c>
      <c r="B101" s="1" t="s">
        <v>184</v>
      </c>
      <c r="C101" s="1" t="s">
        <v>185</v>
      </c>
      <c r="D101" s="1" t="s">
        <v>129</v>
      </c>
      <c r="E101" s="5">
        <v>-0.002199874292897586</v>
      </c>
      <c r="F101" s="5">
        <v>0.01860763554700018</v>
      </c>
      <c r="G101" s="4">
        <v>63.5</v>
      </c>
    </row>
  </sheetData>
  <autoFilter ref="A1:G101"/>
  <conditionalFormatting sqref="E2:E101">
    <cfRule type="colorScale" priority="1">
      <colorScale>
        <cfvo type="min" val="0"/>
        <cfvo type="num" val="0"/>
        <cfvo type="max" val="0"/>
        <color rgb="FFF6C7CE"/>
        <color rgb="FFFFFFFF"/>
        <color rgb="FFB9E5D1"/>
      </colorScale>
    </cfRule>
  </conditionalFormatting>
  <conditionalFormatting sqref="F2:F101">
    <cfRule type="colorScale" priority="2">
      <colorScale>
        <cfvo type="min" val="0"/>
        <cfvo type="num" val="0"/>
        <cfvo type="max" val="0"/>
        <color rgb="FFF6C7CE"/>
        <color rgb="FFFFFFFF"/>
        <color rgb="FFB9E5D1"/>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101"/>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5.7109375" style="1" customWidth="1"/>
    <col min="2" max="2" width="22.7109375" style="1" customWidth="1"/>
    <col min="3" max="3" width="40.7109375" style="1" customWidth="1"/>
    <col min="4" max="4" width="27.7109375" style="1" customWidth="1"/>
    <col min="5" max="7" width="15.7109375" style="1" customWidth="1"/>
  </cols>
  <sheetData>
    <row r="1" spans="1:7" ht="30" customHeight="1">
      <c r="A1" s="3" t="s">
        <v>1071</v>
      </c>
      <c r="B1" s="3" t="s">
        <v>24</v>
      </c>
      <c r="C1" s="3" t="s">
        <v>25</v>
      </c>
      <c r="D1" s="3" t="s">
        <v>26</v>
      </c>
      <c r="E1" s="3" t="s">
        <v>1072</v>
      </c>
      <c r="F1" s="3" t="s">
        <v>1073</v>
      </c>
      <c r="G1" s="3" t="s">
        <v>1074</v>
      </c>
    </row>
    <row r="2" spans="1:7">
      <c r="A2" s="4">
        <v>1</v>
      </c>
      <c r="B2" s="1" t="s">
        <v>380</v>
      </c>
      <c r="C2" s="1" t="s">
        <v>381</v>
      </c>
      <c r="D2" s="1" t="s">
        <v>76</v>
      </c>
      <c r="E2" s="5">
        <v>0.008348134991119194</v>
      </c>
      <c r="F2" s="5">
        <v>-0.2070121525352703</v>
      </c>
      <c r="G2" s="4">
        <v>56.77</v>
      </c>
    </row>
    <row r="3" spans="1:7">
      <c r="A3" s="4">
        <v>2</v>
      </c>
      <c r="B3" s="1" t="s">
        <v>440</v>
      </c>
      <c r="C3" s="1" t="s">
        <v>441</v>
      </c>
      <c r="D3" s="1" t="s">
        <v>41</v>
      </c>
      <c r="E3" s="5">
        <v>-0.1668290241570072</v>
      </c>
      <c r="F3" s="5">
        <v>-0.2050107873485295</v>
      </c>
      <c r="G3" s="4">
        <v>932.26</v>
      </c>
    </row>
    <row r="4" spans="1:7">
      <c r="A4" s="4">
        <v>3</v>
      </c>
      <c r="B4" s="1" t="s">
        <v>248</v>
      </c>
      <c r="C4" s="1" t="s">
        <v>249</v>
      </c>
      <c r="D4" s="1" t="s">
        <v>41</v>
      </c>
      <c r="E4" s="5">
        <v>0.01115101115101114</v>
      </c>
      <c r="F4" s="5">
        <v>-0.1889638444629729</v>
      </c>
      <c r="G4" s="4">
        <v>321</v>
      </c>
    </row>
    <row r="5" spans="1:7">
      <c r="A5" s="4">
        <v>4</v>
      </c>
      <c r="B5" s="1" t="s">
        <v>777</v>
      </c>
      <c r="C5" s="1" t="s">
        <v>778</v>
      </c>
      <c r="D5" s="1" t="s">
        <v>76</v>
      </c>
      <c r="E5" s="5">
        <v>0.02435530085959892</v>
      </c>
      <c r="F5" s="5">
        <v>-0.1875</v>
      </c>
      <c r="G5" s="4">
        <v>14.3</v>
      </c>
    </row>
    <row r="6" spans="1:7">
      <c r="A6" s="4">
        <v>5</v>
      </c>
      <c r="B6" s="1" t="s">
        <v>155</v>
      </c>
      <c r="C6" s="1" t="s">
        <v>156</v>
      </c>
      <c r="D6" s="1" t="s">
        <v>70</v>
      </c>
      <c r="E6" s="5">
        <v>-0.04177273994239528</v>
      </c>
      <c r="F6" s="5">
        <v>-0.1785424133811231</v>
      </c>
      <c r="G6" s="4">
        <v>515.67</v>
      </c>
    </row>
    <row r="7" spans="1:7">
      <c r="A7" s="4">
        <v>6</v>
      </c>
      <c r="B7" s="1" t="s">
        <v>640</v>
      </c>
      <c r="C7" s="1" t="s">
        <v>641</v>
      </c>
      <c r="D7" s="1" t="s">
        <v>47</v>
      </c>
      <c r="E7" s="5">
        <v>-0.1737702225507103</v>
      </c>
      <c r="F7" s="5">
        <v>-0.1689931444618815</v>
      </c>
      <c r="G7" s="4">
        <v>100.61</v>
      </c>
    </row>
    <row r="8" spans="1:7">
      <c r="A8" s="4">
        <v>7</v>
      </c>
      <c r="B8" s="1" t="s">
        <v>72</v>
      </c>
      <c r="C8" s="1" t="s">
        <v>73</v>
      </c>
      <c r="D8" s="1" t="s">
        <v>41</v>
      </c>
      <c r="E8" s="5">
        <v>-0.08260357022566522</v>
      </c>
      <c r="F8" s="5">
        <v>-0.1415345218162118</v>
      </c>
      <c r="G8" s="4">
        <v>217.9</v>
      </c>
    </row>
    <row r="9" spans="1:7">
      <c r="A9" s="4">
        <v>8</v>
      </c>
      <c r="B9" s="1" t="s">
        <v>254</v>
      </c>
      <c r="C9" s="1" t="s">
        <v>255</v>
      </c>
      <c r="D9" s="1" t="s">
        <v>66</v>
      </c>
      <c r="E9" s="5">
        <v>-0.0130448615972002</v>
      </c>
      <c r="F9" s="5">
        <v>-0.1277533039647577</v>
      </c>
      <c r="G9" s="4">
        <v>93.06</v>
      </c>
    </row>
    <row r="10" spans="1:7">
      <c r="A10" s="4">
        <v>9</v>
      </c>
      <c r="B10" s="1" t="s">
        <v>957</v>
      </c>
      <c r="C10" s="1" t="s">
        <v>958</v>
      </c>
      <c r="D10" s="1" t="s">
        <v>66</v>
      </c>
      <c r="E10" s="5">
        <v>-0.006568778979907153</v>
      </c>
      <c r="F10" s="5">
        <v>-0.1207250341997264</v>
      </c>
      <c r="G10" s="4">
        <v>51.42</v>
      </c>
    </row>
    <row r="11" spans="1:7">
      <c r="A11" s="4">
        <v>10</v>
      </c>
      <c r="B11" s="1" t="s">
        <v>91</v>
      </c>
      <c r="C11" s="1" t="s">
        <v>92</v>
      </c>
      <c r="D11" s="1" t="s">
        <v>93</v>
      </c>
      <c r="E11" s="5">
        <v>-0.04449152542372881</v>
      </c>
      <c r="F11" s="5">
        <v>-0.1184642233856893</v>
      </c>
      <c r="G11" s="4">
        <v>126.28</v>
      </c>
    </row>
    <row r="12" spans="1:7">
      <c r="A12" s="4">
        <v>11</v>
      </c>
      <c r="B12" s="1" t="s">
        <v>827</v>
      </c>
      <c r="C12" s="1" t="s">
        <v>828</v>
      </c>
      <c r="D12" s="1" t="s">
        <v>54</v>
      </c>
      <c r="E12" s="5">
        <v>-0.03273495248152059</v>
      </c>
      <c r="F12" s="5">
        <v>-0.1070674248578392</v>
      </c>
      <c r="G12" s="4">
        <v>54.96</v>
      </c>
    </row>
    <row r="13" spans="1:7">
      <c r="A13" s="4">
        <v>12</v>
      </c>
      <c r="B13" s="1" t="s">
        <v>963</v>
      </c>
      <c r="C13" s="1" t="s">
        <v>964</v>
      </c>
      <c r="D13" s="1" t="s">
        <v>138</v>
      </c>
      <c r="E13" s="5">
        <v>0.002615233736515288</v>
      </c>
      <c r="F13" s="5">
        <v>-0.1040397295718221</v>
      </c>
      <c r="G13" s="4">
        <v>214.69</v>
      </c>
    </row>
    <row r="14" spans="1:7">
      <c r="A14" s="4">
        <v>13</v>
      </c>
      <c r="B14" s="1" t="s">
        <v>560</v>
      </c>
      <c r="C14" s="1" t="s">
        <v>561</v>
      </c>
      <c r="D14" s="1" t="s">
        <v>93</v>
      </c>
      <c r="E14" s="5">
        <v>0.02195389681668503</v>
      </c>
      <c r="F14" s="5">
        <v>-0.1024343215232586</v>
      </c>
      <c r="G14" s="4">
        <v>37.24</v>
      </c>
    </row>
    <row r="15" spans="1:7">
      <c r="A15" s="4">
        <v>14</v>
      </c>
      <c r="B15" s="1" t="s">
        <v>755</v>
      </c>
      <c r="C15" s="1" t="s">
        <v>756</v>
      </c>
      <c r="D15" s="1" t="s">
        <v>70</v>
      </c>
      <c r="E15" s="5">
        <v>0.0006460296096904017</v>
      </c>
      <c r="F15" s="5">
        <v>-0.09977236402382905</v>
      </c>
      <c r="G15" s="4">
        <v>185.87</v>
      </c>
    </row>
    <row r="16" spans="1:7">
      <c r="A16" s="4">
        <v>15</v>
      </c>
      <c r="B16" s="1" t="s">
        <v>526</v>
      </c>
      <c r="C16" s="1" t="s">
        <v>527</v>
      </c>
      <c r="D16" s="1" t="s">
        <v>66</v>
      </c>
      <c r="E16" s="5">
        <v>-0.006457564575645836</v>
      </c>
      <c r="F16" s="5">
        <v>-0.09798994974874375</v>
      </c>
      <c r="G16" s="4">
        <v>21.54</v>
      </c>
    </row>
    <row r="17" spans="1:7">
      <c r="A17" s="4">
        <v>16</v>
      </c>
      <c r="B17" s="1" t="s">
        <v>714</v>
      </c>
      <c r="C17" s="1" t="s">
        <v>715</v>
      </c>
      <c r="D17" s="1" t="s">
        <v>47</v>
      </c>
      <c r="E17" s="5">
        <v>-0.00128287363694668</v>
      </c>
      <c r="F17" s="5">
        <v>-0.09686774941995346</v>
      </c>
      <c r="G17" s="4">
        <v>15.57</v>
      </c>
    </row>
    <row r="18" spans="1:7">
      <c r="A18" s="4">
        <v>17</v>
      </c>
      <c r="B18" s="1" t="s">
        <v>325</v>
      </c>
      <c r="C18" s="1" t="s">
        <v>326</v>
      </c>
      <c r="D18" s="1" t="s">
        <v>41</v>
      </c>
      <c r="E18" s="5">
        <v>-0.008521139877072037</v>
      </c>
      <c r="F18" s="5">
        <v>-0.09629912571089039</v>
      </c>
      <c r="G18" s="4">
        <v>212.93</v>
      </c>
    </row>
    <row r="19" spans="1:7">
      <c r="A19" s="4">
        <v>18</v>
      </c>
      <c r="B19" s="1" t="s">
        <v>212</v>
      </c>
      <c r="C19" s="1" t="s">
        <v>213</v>
      </c>
      <c r="D19" s="1" t="s">
        <v>66</v>
      </c>
      <c r="E19" s="5">
        <v>-0.003072176366656909</v>
      </c>
      <c r="F19" s="5">
        <v>-0.09530475985354292</v>
      </c>
      <c r="G19" s="4">
        <v>756.09</v>
      </c>
    </row>
    <row r="20" spans="1:7">
      <c r="A20" s="4">
        <v>19</v>
      </c>
      <c r="B20" s="1" t="s">
        <v>556</v>
      </c>
      <c r="C20" s="1" t="s">
        <v>557</v>
      </c>
      <c r="D20" s="1" t="s">
        <v>41</v>
      </c>
      <c r="E20" s="5">
        <v>-0.03369154806854491</v>
      </c>
      <c r="F20" s="5">
        <v>-0.09346049046321525</v>
      </c>
      <c r="G20" s="4">
        <v>332.7</v>
      </c>
    </row>
    <row r="21" spans="1:7">
      <c r="A21" s="4">
        <v>20</v>
      </c>
      <c r="B21" s="1" t="s">
        <v>833</v>
      </c>
      <c r="C21" s="1" t="s">
        <v>834</v>
      </c>
      <c r="D21" s="1" t="s">
        <v>47</v>
      </c>
      <c r="E21" s="5">
        <v>-0.001355676897006219</v>
      </c>
      <c r="F21" s="5">
        <v>-0.09181506849315069</v>
      </c>
      <c r="G21" s="4">
        <v>265.19</v>
      </c>
    </row>
    <row r="22" spans="1:7">
      <c r="A22" s="4">
        <v>21</v>
      </c>
      <c r="B22" s="1" t="s">
        <v>485</v>
      </c>
      <c r="C22" s="1" t="s">
        <v>486</v>
      </c>
      <c r="D22" s="1" t="s">
        <v>70</v>
      </c>
      <c r="E22" s="5">
        <v>0.02365861654463974</v>
      </c>
      <c r="F22" s="5">
        <v>-0.09044567433731432</v>
      </c>
      <c r="G22" s="4">
        <v>187.35</v>
      </c>
    </row>
    <row r="23" spans="1:7">
      <c r="A23" s="4">
        <v>22</v>
      </c>
      <c r="B23" s="1" t="s">
        <v>123</v>
      </c>
      <c r="C23" s="1" t="s">
        <v>124</v>
      </c>
      <c r="D23" s="1" t="s">
        <v>54</v>
      </c>
      <c r="E23" s="5">
        <v>-0.01195718654434264</v>
      </c>
      <c r="F23" s="5">
        <v>-0.09016924333305187</v>
      </c>
      <c r="G23" s="4">
        <v>323.09</v>
      </c>
    </row>
    <row r="24" spans="1:7">
      <c r="A24" s="4">
        <v>23</v>
      </c>
      <c r="B24" s="1" t="s">
        <v>352</v>
      </c>
      <c r="C24" s="1" t="s">
        <v>353</v>
      </c>
      <c r="D24" s="1" t="s">
        <v>93</v>
      </c>
      <c r="E24" s="5">
        <v>-0.03030303030303028</v>
      </c>
      <c r="F24" s="5">
        <v>-0.08995363214837715</v>
      </c>
      <c r="G24" s="4">
        <v>29.44</v>
      </c>
    </row>
    <row r="25" spans="1:7">
      <c r="A25" s="4">
        <v>24</v>
      </c>
      <c r="B25" s="1" t="s">
        <v>823</v>
      </c>
      <c r="C25" s="1" t="s">
        <v>824</v>
      </c>
      <c r="D25" s="1" t="s">
        <v>41</v>
      </c>
      <c r="E25" s="5">
        <v>-0.06036780383795315</v>
      </c>
      <c r="F25" s="5">
        <v>-0.08831135246961463</v>
      </c>
      <c r="G25" s="4">
        <v>141.02</v>
      </c>
    </row>
    <row r="26" spans="1:7">
      <c r="A26" s="4">
        <v>25</v>
      </c>
      <c r="B26" s="1" t="s">
        <v>1053</v>
      </c>
      <c r="C26" s="1" t="s">
        <v>1054</v>
      </c>
      <c r="D26" s="1" t="s">
        <v>47</v>
      </c>
      <c r="E26" s="5">
        <v>-0.000218435998252442</v>
      </c>
      <c r="F26" s="5">
        <v>-0.08715596330275222</v>
      </c>
      <c r="G26" s="4">
        <v>91.54000000000001</v>
      </c>
    </row>
    <row r="27" spans="1:7">
      <c r="A27" s="4">
        <v>26</v>
      </c>
      <c r="B27" s="1" t="s">
        <v>277</v>
      </c>
      <c r="C27" s="1" t="s">
        <v>278</v>
      </c>
      <c r="D27" s="1" t="s">
        <v>37</v>
      </c>
      <c r="E27" s="5">
        <v>-0.01486409966024915</v>
      </c>
      <c r="F27" s="5">
        <v>-0.08698504329572287</v>
      </c>
      <c r="G27" s="4">
        <v>69.59</v>
      </c>
    </row>
    <row r="28" spans="1:7">
      <c r="A28" s="4">
        <v>27</v>
      </c>
      <c r="B28" s="1" t="s">
        <v>226</v>
      </c>
      <c r="C28" s="1" t="s">
        <v>227</v>
      </c>
      <c r="D28" s="1" t="s">
        <v>47</v>
      </c>
      <c r="E28" s="5">
        <v>0.001277683134582652</v>
      </c>
      <c r="F28" s="5">
        <v>-0.08628060629615231</v>
      </c>
      <c r="G28" s="4">
        <v>23.51</v>
      </c>
    </row>
    <row r="29" spans="1:7">
      <c r="A29" s="4">
        <v>28</v>
      </c>
      <c r="B29" s="1" t="s">
        <v>630</v>
      </c>
      <c r="C29" s="1" t="s">
        <v>631</v>
      </c>
      <c r="D29" s="1" t="s">
        <v>37</v>
      </c>
      <c r="E29" s="5">
        <v>-0.008830631252155885</v>
      </c>
      <c r="F29" s="5">
        <v>-0.08446710211884678</v>
      </c>
      <c r="G29" s="4">
        <v>1149.36</v>
      </c>
    </row>
    <row r="30" spans="1:7">
      <c r="A30" s="4">
        <v>29</v>
      </c>
      <c r="B30" s="1" t="s">
        <v>682</v>
      </c>
      <c r="C30" s="1" t="s">
        <v>683</v>
      </c>
      <c r="D30" s="1" t="s">
        <v>66</v>
      </c>
      <c r="E30" s="5">
        <v>-0.005898366606170602</v>
      </c>
      <c r="F30" s="5">
        <v>-0.083071772337309</v>
      </c>
      <c r="G30" s="4">
        <v>43.82</v>
      </c>
    </row>
    <row r="31" spans="1:7">
      <c r="A31" s="4">
        <v>30</v>
      </c>
      <c r="B31" s="1" t="s">
        <v>228</v>
      </c>
      <c r="C31" s="1" t="s">
        <v>229</v>
      </c>
      <c r="D31" s="1" t="s">
        <v>41</v>
      </c>
      <c r="E31" s="5">
        <v>-0.03993439934399345</v>
      </c>
      <c r="F31" s="5">
        <v>-0.08250266440975484</v>
      </c>
      <c r="G31" s="4">
        <v>292.7</v>
      </c>
    </row>
    <row r="32" spans="1:7">
      <c r="A32" s="4">
        <v>31</v>
      </c>
      <c r="B32" s="1" t="s">
        <v>376</v>
      </c>
      <c r="C32" s="1" t="s">
        <v>377</v>
      </c>
      <c r="D32" s="1" t="s">
        <v>70</v>
      </c>
      <c r="E32" s="5">
        <v>-0.06367338304511072</v>
      </c>
      <c r="F32" s="5">
        <v>-0.08083272765029592</v>
      </c>
      <c r="G32" s="4">
        <v>177.05</v>
      </c>
    </row>
    <row r="33" spans="1:7">
      <c r="A33" s="4">
        <v>32</v>
      </c>
      <c r="B33" s="1" t="s">
        <v>987</v>
      </c>
      <c r="C33" s="1" t="s">
        <v>988</v>
      </c>
      <c r="D33" s="1" t="s">
        <v>70</v>
      </c>
      <c r="E33" s="5">
        <v>0.01608862326058746</v>
      </c>
      <c r="F33" s="5">
        <v>-0.08070022120872822</v>
      </c>
      <c r="G33" s="4">
        <v>1009.86</v>
      </c>
    </row>
    <row r="34" spans="1:7">
      <c r="A34" s="4">
        <v>33</v>
      </c>
      <c r="B34" s="1" t="s">
        <v>911</v>
      </c>
      <c r="C34" s="1" t="s">
        <v>912</v>
      </c>
      <c r="D34" s="1" t="s">
        <v>37</v>
      </c>
      <c r="E34" s="5">
        <v>-0.0157797331082179</v>
      </c>
      <c r="F34" s="5">
        <v>-0.07989072696919108</v>
      </c>
      <c r="G34" s="4">
        <v>303.13</v>
      </c>
    </row>
    <row r="35" spans="1:7">
      <c r="A35" s="4">
        <v>34</v>
      </c>
      <c r="B35" s="1" t="s">
        <v>469</v>
      </c>
      <c r="C35" s="1" t="s">
        <v>470</v>
      </c>
      <c r="D35" s="1" t="s">
        <v>37</v>
      </c>
      <c r="E35" s="5">
        <v>-0.01233505450372918</v>
      </c>
      <c r="F35" s="5">
        <v>-0.07965784549585664</v>
      </c>
      <c r="G35" s="4">
        <v>68.86</v>
      </c>
    </row>
    <row r="36" spans="1:7">
      <c r="A36" s="4">
        <v>35</v>
      </c>
      <c r="B36" s="1" t="s">
        <v>182</v>
      </c>
      <c r="C36" s="1" t="s">
        <v>183</v>
      </c>
      <c r="D36" s="1" t="s">
        <v>47</v>
      </c>
      <c r="E36" s="5">
        <v>-0.009429611028545115</v>
      </c>
      <c r="F36" s="5">
        <v>-0.07790287186337186</v>
      </c>
      <c r="G36" s="4">
        <v>193.29</v>
      </c>
    </row>
    <row r="37" spans="1:7">
      <c r="A37" s="4">
        <v>36</v>
      </c>
      <c r="B37" s="1" t="s">
        <v>101</v>
      </c>
      <c r="C37" s="1" t="s">
        <v>102</v>
      </c>
      <c r="D37" s="1" t="s">
        <v>41</v>
      </c>
      <c r="E37" s="5">
        <v>0.04312816865866798</v>
      </c>
      <c r="F37" s="5">
        <v>-0.07639340266493344</v>
      </c>
      <c r="G37" s="4">
        <v>454.71</v>
      </c>
    </row>
    <row r="38" spans="1:7">
      <c r="A38" s="4">
        <v>37</v>
      </c>
      <c r="B38" s="1" t="s">
        <v>416</v>
      </c>
      <c r="C38" s="1" t="s">
        <v>417</v>
      </c>
      <c r="D38" s="1" t="s">
        <v>47</v>
      </c>
      <c r="E38" s="5">
        <v>-0.01682390974467229</v>
      </c>
      <c r="F38" s="5">
        <v>-0.07334514815160265</v>
      </c>
      <c r="G38" s="4">
        <v>298.04</v>
      </c>
    </row>
    <row r="39" spans="1:7">
      <c r="A39" s="4">
        <v>38</v>
      </c>
      <c r="B39" s="1" t="s">
        <v>903</v>
      </c>
      <c r="C39" s="1" t="s">
        <v>904</v>
      </c>
      <c r="D39" s="1" t="s">
        <v>93</v>
      </c>
      <c r="E39" s="5">
        <v>0.01259390190013265</v>
      </c>
      <c r="F39" s="5">
        <v>-0.07207936829317685</v>
      </c>
      <c r="G39" s="4">
        <v>45.83</v>
      </c>
    </row>
    <row r="40" spans="1:7">
      <c r="A40" s="4">
        <v>39</v>
      </c>
      <c r="B40" s="1" t="s">
        <v>532</v>
      </c>
      <c r="C40" s="1" t="s">
        <v>533</v>
      </c>
      <c r="D40" s="1" t="s">
        <v>66</v>
      </c>
      <c r="E40" s="5">
        <v>-0.01091054495601507</v>
      </c>
      <c r="F40" s="5">
        <v>-0.07138260216668457</v>
      </c>
      <c r="G40" s="4">
        <v>173.15</v>
      </c>
    </row>
    <row r="41" spans="1:7">
      <c r="A41" s="4">
        <v>40</v>
      </c>
      <c r="B41" s="1" t="s">
        <v>49</v>
      </c>
      <c r="C41" s="1" t="s">
        <v>50</v>
      </c>
      <c r="D41" s="1" t="s">
        <v>37</v>
      </c>
      <c r="E41" s="5">
        <v>-0.004228329809725206</v>
      </c>
      <c r="F41" s="5">
        <v>-0.07124485596707819</v>
      </c>
      <c r="G41" s="4">
        <v>108.33</v>
      </c>
    </row>
    <row r="42" spans="1:7">
      <c r="A42" s="4">
        <v>41</v>
      </c>
      <c r="B42" s="1" t="s">
        <v>103</v>
      </c>
      <c r="C42" s="1" t="s">
        <v>104</v>
      </c>
      <c r="D42" s="1" t="s">
        <v>93</v>
      </c>
      <c r="E42" s="5">
        <v>-0.01612551754194813</v>
      </c>
      <c r="F42" s="5">
        <v>-0.07079646017699126</v>
      </c>
      <c r="G42" s="4">
        <v>45.15</v>
      </c>
    </row>
    <row r="43" spans="1:7">
      <c r="A43" s="4">
        <v>42</v>
      </c>
      <c r="B43" s="1" t="s">
        <v>690</v>
      </c>
      <c r="C43" s="1" t="s">
        <v>691</v>
      </c>
      <c r="D43" s="1" t="s">
        <v>41</v>
      </c>
      <c r="E43" s="5">
        <v>0.008412639558356805</v>
      </c>
      <c r="F43" s="5">
        <v>-0.07021302458443501</v>
      </c>
      <c r="G43" s="4">
        <v>1223.86</v>
      </c>
    </row>
    <row r="44" spans="1:7">
      <c r="A44" s="4">
        <v>43</v>
      </c>
      <c r="B44" s="1" t="s">
        <v>771</v>
      </c>
      <c r="C44" s="1" t="s">
        <v>772</v>
      </c>
      <c r="D44" s="1" t="s">
        <v>41</v>
      </c>
      <c r="E44" s="5">
        <v>0.003976622281135045</v>
      </c>
      <c r="F44" s="5">
        <v>-0.06876798837566722</v>
      </c>
      <c r="G44" s="4">
        <v>333.26</v>
      </c>
    </row>
    <row r="45" spans="1:7">
      <c r="A45" s="4">
        <v>44</v>
      </c>
      <c r="B45" s="1" t="s">
        <v>1059</v>
      </c>
      <c r="C45" s="1" t="s">
        <v>1060</v>
      </c>
      <c r="D45" s="1" t="s">
        <v>70</v>
      </c>
      <c r="E45" s="5">
        <v>-0.02039113912318102</v>
      </c>
      <c r="F45" s="5">
        <v>-0.06815376476811852</v>
      </c>
      <c r="G45" s="4">
        <v>105.69</v>
      </c>
    </row>
    <row r="46" spans="1:7">
      <c r="A46" s="4">
        <v>45</v>
      </c>
      <c r="B46" s="1" t="s">
        <v>632</v>
      </c>
      <c r="C46" s="1" t="s">
        <v>633</v>
      </c>
      <c r="D46" s="1" t="s">
        <v>70</v>
      </c>
      <c r="E46" s="5">
        <v>-0.01439159395815759</v>
      </c>
      <c r="F46" s="5">
        <v>-0.06794187057508394</v>
      </c>
      <c r="G46" s="4">
        <v>525.28</v>
      </c>
    </row>
    <row r="47" spans="1:7">
      <c r="A47" s="4">
        <v>46</v>
      </c>
      <c r="B47" s="1" t="s">
        <v>730</v>
      </c>
      <c r="C47" s="1" t="s">
        <v>731</v>
      </c>
      <c r="D47" s="1" t="s">
        <v>70</v>
      </c>
      <c r="E47" s="5">
        <v>-0.02510222626079051</v>
      </c>
      <c r="F47" s="5">
        <v>-0.06542293523038667</v>
      </c>
      <c r="G47" s="4">
        <v>514.98</v>
      </c>
    </row>
    <row r="48" spans="1:7">
      <c r="A48" s="4">
        <v>47</v>
      </c>
      <c r="B48" s="1" t="s">
        <v>829</v>
      </c>
      <c r="C48" s="1" t="s">
        <v>830</v>
      </c>
      <c r="D48" s="1" t="s">
        <v>41</v>
      </c>
      <c r="E48" s="5">
        <v>0.01688191103232883</v>
      </c>
      <c r="F48" s="5">
        <v>-0.06525450031036617</v>
      </c>
      <c r="G48" s="4">
        <v>120.47</v>
      </c>
    </row>
    <row r="49" spans="1:7">
      <c r="A49" s="4">
        <v>48</v>
      </c>
      <c r="B49" s="1" t="s">
        <v>805</v>
      </c>
      <c r="C49" s="1" t="s">
        <v>806</v>
      </c>
      <c r="D49" s="1" t="s">
        <v>70</v>
      </c>
      <c r="E49" s="5">
        <v>0.003165611462845774</v>
      </c>
      <c r="F49" s="5">
        <v>-0.06506211180124233</v>
      </c>
      <c r="G49" s="4">
        <v>60.21</v>
      </c>
    </row>
    <row r="50" spans="1:7">
      <c r="A50" s="4">
        <v>49</v>
      </c>
      <c r="B50" s="1" t="s">
        <v>463</v>
      </c>
      <c r="C50" s="1" t="s">
        <v>464</v>
      </c>
      <c r="D50" s="1" t="s">
        <v>70</v>
      </c>
      <c r="E50" s="5">
        <v>-0.01771120889933586</v>
      </c>
      <c r="F50" s="5">
        <v>-0.06479481641468687</v>
      </c>
      <c r="G50" s="4">
        <v>359.39</v>
      </c>
    </row>
    <row r="51" spans="1:7">
      <c r="A51" s="4">
        <v>50</v>
      </c>
      <c r="B51" s="1" t="s">
        <v>329</v>
      </c>
      <c r="C51" s="1" t="s">
        <v>330</v>
      </c>
      <c r="D51" s="1" t="s">
        <v>47</v>
      </c>
      <c r="E51" s="5">
        <v>0.0155029585798816</v>
      </c>
      <c r="F51" s="5">
        <v>-0.06402705061082026</v>
      </c>
      <c r="G51" s="4">
        <v>85.81</v>
      </c>
    </row>
    <row r="52" spans="1:7">
      <c r="A52" s="4">
        <v>51</v>
      </c>
      <c r="B52" s="1" t="s">
        <v>817</v>
      </c>
      <c r="C52" s="1" t="s">
        <v>818</v>
      </c>
      <c r="D52" s="1" t="s">
        <v>116</v>
      </c>
      <c r="E52" s="5">
        <v>-0.01216759886174079</v>
      </c>
      <c r="F52" s="5">
        <v>-0.06350584514248514</v>
      </c>
      <c r="G52" s="4">
        <v>302.01</v>
      </c>
    </row>
    <row r="53" spans="1:7">
      <c r="A53" s="4">
        <v>52</v>
      </c>
      <c r="B53" s="1" t="s">
        <v>186</v>
      </c>
      <c r="C53" s="1" t="s">
        <v>187</v>
      </c>
      <c r="D53" s="1" t="s">
        <v>70</v>
      </c>
      <c r="E53" s="5">
        <v>0.02508569647865388</v>
      </c>
      <c r="F53" s="5">
        <v>-0.06295399515738487</v>
      </c>
      <c r="G53" s="4">
        <v>65.79000000000001</v>
      </c>
    </row>
    <row r="54" spans="1:7">
      <c r="A54" s="4">
        <v>53</v>
      </c>
      <c r="B54" s="1" t="s">
        <v>943</v>
      </c>
      <c r="C54" s="1" t="s">
        <v>944</v>
      </c>
      <c r="D54" s="1" t="s">
        <v>47</v>
      </c>
      <c r="E54" s="5">
        <v>-0.003752039151712849</v>
      </c>
      <c r="F54" s="5">
        <v>-0.0616885611123914</v>
      </c>
      <c r="G54" s="4">
        <v>122.14</v>
      </c>
    </row>
    <row r="55" spans="1:7">
      <c r="A55" s="4">
        <v>54</v>
      </c>
      <c r="B55" s="1" t="s">
        <v>795</v>
      </c>
      <c r="C55" s="1" t="s">
        <v>796</v>
      </c>
      <c r="D55" s="1" t="s">
        <v>93</v>
      </c>
      <c r="E55" s="5">
        <v>0.01142516093277068</v>
      </c>
      <c r="F55" s="5">
        <v>-0.06147395071007555</v>
      </c>
      <c r="G55" s="4">
        <v>237.25</v>
      </c>
    </row>
    <row r="56" spans="1:7">
      <c r="A56" s="4">
        <v>55</v>
      </c>
      <c r="B56" s="1" t="s">
        <v>736</v>
      </c>
      <c r="C56" s="1" t="s">
        <v>737</v>
      </c>
      <c r="D56" s="1" t="s">
        <v>70</v>
      </c>
      <c r="E56" s="5">
        <v>0.004972089192569307</v>
      </c>
      <c r="F56" s="5">
        <v>-0.06061815693430672</v>
      </c>
      <c r="G56" s="4">
        <v>329.46</v>
      </c>
    </row>
    <row r="57" spans="1:7">
      <c r="A57" s="4">
        <v>56</v>
      </c>
      <c r="B57" s="1" t="s">
        <v>494</v>
      </c>
      <c r="C57" s="1" t="s">
        <v>495</v>
      </c>
      <c r="D57" s="1" t="s">
        <v>47</v>
      </c>
      <c r="E57" s="5">
        <v>-0.0005411645861895797</v>
      </c>
      <c r="F57" s="5">
        <v>-0.06043751059860958</v>
      </c>
      <c r="G57" s="4">
        <v>277.03</v>
      </c>
    </row>
    <row r="58" spans="1:7">
      <c r="A58" s="4">
        <v>57</v>
      </c>
      <c r="B58" s="1" t="s">
        <v>933</v>
      </c>
      <c r="C58" s="1" t="s">
        <v>934</v>
      </c>
      <c r="D58" s="1" t="s">
        <v>47</v>
      </c>
      <c r="E58" s="5">
        <v>-0.0008321355624478777</v>
      </c>
      <c r="F58" s="5">
        <v>-0.06012950971322839</v>
      </c>
      <c r="G58" s="4">
        <v>132.08</v>
      </c>
    </row>
    <row r="59" spans="1:7">
      <c r="A59" s="4">
        <v>58</v>
      </c>
      <c r="B59" s="1" t="s">
        <v>176</v>
      </c>
      <c r="C59" s="1" t="s">
        <v>177</v>
      </c>
      <c r="D59" s="1" t="s">
        <v>66</v>
      </c>
      <c r="E59" s="5">
        <v>-0.02835332606324981</v>
      </c>
      <c r="F59" s="5">
        <v>-0.060126582278481</v>
      </c>
      <c r="G59" s="4">
        <v>26.73</v>
      </c>
    </row>
    <row r="60" spans="1:7">
      <c r="A60" s="4">
        <v>59</v>
      </c>
      <c r="B60" s="1" t="s">
        <v>676</v>
      </c>
      <c r="C60" s="1" t="s">
        <v>677</v>
      </c>
      <c r="D60" s="1" t="s">
        <v>66</v>
      </c>
      <c r="E60" s="5">
        <v>-0.009509319132750105</v>
      </c>
      <c r="F60" s="5">
        <v>-0.06009745533297239</v>
      </c>
      <c r="G60" s="4">
        <v>52.08</v>
      </c>
    </row>
    <row r="61" spans="1:7">
      <c r="A61" s="4">
        <v>60</v>
      </c>
      <c r="B61" s="1" t="s">
        <v>983</v>
      </c>
      <c r="C61" s="1" t="s">
        <v>984</v>
      </c>
      <c r="D61" s="1" t="s">
        <v>70</v>
      </c>
      <c r="E61" s="5">
        <v>0.001625453916652253</v>
      </c>
      <c r="F61" s="5">
        <v>-0.05982795000811558</v>
      </c>
      <c r="G61" s="4">
        <v>289.62</v>
      </c>
    </row>
    <row r="62" spans="1:7">
      <c r="A62" s="4">
        <v>61</v>
      </c>
      <c r="B62" s="1" t="s">
        <v>646</v>
      </c>
      <c r="C62" s="1" t="s">
        <v>647</v>
      </c>
      <c r="D62" s="1" t="s">
        <v>93</v>
      </c>
      <c r="E62" s="5">
        <v>-0.01914762198888209</v>
      </c>
      <c r="F62" s="5">
        <v>-0.0593810158448097</v>
      </c>
      <c r="G62" s="4">
        <v>63.52</v>
      </c>
    </row>
    <row r="63" spans="1:7">
      <c r="A63" s="4">
        <v>62</v>
      </c>
      <c r="B63" s="1" t="s">
        <v>616</v>
      </c>
      <c r="C63" s="1" t="s">
        <v>617</v>
      </c>
      <c r="D63" s="1" t="s">
        <v>70</v>
      </c>
      <c r="E63" s="5">
        <v>0.005213055303717073</v>
      </c>
      <c r="F63" s="5">
        <v>-0.05898578400169729</v>
      </c>
      <c r="G63" s="4">
        <v>133.05</v>
      </c>
    </row>
    <row r="64" spans="1:7">
      <c r="A64" s="4">
        <v>63</v>
      </c>
      <c r="B64" s="1" t="s">
        <v>680</v>
      </c>
      <c r="C64" s="1" t="s">
        <v>681</v>
      </c>
      <c r="D64" s="1" t="s">
        <v>70</v>
      </c>
      <c r="E64" s="5">
        <v>0.001485354405561079</v>
      </c>
      <c r="F64" s="5">
        <v>-0.05811354492624055</v>
      </c>
      <c r="G64" s="4">
        <v>168.56</v>
      </c>
    </row>
    <row r="65" spans="1:7">
      <c r="A65" s="4">
        <v>64</v>
      </c>
      <c r="B65" s="1" t="s">
        <v>728</v>
      </c>
      <c r="C65" s="1" t="s">
        <v>729</v>
      </c>
      <c r="D65" s="1" t="s">
        <v>47</v>
      </c>
      <c r="E65" s="5">
        <v>-0.009543461439257328</v>
      </c>
      <c r="F65" s="5">
        <v>-0.05789990186457306</v>
      </c>
      <c r="G65" s="4">
        <v>38.4</v>
      </c>
    </row>
    <row r="66" spans="1:7">
      <c r="A66" s="4">
        <v>65</v>
      </c>
      <c r="B66" s="1" t="s">
        <v>1051</v>
      </c>
      <c r="C66" s="1" t="s">
        <v>1052</v>
      </c>
      <c r="D66" s="1" t="s">
        <v>116</v>
      </c>
      <c r="E66" s="5">
        <v>-0.0008680555555555802</v>
      </c>
      <c r="F66" s="5">
        <v>-0.05771592304543594</v>
      </c>
      <c r="G66" s="4">
        <v>23.02</v>
      </c>
    </row>
    <row r="67" spans="1:7">
      <c r="A67" s="4">
        <v>66</v>
      </c>
      <c r="B67" s="1" t="s">
        <v>674</v>
      </c>
      <c r="C67" s="1" t="s">
        <v>675</v>
      </c>
      <c r="D67" s="1" t="s">
        <v>47</v>
      </c>
      <c r="E67" s="5">
        <v>0.002188183807439792</v>
      </c>
      <c r="F67" s="5">
        <v>-0.05761316872427991</v>
      </c>
      <c r="G67" s="4">
        <v>41.22</v>
      </c>
    </row>
    <row r="68" spans="1:7">
      <c r="A68" s="4">
        <v>67</v>
      </c>
      <c r="B68" s="1" t="s">
        <v>845</v>
      </c>
      <c r="C68" s="1" t="s">
        <v>846</v>
      </c>
      <c r="D68" s="1" t="s">
        <v>47</v>
      </c>
      <c r="E68" s="5">
        <v>0.02033701336432303</v>
      </c>
      <c r="F68" s="5">
        <v>-0.05740894817359565</v>
      </c>
      <c r="G68" s="4">
        <v>351.2</v>
      </c>
    </row>
    <row r="69" spans="1:7">
      <c r="A69" s="4">
        <v>68</v>
      </c>
      <c r="B69" s="1" t="s">
        <v>432</v>
      </c>
      <c r="C69" s="1" t="s">
        <v>433</v>
      </c>
      <c r="D69" s="1" t="s">
        <v>70</v>
      </c>
      <c r="E69" s="5">
        <v>0.01776869250727242</v>
      </c>
      <c r="F69" s="5">
        <v>-0.05731138945528691</v>
      </c>
      <c r="G69" s="4">
        <v>129.45</v>
      </c>
    </row>
    <row r="70" spans="1:7">
      <c r="A70" s="4">
        <v>69</v>
      </c>
      <c r="B70" s="1" t="s">
        <v>558</v>
      </c>
      <c r="C70" s="1" t="s">
        <v>559</v>
      </c>
      <c r="D70" s="1" t="s">
        <v>116</v>
      </c>
      <c r="E70" s="5">
        <v>-0.002108963093145788</v>
      </c>
      <c r="F70" s="5">
        <v>-0.05712387910993022</v>
      </c>
      <c r="G70" s="4">
        <v>28.39</v>
      </c>
    </row>
    <row r="71" spans="1:7">
      <c r="A71" s="4">
        <v>70</v>
      </c>
      <c r="B71" s="1" t="s">
        <v>436</v>
      </c>
      <c r="C71" s="1" t="s">
        <v>437</v>
      </c>
      <c r="D71" s="1" t="s">
        <v>70</v>
      </c>
      <c r="E71" s="5">
        <v>0.02320476638444657</v>
      </c>
      <c r="F71" s="5">
        <v>-0.05709214002642016</v>
      </c>
      <c r="G71" s="4">
        <v>228.41</v>
      </c>
    </row>
    <row r="72" spans="1:7">
      <c r="A72" s="4">
        <v>71</v>
      </c>
      <c r="B72" s="1" t="s">
        <v>698</v>
      </c>
      <c r="C72" s="1" t="s">
        <v>699</v>
      </c>
      <c r="D72" s="1" t="s">
        <v>41</v>
      </c>
      <c r="E72" s="5">
        <v>0.07048795671120045</v>
      </c>
      <c r="F72" s="5">
        <v>-0.05691022612217345</v>
      </c>
      <c r="G72" s="4">
        <v>223.55</v>
      </c>
    </row>
    <row r="73" spans="1:7">
      <c r="A73" s="4">
        <v>72</v>
      </c>
      <c r="B73" s="1" t="s">
        <v>917</v>
      </c>
      <c r="C73" s="1" t="s">
        <v>918</v>
      </c>
      <c r="D73" s="1" t="s">
        <v>66</v>
      </c>
      <c r="E73" s="5">
        <v>-0.001725412866650289</v>
      </c>
      <c r="F73" s="5">
        <v>-0.05682347461574289</v>
      </c>
      <c r="G73" s="4">
        <v>40.5</v>
      </c>
    </row>
    <row r="74" spans="1:7">
      <c r="A74" s="4">
        <v>73</v>
      </c>
      <c r="B74" s="1" t="s">
        <v>644</v>
      </c>
      <c r="C74" s="1" t="s">
        <v>645</v>
      </c>
      <c r="D74" s="1" t="s">
        <v>47</v>
      </c>
      <c r="E74" s="5">
        <v>-0.003145360593125202</v>
      </c>
      <c r="F74" s="5">
        <v>-0.05655964278120351</v>
      </c>
      <c r="G74" s="4">
        <v>44.37</v>
      </c>
    </row>
    <row r="75" spans="1:7">
      <c r="A75" s="4">
        <v>74</v>
      </c>
      <c r="B75" s="1" t="s">
        <v>506</v>
      </c>
      <c r="C75" s="1" t="s">
        <v>507</v>
      </c>
      <c r="D75" s="1" t="s">
        <v>37</v>
      </c>
      <c r="E75" s="5">
        <v>-0.01026392961876832</v>
      </c>
      <c r="F75" s="5">
        <v>-0.05636198420280059</v>
      </c>
      <c r="G75" s="4">
        <v>405</v>
      </c>
    </row>
    <row r="76" spans="1:7">
      <c r="A76" s="4">
        <v>75</v>
      </c>
      <c r="B76" s="1" t="s">
        <v>658</v>
      </c>
      <c r="C76" s="1" t="s">
        <v>659</v>
      </c>
      <c r="D76" s="1" t="s">
        <v>47</v>
      </c>
      <c r="E76" s="5">
        <v>-0.01517544197511844</v>
      </c>
      <c r="F76" s="5">
        <v>-0.05632035430891302</v>
      </c>
      <c r="G76" s="4">
        <v>255.69</v>
      </c>
    </row>
    <row r="77" spans="1:7">
      <c r="A77" s="4">
        <v>76</v>
      </c>
      <c r="B77" s="1" t="s">
        <v>759</v>
      </c>
      <c r="C77" s="1" t="s">
        <v>760</v>
      </c>
      <c r="D77" s="1" t="s">
        <v>138</v>
      </c>
      <c r="E77" s="5">
        <v>-0.02490263188953146</v>
      </c>
      <c r="F77" s="5">
        <v>-0.05620287868403018</v>
      </c>
      <c r="G77" s="4">
        <v>82.62</v>
      </c>
    </row>
    <row r="78" spans="1:7">
      <c r="A78" s="4">
        <v>77</v>
      </c>
      <c r="B78" s="1" t="s">
        <v>893</v>
      </c>
      <c r="C78" s="1" t="s">
        <v>894</v>
      </c>
      <c r="D78" s="1" t="s">
        <v>37</v>
      </c>
      <c r="E78" s="5">
        <v>-0.009875236961601197</v>
      </c>
      <c r="F78" s="5">
        <v>-0.05606691043584244</v>
      </c>
      <c r="G78" s="4">
        <v>224.59</v>
      </c>
    </row>
    <row r="79" spans="1:7">
      <c r="A79" s="4">
        <v>78</v>
      </c>
      <c r="B79" s="1" t="s">
        <v>654</v>
      </c>
      <c r="C79" s="1" t="s">
        <v>655</v>
      </c>
      <c r="D79" s="1" t="s">
        <v>47</v>
      </c>
      <c r="E79" s="5">
        <v>0.001309251048888571</v>
      </c>
      <c r="F79" s="5">
        <v>-0.05578158758663265</v>
      </c>
      <c r="G79" s="4">
        <v>336.51</v>
      </c>
    </row>
    <row r="80" spans="1:7">
      <c r="A80" s="4">
        <v>79</v>
      </c>
      <c r="B80" s="1" t="s">
        <v>941</v>
      </c>
      <c r="C80" s="1" t="s">
        <v>942</v>
      </c>
      <c r="D80" s="1" t="s">
        <v>129</v>
      </c>
      <c r="E80" s="5">
        <v>-0.01113233287858117</v>
      </c>
      <c r="F80" s="5">
        <v>-0.05531227192159305</v>
      </c>
      <c r="G80" s="4">
        <v>362.42</v>
      </c>
    </row>
    <row r="81" spans="1:7">
      <c r="A81" s="4">
        <v>80</v>
      </c>
      <c r="B81" s="1" t="s">
        <v>901</v>
      </c>
      <c r="C81" s="1" t="s">
        <v>902</v>
      </c>
      <c r="D81" s="1" t="s">
        <v>66</v>
      </c>
      <c r="E81" s="5">
        <v>-0.007049345417925457</v>
      </c>
      <c r="F81" s="5">
        <v>-0.05513784461152871</v>
      </c>
      <c r="G81" s="4">
        <v>128.18</v>
      </c>
    </row>
    <row r="82" spans="1:7">
      <c r="A82" s="4">
        <v>81</v>
      </c>
      <c r="B82" s="1" t="s">
        <v>422</v>
      </c>
      <c r="C82" s="1" t="s">
        <v>423</v>
      </c>
      <c r="D82" s="1" t="s">
        <v>129</v>
      </c>
      <c r="E82" s="5">
        <v>-0.0183305410466148</v>
      </c>
      <c r="F82" s="5">
        <v>-0.05457479119210329</v>
      </c>
      <c r="G82" s="4">
        <v>199.22</v>
      </c>
    </row>
    <row r="83" spans="1:7">
      <c r="A83" s="4">
        <v>82</v>
      </c>
      <c r="B83" s="1" t="s">
        <v>636</v>
      </c>
      <c r="C83" s="1" t="s">
        <v>637</v>
      </c>
      <c r="D83" s="1" t="s">
        <v>47</v>
      </c>
      <c r="E83" s="5">
        <v>0.01263001485884097</v>
      </c>
      <c r="F83" s="5">
        <v>-0.05386644453699851</v>
      </c>
      <c r="G83" s="4">
        <v>204.45</v>
      </c>
    </row>
    <row r="84" spans="1:7">
      <c r="A84" s="4">
        <v>83</v>
      </c>
      <c r="B84" s="1" t="s">
        <v>321</v>
      </c>
      <c r="C84" s="1" t="s">
        <v>322</v>
      </c>
      <c r="D84" s="1" t="s">
        <v>47</v>
      </c>
      <c r="E84" s="5">
        <v>-0.04626126126126129</v>
      </c>
      <c r="F84" s="5">
        <v>-0.05261980401807698</v>
      </c>
      <c r="G84" s="4">
        <v>211.73</v>
      </c>
    </row>
    <row r="85" spans="1:7">
      <c r="A85" s="4">
        <v>84</v>
      </c>
      <c r="B85" s="1" t="s">
        <v>461</v>
      </c>
      <c r="C85" s="1" t="s">
        <v>462</v>
      </c>
      <c r="D85" s="1" t="s">
        <v>70</v>
      </c>
      <c r="E85" s="5">
        <v>-0.01094319958311629</v>
      </c>
      <c r="F85" s="5">
        <v>-0.05226364846870835</v>
      </c>
      <c r="G85" s="4">
        <v>56.94</v>
      </c>
    </row>
    <row r="86" spans="1:7">
      <c r="A86" s="4">
        <v>85</v>
      </c>
      <c r="B86" s="1" t="s">
        <v>564</v>
      </c>
      <c r="C86" s="1" t="s">
        <v>565</v>
      </c>
      <c r="D86" s="1" t="s">
        <v>70</v>
      </c>
      <c r="E86" s="5">
        <v>0.01273209549071619</v>
      </c>
      <c r="F86" s="5">
        <v>-0.05154639175257736</v>
      </c>
      <c r="G86" s="4">
        <v>76.36</v>
      </c>
    </row>
    <row r="87" spans="1:7">
      <c r="A87" s="4">
        <v>86</v>
      </c>
      <c r="B87" s="1" t="s">
        <v>418</v>
      </c>
      <c r="C87" s="1" t="s">
        <v>419</v>
      </c>
      <c r="D87" s="1" t="s">
        <v>116</v>
      </c>
      <c r="E87" s="5">
        <v>-0.0122712441481061</v>
      </c>
      <c r="F87" s="5">
        <v>-0.05149512975955317</v>
      </c>
      <c r="G87" s="4">
        <v>139.25</v>
      </c>
    </row>
    <row r="88" spans="1:7">
      <c r="A88" s="4">
        <v>87</v>
      </c>
      <c r="B88" s="1" t="s">
        <v>390</v>
      </c>
      <c r="C88" s="1" t="s">
        <v>391</v>
      </c>
      <c r="D88" s="1" t="s">
        <v>129</v>
      </c>
      <c r="E88" s="5">
        <v>-0.005275417922718573</v>
      </c>
      <c r="F88" s="5">
        <v>-0.05135576608951331</v>
      </c>
      <c r="G88" s="4">
        <v>145.19</v>
      </c>
    </row>
    <row r="89" spans="1:7">
      <c r="A89" s="4">
        <v>88</v>
      </c>
      <c r="B89" s="1" t="s">
        <v>426</v>
      </c>
      <c r="C89" s="1" t="s">
        <v>427</v>
      </c>
      <c r="D89" s="1" t="s">
        <v>93</v>
      </c>
      <c r="E89" s="5">
        <v>0.002342888643880991</v>
      </c>
      <c r="F89" s="5">
        <v>-0.05126532741977552</v>
      </c>
      <c r="G89" s="4">
        <v>72.73</v>
      </c>
    </row>
    <row r="90" spans="1:7">
      <c r="A90" s="4">
        <v>89</v>
      </c>
      <c r="B90" s="1" t="s">
        <v>35</v>
      </c>
      <c r="C90" s="1" t="s">
        <v>36</v>
      </c>
      <c r="D90" s="1" t="s">
        <v>37</v>
      </c>
      <c r="E90" s="5">
        <v>0.005867448993199353</v>
      </c>
      <c r="F90" s="5">
        <v>-0.05119496855345906</v>
      </c>
      <c r="G90" s="4">
        <v>150.86</v>
      </c>
    </row>
    <row r="91" spans="1:7">
      <c r="A91" s="4">
        <v>90</v>
      </c>
      <c r="B91" s="1" t="s">
        <v>340</v>
      </c>
      <c r="C91" s="1" t="s">
        <v>341</v>
      </c>
      <c r="D91" s="1" t="s">
        <v>37</v>
      </c>
      <c r="E91" s="5">
        <v>-0.01596929346538412</v>
      </c>
      <c r="F91" s="5">
        <v>-0.05113091158327621</v>
      </c>
      <c r="G91" s="4">
        <v>207.66</v>
      </c>
    </row>
    <row r="92" spans="1:7">
      <c r="A92" s="4">
        <v>91</v>
      </c>
      <c r="B92" s="1" t="s">
        <v>194</v>
      </c>
      <c r="C92" s="1" t="s">
        <v>195</v>
      </c>
      <c r="D92" s="1" t="s">
        <v>70</v>
      </c>
      <c r="E92" s="5">
        <v>-0.03370409703202726</v>
      </c>
      <c r="F92" s="5">
        <v>-0.051048413656823</v>
      </c>
      <c r="G92" s="4">
        <v>172.88</v>
      </c>
    </row>
    <row r="93" spans="1:7">
      <c r="A93" s="4">
        <v>92</v>
      </c>
      <c r="B93" s="1" t="s">
        <v>200</v>
      </c>
      <c r="C93" s="1" t="s">
        <v>201</v>
      </c>
      <c r="D93" s="1" t="s">
        <v>37</v>
      </c>
      <c r="E93" s="5">
        <v>0.01810436634717782</v>
      </c>
      <c r="F93" s="5">
        <v>-0.05102243398848527</v>
      </c>
      <c r="G93" s="4">
        <v>47.8</v>
      </c>
    </row>
    <row r="94" spans="1:7">
      <c r="A94" s="4">
        <v>93</v>
      </c>
      <c r="B94" s="1" t="s">
        <v>202</v>
      </c>
      <c r="C94" s="1" t="s">
        <v>203</v>
      </c>
      <c r="D94" s="1" t="s">
        <v>54</v>
      </c>
      <c r="E94" s="5">
        <v>-0.01111272515979078</v>
      </c>
      <c r="F94" s="5">
        <v>-0.05042544287906259</v>
      </c>
      <c r="G94" s="4">
        <v>136.15</v>
      </c>
    </row>
    <row r="95" spans="1:7">
      <c r="A95" s="4">
        <v>94</v>
      </c>
      <c r="B95" s="1" t="s">
        <v>530</v>
      </c>
      <c r="C95" s="1" t="s">
        <v>531</v>
      </c>
      <c r="D95" s="1" t="s">
        <v>116</v>
      </c>
      <c r="E95" s="5">
        <v>0.002728512960436635</v>
      </c>
      <c r="F95" s="5">
        <v>-0.04997845756139596</v>
      </c>
      <c r="G95" s="4">
        <v>22.05</v>
      </c>
    </row>
    <row r="96" spans="1:7">
      <c r="A96" s="4">
        <v>95</v>
      </c>
      <c r="B96" s="1" t="s">
        <v>927</v>
      </c>
      <c r="C96" s="1" t="s">
        <v>928</v>
      </c>
      <c r="D96" s="1" t="s">
        <v>41</v>
      </c>
      <c r="E96" s="5">
        <v>0.05446114770075905</v>
      </c>
      <c r="F96" s="5">
        <v>-0.04979507105977543</v>
      </c>
      <c r="G96" s="4">
        <v>357.03</v>
      </c>
    </row>
    <row r="97" spans="1:7">
      <c r="A97" s="4">
        <v>96</v>
      </c>
      <c r="B97" s="1" t="s">
        <v>1021</v>
      </c>
      <c r="C97" s="1" t="s">
        <v>1022</v>
      </c>
      <c r="D97" s="1" t="s">
        <v>70</v>
      </c>
      <c r="E97" s="5">
        <v>0.007228572445963755</v>
      </c>
      <c r="F97" s="5">
        <v>-0.04943374668145306</v>
      </c>
      <c r="G97" s="4">
        <v>282.86</v>
      </c>
    </row>
    <row r="98" spans="1:7">
      <c r="A98" s="4">
        <v>97</v>
      </c>
      <c r="B98" s="1" t="s">
        <v>666</v>
      </c>
      <c r="C98" s="1" t="s">
        <v>667</v>
      </c>
      <c r="D98" s="1" t="s">
        <v>66</v>
      </c>
      <c r="E98" s="5">
        <v>-0.002766476810414975</v>
      </c>
      <c r="F98" s="5">
        <v>-0.04918541505042673</v>
      </c>
      <c r="G98" s="4">
        <v>61.28</v>
      </c>
    </row>
    <row r="99" spans="1:7">
      <c r="A99" s="4">
        <v>98</v>
      </c>
      <c r="B99" s="1" t="s">
        <v>323</v>
      </c>
      <c r="C99" s="1" t="s">
        <v>324</v>
      </c>
      <c r="D99" s="1" t="s">
        <v>70</v>
      </c>
      <c r="E99" s="5">
        <v>0.003507969190879257</v>
      </c>
      <c r="F99" s="5">
        <v>-0.04872406564013598</v>
      </c>
      <c r="G99" s="4">
        <v>131.59</v>
      </c>
    </row>
    <row r="100" spans="1:7">
      <c r="A100" s="4">
        <v>99</v>
      </c>
      <c r="B100" s="1" t="s">
        <v>1001</v>
      </c>
      <c r="C100" s="1" t="s">
        <v>1002</v>
      </c>
      <c r="D100" s="1" t="s">
        <v>93</v>
      </c>
      <c r="E100" s="5">
        <v>0.009222610767398054</v>
      </c>
      <c r="F100" s="5">
        <v>-0.04857991595420963</v>
      </c>
      <c r="G100" s="4">
        <v>262.63</v>
      </c>
    </row>
    <row r="101" spans="1:7">
      <c r="A101" s="4">
        <v>100</v>
      </c>
      <c r="B101" s="1" t="s">
        <v>570</v>
      </c>
      <c r="C101" s="1" t="s">
        <v>571</v>
      </c>
      <c r="D101" s="1" t="s">
        <v>41</v>
      </c>
      <c r="E101" s="5">
        <v>-0.0462498720965927</v>
      </c>
      <c r="F101" s="5">
        <v>-0.04839203675344572</v>
      </c>
      <c r="G101" s="4">
        <v>186.42</v>
      </c>
    </row>
  </sheetData>
  <autoFilter ref="A1:G101"/>
  <conditionalFormatting sqref="E2:E101">
    <cfRule type="colorScale" priority="1">
      <colorScale>
        <cfvo type="min" val="0"/>
        <cfvo type="num" val="0"/>
        <cfvo type="max" val="0"/>
        <color rgb="FFF6C7CE"/>
        <color rgb="FFFFFFFF"/>
        <color rgb="FFB9E5D1"/>
      </colorScale>
    </cfRule>
  </conditionalFormatting>
  <conditionalFormatting sqref="F2:F101">
    <cfRule type="colorScale" priority="2">
      <colorScale>
        <cfvo type="min" val="0"/>
        <cfvo type="num" val="0"/>
        <cfvo type="max" val="0"/>
        <color rgb="FFF6C7CE"/>
        <color rgb="FFFFFFFF"/>
        <color rgb="FFB9E5D1"/>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2"/>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30.7109375" style="1" customWidth="1"/>
    <col min="2" max="6" width="15.7109375" style="1" customWidth="1"/>
  </cols>
  <sheetData>
    <row r="1" spans="1:6" ht="30" customHeight="1">
      <c r="A1" s="3" t="s">
        <v>26</v>
      </c>
      <c r="B1" s="3" t="s">
        <v>1075</v>
      </c>
      <c r="C1" s="3" t="s">
        <v>1076</v>
      </c>
      <c r="D1" s="3" t="s">
        <v>1077</v>
      </c>
      <c r="E1" s="3" t="s">
        <v>1078</v>
      </c>
      <c r="F1" s="3" t="s">
        <v>1079</v>
      </c>
    </row>
    <row r="2" spans="1:6">
      <c r="A2" s="1" t="s">
        <v>138</v>
      </c>
      <c r="B2" s="4">
        <v>24</v>
      </c>
      <c r="C2" s="4">
        <v>2</v>
      </c>
      <c r="D2" s="4">
        <v>13</v>
      </c>
      <c r="E2" s="5">
        <v>-0.01012054709239611</v>
      </c>
      <c r="F2" s="5">
        <v>0.2083333333333333</v>
      </c>
    </row>
    <row r="3" spans="1:6">
      <c r="A3" s="1" t="s">
        <v>47</v>
      </c>
      <c r="B3" s="4">
        <v>47</v>
      </c>
      <c r="C3" s="4">
        <v>11</v>
      </c>
      <c r="D3" s="4">
        <v>8</v>
      </c>
      <c r="E3" s="5">
        <v>-0.01496262340890068</v>
      </c>
      <c r="F3" s="5">
        <v>0.4042553191489361</v>
      </c>
    </row>
    <row r="4" spans="1:6">
      <c r="A4" s="1" t="s">
        <v>66</v>
      </c>
      <c r="B4" s="4">
        <v>34</v>
      </c>
      <c r="C4" s="4">
        <v>2</v>
      </c>
      <c r="D4" s="4">
        <v>7</v>
      </c>
      <c r="E4" s="5">
        <v>-0.009730306303148563</v>
      </c>
      <c r="F4" s="5">
        <v>0.1764705882352941</v>
      </c>
    </row>
    <row r="5" spans="1:6">
      <c r="A5" s="1" t="s">
        <v>129</v>
      </c>
      <c r="B5" s="4">
        <v>21</v>
      </c>
      <c r="C5" s="4">
        <v>0</v>
      </c>
      <c r="D5" s="4">
        <v>3</v>
      </c>
      <c r="E5" s="5">
        <v>-0.009895331718545893</v>
      </c>
      <c r="F5" s="5">
        <v>0.2380952380952381</v>
      </c>
    </row>
    <row r="6" spans="1:6">
      <c r="A6" s="1" t="s">
        <v>54</v>
      </c>
      <c r="B6" s="4">
        <v>76</v>
      </c>
      <c r="C6" s="4">
        <v>3</v>
      </c>
      <c r="D6" s="4">
        <v>15</v>
      </c>
      <c r="E6" s="5">
        <v>-0.007561482674196915</v>
      </c>
      <c r="F6" s="5">
        <v>0.1710526315789474</v>
      </c>
    </row>
    <row r="7" spans="1:6">
      <c r="A7" s="1" t="s">
        <v>37</v>
      </c>
      <c r="B7" s="4">
        <v>59</v>
      </c>
      <c r="C7" s="4">
        <v>5</v>
      </c>
      <c r="D7" s="4">
        <v>11</v>
      </c>
      <c r="E7" s="5">
        <v>-0.01040157309226261</v>
      </c>
      <c r="F7" s="5">
        <v>0.1355932203389831</v>
      </c>
    </row>
    <row r="8" spans="1:6">
      <c r="A8" s="1" t="s">
        <v>70</v>
      </c>
      <c r="B8" s="4">
        <v>83</v>
      </c>
      <c r="C8" s="4">
        <v>31</v>
      </c>
      <c r="D8" s="4">
        <v>11</v>
      </c>
      <c r="E8" s="5">
        <v>0.003857766077162341</v>
      </c>
      <c r="F8" s="5">
        <v>0.6385542168674698</v>
      </c>
    </row>
    <row r="9" spans="1:6">
      <c r="A9" s="1" t="s">
        <v>41</v>
      </c>
      <c r="B9" s="4">
        <v>73</v>
      </c>
      <c r="C9" s="4">
        <v>32</v>
      </c>
      <c r="D9" s="4">
        <v>21</v>
      </c>
      <c r="E9" s="5">
        <v>0.002667860502920999</v>
      </c>
      <c r="F9" s="5">
        <v>0.5616438356164384</v>
      </c>
    </row>
    <row r="10" spans="1:6">
      <c r="A10" s="1" t="s">
        <v>93</v>
      </c>
      <c r="B10" s="4">
        <v>25</v>
      </c>
      <c r="C10" s="4">
        <v>9</v>
      </c>
      <c r="D10" s="4">
        <v>5</v>
      </c>
      <c r="E10" s="5">
        <v>-0.004090042787664097</v>
      </c>
      <c r="F10" s="5">
        <v>0.48</v>
      </c>
    </row>
    <row r="11" spans="1:6">
      <c r="A11" s="1" t="s">
        <v>116</v>
      </c>
      <c r="B11" s="4">
        <v>30</v>
      </c>
      <c r="C11" s="4">
        <v>1</v>
      </c>
      <c r="D11" s="4">
        <v>5</v>
      </c>
      <c r="E11" s="5">
        <v>-0.008438277665266969</v>
      </c>
      <c r="F11" s="5">
        <v>0.2</v>
      </c>
    </row>
    <row r="12" spans="1:6">
      <c r="A12" s="1" t="s">
        <v>76</v>
      </c>
      <c r="B12" s="4">
        <v>31</v>
      </c>
      <c r="C12" s="4">
        <v>4</v>
      </c>
      <c r="D12" s="4">
        <v>1</v>
      </c>
      <c r="E12" s="5">
        <v>0.0008064930059169613</v>
      </c>
      <c r="F12" s="5">
        <v>0.2258064516129032</v>
      </c>
    </row>
  </sheetData>
  <autoFilter ref="A1:F12"/>
  <conditionalFormatting sqref="E2:E12">
    <cfRule type="colorScale" priority="1">
      <colorScale>
        <cfvo type="min" val="0"/>
        <cfvo type="num" val="0"/>
        <cfvo type="max" val="0"/>
        <color rgb="FFF6C7CE"/>
        <color rgb="FFFFFFFF"/>
        <color rgb="FFB9E5D1"/>
      </colorScale>
    </cfRule>
  </conditionalFormatting>
  <conditionalFormatting sqref="F2:F12">
    <cfRule type="colorScale" priority="2">
      <colorScale>
        <cfvo type="min" val="0"/>
        <cfvo type="num" val="0"/>
        <cfvo type="max" val="0"/>
        <color rgb="FFF6C7CE"/>
        <color rgb="FFFFFFFF"/>
        <color rgb="FFB9E5D1"/>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301"/>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2.7109375" style="1" customWidth="1"/>
    <col min="2" max="2" width="40.7109375" style="1" customWidth="1"/>
    <col min="3" max="3" width="25.7109375" style="1" customWidth="1"/>
    <col min="4" max="4" width="38.7109375" style="1" customWidth="1"/>
    <col min="5" max="10" width="15.7109375" style="1" customWidth="1"/>
    <col min="11" max="11" width="25.7109375" style="1" customWidth="1"/>
  </cols>
  <sheetData>
    <row r="1" spans="1:11" ht="30" customHeight="1">
      <c r="A1" s="3" t="s">
        <v>24</v>
      </c>
      <c r="B1" s="3" t="s">
        <v>25</v>
      </c>
      <c r="C1" s="3" t="s">
        <v>26</v>
      </c>
      <c r="D1" s="3" t="s">
        <v>27</v>
      </c>
      <c r="E1" s="3" t="s">
        <v>28</v>
      </c>
      <c r="F1" s="3" t="s">
        <v>29</v>
      </c>
      <c r="G1" s="3" t="s">
        <v>30</v>
      </c>
      <c r="H1" s="3" t="s">
        <v>31</v>
      </c>
      <c r="I1" s="3" t="s">
        <v>32</v>
      </c>
      <c r="J1" s="3" t="s">
        <v>33</v>
      </c>
      <c r="K1" s="3" t="s">
        <v>34</v>
      </c>
    </row>
    <row r="2" spans="1:11">
      <c r="A2" s="1" t="s">
        <v>1080</v>
      </c>
      <c r="B2" s="1" t="s">
        <v>1081</v>
      </c>
      <c r="C2" s="1" t="s">
        <v>54</v>
      </c>
      <c r="D2" s="1" t="s">
        <v>165</v>
      </c>
      <c r="E2" s="4">
        <v>11.41</v>
      </c>
      <c r="F2" s="4">
        <v>11.88</v>
      </c>
      <c r="G2" s="4">
        <v>11.89</v>
      </c>
      <c r="H2" s="5">
        <f>G2/F2-1</f>
        <v>0.0008417508417508657</v>
      </c>
      <c r="I2" s="5">
        <f>G2/E2-1</f>
        <v>0.04206836108676604</v>
      </c>
      <c r="J2" s="5">
        <v>-0.01193520886615518</v>
      </c>
      <c r="K2" s="4">
        <v>230736367374.22</v>
      </c>
    </row>
    <row r="3" spans="1:11">
      <c r="A3" s="1" t="s">
        <v>1082</v>
      </c>
      <c r="B3" s="1" t="s">
        <v>1083</v>
      </c>
      <c r="C3" s="1" t="s">
        <v>116</v>
      </c>
      <c r="D3" s="1" t="s">
        <v>223</v>
      </c>
      <c r="E3" s="4">
        <v>3.08</v>
      </c>
      <c r="F3" s="4">
        <v>3.14</v>
      </c>
      <c r="G3" s="4">
        <v>3.24</v>
      </c>
      <c r="H3" s="5">
        <f>G3/F3-1</f>
        <v>0.031847133757961776</v>
      </c>
      <c r="I3" s="5">
        <f>G3/E3-1</f>
        <v>0.051948051948051965</v>
      </c>
      <c r="J3" s="5">
        <v>-0.02531648217017624</v>
      </c>
      <c r="K3" s="4">
        <v>36226377574.34166</v>
      </c>
    </row>
    <row r="4" spans="1:11">
      <c r="A4" s="1" t="s">
        <v>1084</v>
      </c>
      <c r="B4" s="1" t="s">
        <v>1085</v>
      </c>
      <c r="C4" s="1" t="s">
        <v>41</v>
      </c>
      <c r="D4" s="1" t="s">
        <v>42</v>
      </c>
      <c r="E4" s="4">
        <v>33.78</v>
      </c>
      <c r="F4" s="4">
        <v>33.3</v>
      </c>
      <c r="G4" s="4">
        <v>33.07</v>
      </c>
      <c r="H4" s="5">
        <f>G4/F4-1</f>
        <v>-0.006906906906906762</v>
      </c>
      <c r="I4" s="5">
        <f>G4/E4-1</f>
        <v>-0.02101835405565422</v>
      </c>
      <c r="J4" s="5">
        <v>-0.03529751523875935</v>
      </c>
      <c r="K4" s="4">
        <v>148333776399.0296</v>
      </c>
    </row>
    <row r="5" spans="1:11">
      <c r="A5" s="1" t="s">
        <v>1086</v>
      </c>
      <c r="B5" s="1" t="s">
        <v>1087</v>
      </c>
      <c r="C5" s="1" t="s">
        <v>41</v>
      </c>
      <c r="D5" s="1" t="s">
        <v>42</v>
      </c>
      <c r="E5" s="4">
        <v>5.03</v>
      </c>
      <c r="F5" s="4">
        <v>4.88</v>
      </c>
      <c r="G5" s="4">
        <v>4.8</v>
      </c>
      <c r="H5" s="5">
        <f>G5/F5-1</f>
        <v>-0.016393442622950838</v>
      </c>
      <c r="I5" s="5">
        <f>G5/E5-1</f>
        <v>-0.045725646123260466</v>
      </c>
      <c r="J5" s="5">
        <v>-0.05697445972495085</v>
      </c>
      <c r="K5" s="4">
        <v>105342797524.8</v>
      </c>
    </row>
    <row r="6" spans="1:11">
      <c r="A6" s="1" t="s">
        <v>1088</v>
      </c>
      <c r="B6" s="1" t="s">
        <v>1089</v>
      </c>
      <c r="C6" s="1" t="s">
        <v>70</v>
      </c>
      <c r="D6" s="1" t="s">
        <v>100</v>
      </c>
      <c r="E6" s="4">
        <v>6.96</v>
      </c>
      <c r="F6" s="4">
        <v>6.59</v>
      </c>
      <c r="G6" s="4">
        <v>6.62</v>
      </c>
      <c r="H6" s="5">
        <f>G6/F6-1</f>
        <v>0.004552352048558417</v>
      </c>
      <c r="I6" s="5">
        <f>G6/E6-1</f>
        <v>-0.048850574712643646</v>
      </c>
      <c r="J6" s="5">
        <v>-0.07052186177715092</v>
      </c>
      <c r="K6" s="4">
        <v>54972645498.97908</v>
      </c>
    </row>
    <row r="7" spans="1:11">
      <c r="A7" s="1" t="s">
        <v>1090</v>
      </c>
      <c r="B7" s="1" t="s">
        <v>1091</v>
      </c>
      <c r="C7" s="1" t="s">
        <v>54</v>
      </c>
      <c r="D7" s="1" t="s">
        <v>113</v>
      </c>
      <c r="E7" s="4">
        <v>4.41</v>
      </c>
      <c r="F7" s="4">
        <v>4.54</v>
      </c>
      <c r="G7" s="4">
        <v>4.59</v>
      </c>
      <c r="H7" s="5">
        <f>G7/F7-1</f>
        <v>0.011013215859030812</v>
      </c>
      <c r="I7" s="5">
        <f>G7/E7-1</f>
        <v>0.04081632653061207</v>
      </c>
      <c r="J7" s="5">
        <v>-0.01310043668122285</v>
      </c>
      <c r="K7" s="4">
        <v>109053429105.4086</v>
      </c>
    </row>
    <row r="8" spans="1:11">
      <c r="A8" s="1" t="s">
        <v>1092</v>
      </c>
      <c r="B8" s="1" t="s">
        <v>1093</v>
      </c>
      <c r="C8" s="1" t="s">
        <v>93</v>
      </c>
      <c r="D8" s="1" t="s">
        <v>93</v>
      </c>
      <c r="E8" s="4">
        <v>13.66</v>
      </c>
      <c r="F8" s="4">
        <v>14.73</v>
      </c>
      <c r="G8" s="4">
        <v>14.62</v>
      </c>
      <c r="H8" s="5">
        <f>G8/F8-1</f>
        <v>-0.007467752885268242</v>
      </c>
      <c r="I8" s="5">
        <f>G8/E8-1</f>
        <v>0.07027818448023426</v>
      </c>
      <c r="J8" s="5">
        <v>-0.05410958904109586</v>
      </c>
      <c r="K8" s="4">
        <v>96656217614.89999</v>
      </c>
    </row>
    <row r="9" spans="1:11">
      <c r="A9" s="1" t="s">
        <v>1094</v>
      </c>
      <c r="B9" s="1" t="s">
        <v>1095</v>
      </c>
      <c r="C9" s="1" t="s">
        <v>47</v>
      </c>
      <c r="D9" s="1" t="s">
        <v>331</v>
      </c>
      <c r="E9" s="4">
        <v>84.3</v>
      </c>
      <c r="F9" s="4">
        <v>87.25</v>
      </c>
      <c r="G9" s="4">
        <v>87.56999999999999</v>
      </c>
      <c r="H9" s="5">
        <f>G9/F9-1</f>
        <v>0.0036676217765041486</v>
      </c>
      <c r="I9" s="5">
        <f>G9/E9-1</f>
        <v>0.03879003558718863</v>
      </c>
      <c r="J9" s="5">
        <v>-0.008548957027242676</v>
      </c>
      <c r="K9" s="4">
        <v>665849101285.337</v>
      </c>
    </row>
    <row r="10" spans="1:11">
      <c r="A10" s="1" t="s">
        <v>1096</v>
      </c>
      <c r="B10" s="1" t="s">
        <v>1097</v>
      </c>
      <c r="C10" s="1" t="s">
        <v>70</v>
      </c>
      <c r="D10" s="1" t="s">
        <v>100</v>
      </c>
      <c r="E10" s="4">
        <v>29.16</v>
      </c>
      <c r="F10" s="4">
        <v>26.18</v>
      </c>
      <c r="G10" s="4">
        <v>26.85</v>
      </c>
      <c r="H10" s="5">
        <f>G10/F10-1</f>
        <v>0.02559205500381978</v>
      </c>
      <c r="I10" s="5">
        <f>G10/E10-1</f>
        <v>-0.07921810699588472</v>
      </c>
      <c r="J10" s="5">
        <v>-0.112482853223594</v>
      </c>
      <c r="K10" s="4">
        <v>233253751617.011</v>
      </c>
    </row>
    <row r="11" spans="1:11">
      <c r="A11" s="1" t="s">
        <v>1098</v>
      </c>
      <c r="B11" s="1" t="s">
        <v>1099</v>
      </c>
      <c r="C11" s="1" t="s">
        <v>93</v>
      </c>
      <c r="D11" s="1" t="s">
        <v>93</v>
      </c>
      <c r="E11" s="4">
        <v>78.19</v>
      </c>
      <c r="F11" s="4">
        <v>76.86</v>
      </c>
      <c r="G11" s="4">
        <v>75.62</v>
      </c>
      <c r="H11" s="5">
        <f>G11/F11-1</f>
        <v>-0.016133229247983327</v>
      </c>
      <c r="I11" s="5">
        <f>G11/E11-1</f>
        <v>-0.03286865328047062</v>
      </c>
      <c r="J11" s="5">
        <v>-0.0462857863538908</v>
      </c>
      <c r="K11" s="4">
        <v>118641333697.48</v>
      </c>
    </row>
    <row r="12" spans="1:11">
      <c r="A12" s="1" t="s">
        <v>1100</v>
      </c>
      <c r="B12" s="1" t="s">
        <v>1101</v>
      </c>
      <c r="C12" s="1" t="s">
        <v>70</v>
      </c>
      <c r="D12" s="1" t="s">
        <v>100</v>
      </c>
      <c r="E12" s="4">
        <v>8.01</v>
      </c>
      <c r="F12" s="4">
        <v>7.93</v>
      </c>
      <c r="G12" s="4">
        <v>8.140000000000001</v>
      </c>
      <c r="H12" s="5">
        <f>G12/F12-1</f>
        <v>0.02648171500630525</v>
      </c>
      <c r="I12" s="5">
        <f>G12/E12-1</f>
        <v>0.01622971285892638</v>
      </c>
      <c r="J12" s="5">
        <v>-0.037621332491384</v>
      </c>
      <c r="K12" s="4">
        <v>95329253054.86</v>
      </c>
    </row>
    <row r="13" spans="1:11">
      <c r="A13" s="1" t="s">
        <v>1102</v>
      </c>
      <c r="B13" s="1" t="s">
        <v>1103</v>
      </c>
      <c r="C13" s="1" t="s">
        <v>37</v>
      </c>
      <c r="D13" s="1" t="s">
        <v>38</v>
      </c>
      <c r="E13" s="4">
        <v>49.33</v>
      </c>
      <c r="F13" s="4">
        <v>50.77</v>
      </c>
      <c r="G13" s="4">
        <v>51.02</v>
      </c>
      <c r="H13" s="5">
        <f>G13/F13-1</f>
        <v>0.004924167815639091</v>
      </c>
      <c r="I13" s="5">
        <f>G13/E13-1</f>
        <v>0.0342590715588893</v>
      </c>
      <c r="J13" s="5">
        <v>-0.005174129353233803</v>
      </c>
      <c r="K13" s="4">
        <v>91033078005.06</v>
      </c>
    </row>
    <row r="14" spans="1:11">
      <c r="A14" s="1" t="s">
        <v>1104</v>
      </c>
      <c r="B14" s="1" t="s">
        <v>1105</v>
      </c>
      <c r="C14" s="1" t="s">
        <v>66</v>
      </c>
      <c r="D14" s="1" t="s">
        <v>67</v>
      </c>
      <c r="E14" s="4">
        <v>85.2</v>
      </c>
      <c r="F14" s="4">
        <v>76</v>
      </c>
      <c r="G14" s="4">
        <v>79.92</v>
      </c>
      <c r="H14" s="5">
        <f>G14/F14-1</f>
        <v>0.05157894736842117</v>
      </c>
      <c r="I14" s="5">
        <f>G14/E14-1</f>
        <v>-0.06197183098591552</v>
      </c>
      <c r="J14" s="5">
        <v>-0.1112150625657818</v>
      </c>
      <c r="K14" s="4">
        <v>117634364922.96</v>
      </c>
    </row>
    <row r="15" spans="1:11">
      <c r="A15" s="1" t="s">
        <v>1106</v>
      </c>
      <c r="B15" s="1" t="s">
        <v>1107</v>
      </c>
      <c r="C15" s="1" t="s">
        <v>66</v>
      </c>
      <c r="D15" s="1" t="s">
        <v>67</v>
      </c>
      <c r="E15" s="4">
        <v>90.65000000000001</v>
      </c>
      <c r="F15" s="4">
        <v>96.76000000000001</v>
      </c>
      <c r="G15" s="4">
        <v>101.17</v>
      </c>
      <c r="H15" s="5">
        <f>G15/F15-1</f>
        <v>0.04557668458040509</v>
      </c>
      <c r="I15" s="5">
        <f>G15/E15-1</f>
        <v>0.11605074462217324</v>
      </c>
      <c r="J15" s="5">
        <v>-0.04084057658197848</v>
      </c>
      <c r="K15" s="4">
        <v>47326209744.57666</v>
      </c>
    </row>
    <row r="16" spans="1:11">
      <c r="A16" s="1" t="s">
        <v>1108</v>
      </c>
      <c r="B16" s="1" t="s">
        <v>1109</v>
      </c>
      <c r="C16" s="1" t="s">
        <v>54</v>
      </c>
      <c r="D16" s="1" t="s">
        <v>165</v>
      </c>
      <c r="E16" s="4">
        <v>6.98</v>
      </c>
      <c r="F16" s="4">
        <v>7.19</v>
      </c>
      <c r="G16" s="4">
        <v>7.34</v>
      </c>
      <c r="H16" s="5">
        <f>G16/F16-1</f>
        <v>0.020862308762169546</v>
      </c>
      <c r="I16" s="5">
        <f>G16/E16-1</f>
        <v>0.05157593123209159</v>
      </c>
      <c r="J16" s="5">
        <v>-0.04005340453938577</v>
      </c>
      <c r="K16" s="4">
        <v>92792860439.85999</v>
      </c>
    </row>
    <row r="17" spans="1:11">
      <c r="A17" s="1" t="s">
        <v>1110</v>
      </c>
      <c r="B17" s="1" t="s">
        <v>1111</v>
      </c>
      <c r="C17" s="1" t="s">
        <v>47</v>
      </c>
      <c r="D17" s="1" t="s">
        <v>142</v>
      </c>
      <c r="E17" s="4">
        <v>7.07</v>
      </c>
      <c r="F17" s="4">
        <v>7.06</v>
      </c>
      <c r="G17" s="4">
        <v>7.12</v>
      </c>
      <c r="H17" s="5">
        <f>G17/F17-1</f>
        <v>0.008498583569405138</v>
      </c>
      <c r="I17" s="5">
        <f>G17/E17-1</f>
        <v>0.007072135785006983</v>
      </c>
      <c r="J17" s="5">
        <v>-0.01120448179271705</v>
      </c>
      <c r="K17" s="4">
        <v>63583087530.79656</v>
      </c>
    </row>
    <row r="18" spans="1:11">
      <c r="A18" s="1" t="s">
        <v>1112</v>
      </c>
      <c r="B18" s="1" t="s">
        <v>1113</v>
      </c>
      <c r="C18" s="1" t="s">
        <v>93</v>
      </c>
      <c r="D18" s="1" t="s">
        <v>93</v>
      </c>
      <c r="E18" s="4">
        <v>6.59</v>
      </c>
      <c r="F18" s="4">
        <v>6.48</v>
      </c>
      <c r="G18" s="4">
        <v>6.39</v>
      </c>
      <c r="H18" s="5">
        <f>G18/F18-1</f>
        <v>-0.01388888888888895</v>
      </c>
      <c r="I18" s="5">
        <f>G18/E18-1</f>
        <v>-0.030349013657056223</v>
      </c>
      <c r="J18" s="5">
        <v>-0.05473372781065089</v>
      </c>
      <c r="K18" s="4">
        <v>85686522948.89999</v>
      </c>
    </row>
    <row r="19" spans="1:11">
      <c r="A19" s="1" t="s">
        <v>1114</v>
      </c>
      <c r="B19" s="1" t="s">
        <v>1115</v>
      </c>
      <c r="C19" s="1" t="s">
        <v>47</v>
      </c>
      <c r="D19" s="1" t="s">
        <v>331</v>
      </c>
      <c r="E19" s="4">
        <v>41.24</v>
      </c>
      <c r="F19" s="4">
        <v>38.74</v>
      </c>
      <c r="G19" s="4">
        <v>38.98</v>
      </c>
      <c r="H19" s="5">
        <f>G19/F19-1</f>
        <v>0.006195147134744339</v>
      </c>
      <c r="I19" s="5">
        <f>G19/E19-1</f>
        <v>-0.05480116391852585</v>
      </c>
      <c r="J19" s="5">
        <v>-0.07544449783757812</v>
      </c>
      <c r="K19" s="4">
        <v>218342795784.18</v>
      </c>
    </row>
    <row r="20" spans="1:11">
      <c r="A20" s="1" t="s">
        <v>1116</v>
      </c>
      <c r="B20" s="1" t="s">
        <v>1117</v>
      </c>
      <c r="C20" s="1" t="s">
        <v>93</v>
      </c>
      <c r="D20" s="1" t="s">
        <v>93</v>
      </c>
      <c r="E20" s="4">
        <v>68.14</v>
      </c>
      <c r="F20" s="4">
        <v>60.02</v>
      </c>
      <c r="G20" s="4">
        <v>57.64</v>
      </c>
      <c r="H20" s="5">
        <f>G20/F20-1</f>
        <v>-0.039653448850383244</v>
      </c>
      <c r="I20" s="5">
        <f>G20/E20-1</f>
        <v>-0.1540945113002642</v>
      </c>
      <c r="J20" s="5">
        <v>-0.1540945113002642</v>
      </c>
      <c r="K20" s="4">
        <v>131338757616</v>
      </c>
    </row>
    <row r="21" spans="1:11">
      <c r="A21" s="1" t="s">
        <v>1118</v>
      </c>
      <c r="B21" s="1" t="s">
        <v>1119</v>
      </c>
      <c r="C21" s="1" t="s">
        <v>93</v>
      </c>
      <c r="D21" s="1" t="s">
        <v>93</v>
      </c>
      <c r="E21" s="4">
        <v>13.64</v>
      </c>
      <c r="F21" s="4">
        <v>13.46</v>
      </c>
      <c r="G21" s="4">
        <v>13.59</v>
      </c>
      <c r="H21" s="5">
        <f>G21/F21-1</f>
        <v>0.009658246656760738</v>
      </c>
      <c r="I21" s="5">
        <f>G21/E21-1</f>
        <v>-0.003665689149560114</v>
      </c>
      <c r="J21" s="5">
        <v>-0.04267425320056895</v>
      </c>
      <c r="K21" s="4">
        <v>68590885754.52</v>
      </c>
    </row>
    <row r="22" spans="1:11">
      <c r="A22" s="1" t="s">
        <v>1120</v>
      </c>
      <c r="B22" s="1" t="s">
        <v>1121</v>
      </c>
      <c r="C22" s="1" t="s">
        <v>41</v>
      </c>
      <c r="D22" s="1" t="s">
        <v>42</v>
      </c>
      <c r="E22" s="4">
        <v>6</v>
      </c>
      <c r="F22" s="4">
        <v>5.71</v>
      </c>
      <c r="G22" s="4">
        <v>5.61</v>
      </c>
      <c r="H22" s="5">
        <f>G22/F22-1</f>
        <v>-0.017513134851138257</v>
      </c>
      <c r="I22" s="5">
        <f>G22/E22-1</f>
        <v>-0.06499999999999995</v>
      </c>
      <c r="J22" s="5">
        <v>-0.06655574043261225</v>
      </c>
      <c r="K22" s="4">
        <v>206747699806.5793</v>
      </c>
    </row>
    <row r="23" spans="1:11">
      <c r="A23" s="1" t="s">
        <v>1122</v>
      </c>
      <c r="B23" s="1" t="s">
        <v>1123</v>
      </c>
      <c r="C23" s="1" t="s">
        <v>70</v>
      </c>
      <c r="D23" s="1" t="s">
        <v>100</v>
      </c>
      <c r="E23" s="4">
        <v>20.96</v>
      </c>
      <c r="F23" s="4">
        <v>23.04</v>
      </c>
      <c r="G23" s="4">
        <v>23.7</v>
      </c>
      <c r="H23" s="5">
        <f>G23/F23-1</f>
        <v>0.02864583333333326</v>
      </c>
      <c r="I23" s="5">
        <f>G23/E23-1</f>
        <v>0.13072519083969447</v>
      </c>
      <c r="J23" s="5">
        <v>-0.04213483146067409</v>
      </c>
      <c r="K23" s="4">
        <v>65900460199.5</v>
      </c>
    </row>
    <row r="24" spans="1:11">
      <c r="A24" s="1" t="s">
        <v>1124</v>
      </c>
      <c r="B24" s="1" t="s">
        <v>1125</v>
      </c>
      <c r="C24" s="1" t="s">
        <v>54</v>
      </c>
      <c r="D24" s="1" t="s">
        <v>113</v>
      </c>
      <c r="E24" s="4">
        <v>20.56</v>
      </c>
      <c r="F24" s="4">
        <v>22.15</v>
      </c>
      <c r="G24" s="4">
        <v>22.2</v>
      </c>
      <c r="H24" s="5">
        <f>G24/F24-1</f>
        <v>0.0022573363431150906</v>
      </c>
      <c r="I24" s="5">
        <f>G24/E24-1</f>
        <v>0.07976653696498048</v>
      </c>
      <c r="J24" s="5">
        <v>-0.02283103320728852</v>
      </c>
      <c r="K24" s="4">
        <v>161885897557.0522</v>
      </c>
    </row>
    <row r="25" spans="1:11">
      <c r="A25" s="1" t="s">
        <v>1126</v>
      </c>
      <c r="B25" s="1" t="s">
        <v>1127</v>
      </c>
      <c r="C25" s="1" t="s">
        <v>93</v>
      </c>
      <c r="D25" s="1" t="s">
        <v>93</v>
      </c>
      <c r="E25" s="4">
        <v>28.81</v>
      </c>
      <c r="F25" s="4">
        <v>27.07</v>
      </c>
      <c r="G25" s="4">
        <v>26.65</v>
      </c>
      <c r="H25" s="5">
        <f>G25/F25-1</f>
        <v>-0.015515330624307433</v>
      </c>
      <c r="I25" s="5">
        <f>G25/E25-1</f>
        <v>-0.07497396737244011</v>
      </c>
      <c r="J25" s="5">
        <v>-0.07497396737244011</v>
      </c>
      <c r="K25" s="4">
        <v>141020408217.65</v>
      </c>
    </row>
    <row r="26" spans="1:11">
      <c r="A26" s="1" t="s">
        <v>1128</v>
      </c>
      <c r="B26" s="1" t="s">
        <v>1129</v>
      </c>
      <c r="C26" s="1" t="s">
        <v>93</v>
      </c>
      <c r="D26" s="1" t="s">
        <v>93</v>
      </c>
      <c r="E26" s="4">
        <v>25.88</v>
      </c>
      <c r="F26" s="4">
        <v>27.38</v>
      </c>
      <c r="G26" s="4">
        <v>26.95</v>
      </c>
      <c r="H26" s="5">
        <f>G26/F26-1</f>
        <v>-0.01570489408327247</v>
      </c>
      <c r="I26" s="5">
        <f>G26/E26-1</f>
        <v>0.041344667697063464</v>
      </c>
      <c r="J26" s="5">
        <v>-0.02423797282409113</v>
      </c>
      <c r="K26" s="4">
        <v>93461452064.75</v>
      </c>
    </row>
    <row r="27" spans="1:11">
      <c r="A27" s="1" t="s">
        <v>1130</v>
      </c>
      <c r="B27" s="1" t="s">
        <v>1131</v>
      </c>
      <c r="C27" s="1" t="s">
        <v>66</v>
      </c>
      <c r="D27" s="1" t="s">
        <v>67</v>
      </c>
      <c r="E27" s="4">
        <v>71.19</v>
      </c>
      <c r="F27" s="4">
        <v>70.68000000000001</v>
      </c>
      <c r="G27" s="4">
        <v>71.98</v>
      </c>
      <c r="H27" s="5">
        <f>G27/F27-1</f>
        <v>0.01839275608375779</v>
      </c>
      <c r="I27" s="5">
        <f>G27/E27-1</f>
        <v>0.011097064194409478</v>
      </c>
      <c r="J27" s="5">
        <v>-0.01696801112656465</v>
      </c>
      <c r="K27" s="4">
        <v>279398144199.9</v>
      </c>
    </row>
    <row r="28" spans="1:11">
      <c r="A28" s="1" t="s">
        <v>1132</v>
      </c>
      <c r="B28" s="1" t="s">
        <v>1133</v>
      </c>
      <c r="C28" s="1" t="s">
        <v>66</v>
      </c>
      <c r="D28" s="1" t="s">
        <v>67</v>
      </c>
      <c r="E28" s="4">
        <v>24.9</v>
      </c>
      <c r="F28" s="4">
        <v>23.67</v>
      </c>
      <c r="G28" s="4">
        <v>24.17</v>
      </c>
      <c r="H28" s="5">
        <f>G28/F28-1</f>
        <v>0.0211237853823405</v>
      </c>
      <c r="I28" s="5">
        <f>G28/E28-1</f>
        <v>-0.029317269076305053</v>
      </c>
      <c r="J28" s="5">
        <v>-0.06737588652482263</v>
      </c>
      <c r="K28" s="4">
        <v>83740861518.21001</v>
      </c>
    </row>
    <row r="29" spans="1:11">
      <c r="A29" s="1" t="s">
        <v>1134</v>
      </c>
      <c r="B29" s="1" t="s">
        <v>1135</v>
      </c>
      <c r="C29" s="1" t="s">
        <v>41</v>
      </c>
      <c r="D29" s="1" t="s">
        <v>42</v>
      </c>
      <c r="E29" s="4">
        <v>36.44</v>
      </c>
      <c r="F29" s="4">
        <v>38.13</v>
      </c>
      <c r="G29" s="4">
        <v>35.27</v>
      </c>
      <c r="H29" s="5">
        <f>G29/F29-1</f>
        <v>-0.07500655651717802</v>
      </c>
      <c r="I29" s="5">
        <f>G29/E29-1</f>
        <v>-0.03210757409440157</v>
      </c>
      <c r="J29" s="5">
        <v>-0.09448010269576379</v>
      </c>
      <c r="K29" s="4">
        <v>100875017155.98</v>
      </c>
    </row>
    <row r="30" spans="1:11">
      <c r="A30" s="1" t="s">
        <v>1136</v>
      </c>
      <c r="B30" s="1" t="s">
        <v>1137</v>
      </c>
      <c r="C30" s="1" t="s">
        <v>37</v>
      </c>
      <c r="D30" s="1" t="s">
        <v>51</v>
      </c>
      <c r="E30" s="4">
        <v>28.1</v>
      </c>
      <c r="F30" s="4">
        <v>27.46</v>
      </c>
      <c r="G30" s="4">
        <v>27.37</v>
      </c>
      <c r="H30" s="5">
        <f>G30/F30-1</f>
        <v>-0.00327749453750914</v>
      </c>
      <c r="I30" s="5">
        <f>G30/E30-1</f>
        <v>-0.02597864768683278</v>
      </c>
      <c r="J30" s="5">
        <v>-0.03451957295373675</v>
      </c>
      <c r="K30" s="4">
        <v>47999777529.76</v>
      </c>
    </row>
    <row r="31" spans="1:11">
      <c r="A31" s="1" t="s">
        <v>1138</v>
      </c>
      <c r="B31" s="1" t="s">
        <v>1139</v>
      </c>
      <c r="C31" s="1" t="s">
        <v>93</v>
      </c>
      <c r="D31" s="1" t="s">
        <v>93</v>
      </c>
      <c r="E31" s="4">
        <v>28.58</v>
      </c>
      <c r="F31" s="4">
        <v>26.64</v>
      </c>
      <c r="G31" s="4">
        <v>26.25</v>
      </c>
      <c r="H31" s="5">
        <f>G31/F31-1</f>
        <v>-0.014639639639639657</v>
      </c>
      <c r="I31" s="5">
        <f>G31/E31-1</f>
        <v>-0.0815255423372988</v>
      </c>
      <c r="J31" s="5">
        <v>-0.1028708133971292</v>
      </c>
      <c r="K31" s="4">
        <v>72778845195</v>
      </c>
    </row>
    <row r="32" spans="1:11">
      <c r="A32" s="1" t="s">
        <v>1140</v>
      </c>
      <c r="B32" s="1" t="s">
        <v>1141</v>
      </c>
      <c r="C32" s="1" t="s">
        <v>41</v>
      </c>
      <c r="D32" s="1" t="s">
        <v>42</v>
      </c>
      <c r="E32" s="4">
        <v>76.34999999999999</v>
      </c>
      <c r="F32" s="4">
        <v>86.34999999999999</v>
      </c>
      <c r="G32" s="4">
        <v>77.72</v>
      </c>
      <c r="H32" s="5">
        <f>G32/F32-1</f>
        <v>-0.09994209612044003</v>
      </c>
      <c r="I32" s="5">
        <f>G32/E32-1</f>
        <v>0.01794368041912242</v>
      </c>
      <c r="J32" s="5">
        <v>-0.09994209612044003</v>
      </c>
      <c r="K32" s="4">
        <v>114130005626.6</v>
      </c>
    </row>
    <row r="33" spans="1:11">
      <c r="A33" s="1" t="s">
        <v>1142</v>
      </c>
      <c r="B33" s="1" t="s">
        <v>1143</v>
      </c>
      <c r="C33" s="1" t="s">
        <v>41</v>
      </c>
      <c r="D33" s="1" t="s">
        <v>42</v>
      </c>
      <c r="E33" s="4">
        <v>106.78</v>
      </c>
      <c r="F33" s="4">
        <v>98.98</v>
      </c>
      <c r="G33" s="4">
        <v>95.59999999999999</v>
      </c>
      <c r="H33" s="5">
        <f>G33/F33-1</f>
        <v>-0.03414831279046282</v>
      </c>
      <c r="I33" s="5">
        <f>G33/E33-1</f>
        <v>-0.10470125491665117</v>
      </c>
      <c r="J33" s="5">
        <v>-0.1047012549166512</v>
      </c>
      <c r="K33" s="4">
        <v>96126058789.2</v>
      </c>
    </row>
    <row r="34" spans="1:11">
      <c r="A34" s="1" t="s">
        <v>1144</v>
      </c>
      <c r="B34" s="1" t="s">
        <v>1145</v>
      </c>
      <c r="C34" s="1" t="s">
        <v>37</v>
      </c>
      <c r="D34" s="1" t="s">
        <v>38</v>
      </c>
      <c r="E34" s="4">
        <v>24.14</v>
      </c>
      <c r="F34" s="4">
        <v>24.82</v>
      </c>
      <c r="G34" s="4">
        <v>24.9</v>
      </c>
      <c r="H34" s="5">
        <f>G34/F34-1</f>
        <v>0.003223207091055613</v>
      </c>
      <c r="I34" s="5">
        <f>G34/E34-1</f>
        <v>0.0314830157415078</v>
      </c>
      <c r="J34" s="5">
        <v>-0.02236951118475561</v>
      </c>
      <c r="K34" s="4">
        <v>41439024664.2</v>
      </c>
    </row>
    <row r="35" spans="1:11">
      <c r="A35" s="1" t="s">
        <v>1146</v>
      </c>
      <c r="B35" s="1" t="s">
        <v>1147</v>
      </c>
      <c r="C35" s="1" t="s">
        <v>70</v>
      </c>
      <c r="D35" s="1" t="s">
        <v>100</v>
      </c>
      <c r="E35" s="4">
        <v>67.03</v>
      </c>
      <c r="F35" s="4">
        <v>66.05</v>
      </c>
      <c r="G35" s="4">
        <v>65.91</v>
      </c>
      <c r="H35" s="5">
        <f>G35/F35-1</f>
        <v>-0.002119606358819137</v>
      </c>
      <c r="I35" s="5">
        <f>G35/E35-1</f>
        <v>-0.0167089362971804</v>
      </c>
      <c r="J35" s="5">
        <v>-0.06484108967082869</v>
      </c>
      <c r="K35" s="4">
        <v>136313863624.38</v>
      </c>
    </row>
    <row r="36" spans="1:11">
      <c r="A36" s="1" t="s">
        <v>1148</v>
      </c>
      <c r="B36" s="1" t="s">
        <v>1149</v>
      </c>
      <c r="C36" s="1" t="s">
        <v>70</v>
      </c>
      <c r="D36" s="1" t="s">
        <v>243</v>
      </c>
      <c r="E36" s="4">
        <v>4.07</v>
      </c>
      <c r="F36" s="4">
        <v>4.05</v>
      </c>
      <c r="G36" s="4">
        <v>4.1</v>
      </c>
      <c r="H36" s="5">
        <f>G36/F36-1</f>
        <v>0.012345679012345734</v>
      </c>
      <c r="I36" s="5">
        <f>G36/E36-1</f>
        <v>0.007371007371007154</v>
      </c>
      <c r="J36" s="5">
        <v>-0.02644230769230782</v>
      </c>
      <c r="K36" s="4">
        <v>50056413022.49999</v>
      </c>
    </row>
    <row r="37" spans="1:11">
      <c r="A37" s="1" t="s">
        <v>1150</v>
      </c>
      <c r="B37" s="1" t="s">
        <v>1151</v>
      </c>
      <c r="C37" s="1" t="s">
        <v>70</v>
      </c>
      <c r="D37" s="1" t="s">
        <v>243</v>
      </c>
      <c r="E37" s="4">
        <v>9.17</v>
      </c>
      <c r="F37" s="4">
        <v>9.859999999999999</v>
      </c>
      <c r="G37" s="4">
        <v>9.800000000000001</v>
      </c>
      <c r="H37" s="5">
        <f>G37/F37-1</f>
        <v>-0.006085192697768638</v>
      </c>
      <c r="I37" s="5">
        <f>G37/E37-1</f>
        <v>0.06870229007633588</v>
      </c>
      <c r="J37" s="5">
        <v>-0.02140672782874631</v>
      </c>
      <c r="K37" s="4">
        <v>66591930921.60001</v>
      </c>
    </row>
    <row r="38" spans="1:11">
      <c r="A38" s="1" t="s">
        <v>1152</v>
      </c>
      <c r="B38" s="1" t="s">
        <v>1153</v>
      </c>
      <c r="C38" s="1" t="s">
        <v>116</v>
      </c>
      <c r="D38" s="1" t="s">
        <v>223</v>
      </c>
      <c r="E38" s="4">
        <v>7.46</v>
      </c>
      <c r="F38" s="4">
        <v>6.83</v>
      </c>
      <c r="G38" s="4">
        <v>6.97</v>
      </c>
      <c r="H38" s="5">
        <f>G38/F38-1</f>
        <v>0.020497803806734938</v>
      </c>
      <c r="I38" s="5">
        <f>G38/E38-1</f>
        <v>-0.06568364611260058</v>
      </c>
      <c r="J38" s="5">
        <v>-0.1353887655140568</v>
      </c>
      <c r="K38" s="4">
        <v>62841744231.87</v>
      </c>
    </row>
    <row r="39" spans="1:11">
      <c r="A39" s="1" t="s">
        <v>1154</v>
      </c>
      <c r="B39" s="1" t="s">
        <v>1155</v>
      </c>
      <c r="C39" s="1" t="s">
        <v>93</v>
      </c>
      <c r="D39" s="1" t="s">
        <v>93</v>
      </c>
      <c r="E39" s="4">
        <v>27.82</v>
      </c>
      <c r="F39" s="4">
        <v>26.72</v>
      </c>
      <c r="G39" s="4">
        <v>26.86</v>
      </c>
      <c r="H39" s="5">
        <f>G39/F39-1</f>
        <v>0.0052395209580837765</v>
      </c>
      <c r="I39" s="5">
        <f>G39/E39-1</f>
        <v>-0.03450754852624016</v>
      </c>
      <c r="J39" s="5">
        <v>-0.05391804457225013</v>
      </c>
      <c r="K39" s="4">
        <v>82552106324.8</v>
      </c>
    </row>
    <row r="40" spans="1:11">
      <c r="A40" s="1" t="s">
        <v>1156</v>
      </c>
      <c r="B40" s="1" t="s">
        <v>1157</v>
      </c>
      <c r="C40" s="1" t="s">
        <v>138</v>
      </c>
      <c r="D40" s="1" t="s">
        <v>139</v>
      </c>
      <c r="E40" s="4">
        <v>4.9</v>
      </c>
      <c r="F40" s="4">
        <v>4.82</v>
      </c>
      <c r="G40" s="4">
        <v>4.88</v>
      </c>
      <c r="H40" s="5">
        <f>G40/F40-1</f>
        <v>0.012448132780082943</v>
      </c>
      <c r="I40" s="5">
        <f>G40/E40-1</f>
        <v>-0.004081632653061273</v>
      </c>
      <c r="J40" s="5">
        <v>-0.03212851405622497</v>
      </c>
      <c r="K40" s="4">
        <v>70477934662.88</v>
      </c>
    </row>
    <row r="41" spans="1:11">
      <c r="A41" s="1" t="s">
        <v>1158</v>
      </c>
      <c r="B41" s="1" t="s">
        <v>1159</v>
      </c>
      <c r="C41" s="1" t="s">
        <v>70</v>
      </c>
      <c r="D41" s="1" t="s">
        <v>100</v>
      </c>
      <c r="E41" s="4">
        <v>176.69</v>
      </c>
      <c r="F41" s="4">
        <v>143.98</v>
      </c>
      <c r="G41" s="4">
        <v>147.2</v>
      </c>
      <c r="H41" s="5">
        <f>G41/F41-1</f>
        <v>0.022364217252396124</v>
      </c>
      <c r="I41" s="5">
        <f>G41/E41-1</f>
        <v>-0.16690248457750867</v>
      </c>
      <c r="J41" s="5">
        <v>-0.2069726639877751</v>
      </c>
      <c r="K41" s="4">
        <v>115194787110.4</v>
      </c>
    </row>
    <row r="42" spans="1:11">
      <c r="A42" s="1" t="s">
        <v>1160</v>
      </c>
      <c r="B42" s="1" t="s">
        <v>1161</v>
      </c>
      <c r="C42" s="1" t="s">
        <v>41</v>
      </c>
      <c r="D42" s="1" t="s">
        <v>63</v>
      </c>
      <c r="E42" s="4">
        <v>62.65</v>
      </c>
      <c r="F42" s="4">
        <v>62.76</v>
      </c>
      <c r="G42" s="4">
        <v>62.08</v>
      </c>
      <c r="H42" s="5">
        <f>G42/F42-1</f>
        <v>-0.0108349267049076</v>
      </c>
      <c r="I42" s="5">
        <f>G42/E42-1</f>
        <v>-0.00909816440542699</v>
      </c>
      <c r="J42" s="5">
        <v>-0.02802567715672455</v>
      </c>
      <c r="K42" s="4">
        <v>52347946606.07999</v>
      </c>
    </row>
    <row r="43" spans="1:11">
      <c r="A43" s="1" t="s">
        <v>1162</v>
      </c>
      <c r="B43" s="1" t="s">
        <v>1163</v>
      </c>
      <c r="C43" s="1" t="s">
        <v>70</v>
      </c>
      <c r="D43" s="1" t="s">
        <v>100</v>
      </c>
      <c r="E43" s="4">
        <v>36.71</v>
      </c>
      <c r="F43" s="4">
        <v>36.3</v>
      </c>
      <c r="G43" s="4">
        <v>35.46</v>
      </c>
      <c r="H43" s="5">
        <f>G43/F43-1</f>
        <v>-0.02314049586776845</v>
      </c>
      <c r="I43" s="5">
        <f>G43/E43-1</f>
        <v>-0.034050667393080936</v>
      </c>
      <c r="J43" s="5">
        <v>-0.03693644758283543</v>
      </c>
      <c r="K43" s="4">
        <v>142373212437.7823</v>
      </c>
    </row>
    <row r="44" spans="1:11">
      <c r="A44" s="1" t="s">
        <v>1164</v>
      </c>
      <c r="B44" s="1" t="s">
        <v>1165</v>
      </c>
      <c r="C44" s="1" t="s">
        <v>70</v>
      </c>
      <c r="D44" s="1" t="s">
        <v>100</v>
      </c>
      <c r="E44" s="4">
        <v>26.86</v>
      </c>
      <c r="F44" s="4">
        <v>26.14</v>
      </c>
      <c r="G44" s="4">
        <v>25.95</v>
      </c>
      <c r="H44" s="5">
        <f>G44/F44-1</f>
        <v>-0.007268553940321443</v>
      </c>
      <c r="I44" s="5">
        <f>G44/E44-1</f>
        <v>-0.033879374534623974</v>
      </c>
      <c r="J44" s="5">
        <v>-0.06955898171387598</v>
      </c>
      <c r="K44" s="4">
        <v>47092122624.89999</v>
      </c>
    </row>
    <row r="45" spans="1:11">
      <c r="A45" s="1" t="s">
        <v>1166</v>
      </c>
      <c r="B45" s="1" t="s">
        <v>1167</v>
      </c>
      <c r="C45" s="1" t="s">
        <v>54</v>
      </c>
      <c r="D45" s="1" t="s">
        <v>165</v>
      </c>
      <c r="E45" s="4">
        <v>34.06</v>
      </c>
      <c r="F45" s="4">
        <v>34.4</v>
      </c>
      <c r="G45" s="4">
        <v>34.5</v>
      </c>
      <c r="H45" s="5">
        <f>G45/F45-1</f>
        <v>0.0029069767441860517</v>
      </c>
      <c r="I45" s="5">
        <f>G45/E45-1</f>
        <v>0.012918379330592922</v>
      </c>
      <c r="J45" s="5">
        <v>-0.01467997651203756</v>
      </c>
      <c r="K45" s="4">
        <v>227823882324</v>
      </c>
    </row>
    <row r="46" spans="1:11">
      <c r="A46" s="1" t="s">
        <v>1168</v>
      </c>
      <c r="B46" s="1" t="s">
        <v>1169</v>
      </c>
      <c r="C46" s="1" t="s">
        <v>41</v>
      </c>
      <c r="D46" s="1" t="s">
        <v>42</v>
      </c>
      <c r="E46" s="4">
        <v>34.42</v>
      </c>
      <c r="F46" s="4">
        <v>34.64</v>
      </c>
      <c r="G46" s="4">
        <v>34.22</v>
      </c>
      <c r="H46" s="5">
        <f>G46/F46-1</f>
        <v>-0.012124711316397252</v>
      </c>
      <c r="I46" s="5">
        <f>G46/E46-1</f>
        <v>-0.005810575246949501</v>
      </c>
      <c r="J46" s="5">
        <v>-0.04096455549099376</v>
      </c>
      <c r="K46" s="4">
        <v>71870428283.34001</v>
      </c>
    </row>
    <row r="47" spans="1:11">
      <c r="A47" s="1" t="s">
        <v>1170</v>
      </c>
      <c r="B47" s="1" t="s">
        <v>1171</v>
      </c>
      <c r="C47" s="1" t="s">
        <v>70</v>
      </c>
      <c r="D47" s="1" t="s">
        <v>100</v>
      </c>
      <c r="E47" s="4">
        <v>19.19</v>
      </c>
      <c r="F47" s="4">
        <v>17.7</v>
      </c>
      <c r="G47" s="4">
        <v>17.49</v>
      </c>
      <c r="H47" s="5">
        <f>G47/F47-1</f>
        <v>-0.011864406779661052</v>
      </c>
      <c r="I47" s="5">
        <f>G47/E47-1</f>
        <v>-0.08858780614903605</v>
      </c>
      <c r="J47" s="5">
        <v>-0.08858780614903605</v>
      </c>
      <c r="K47" s="4">
        <v>66350703781.10175</v>
      </c>
    </row>
    <row r="48" spans="1:11">
      <c r="A48" s="1" t="s">
        <v>1172</v>
      </c>
      <c r="B48" s="1" t="s">
        <v>1173</v>
      </c>
      <c r="C48" s="1" t="s">
        <v>41</v>
      </c>
      <c r="D48" s="1" t="s">
        <v>58</v>
      </c>
      <c r="E48" s="4">
        <v>39.19</v>
      </c>
      <c r="F48" s="4">
        <v>39.2</v>
      </c>
      <c r="G48" s="4">
        <v>39.5</v>
      </c>
      <c r="H48" s="5">
        <f>G48/F48-1</f>
        <v>0.007653061224489832</v>
      </c>
      <c r="I48" s="5">
        <f>G48/E48-1</f>
        <v>0.007910181168665487</v>
      </c>
      <c r="J48" s="5">
        <v>-0.0272952853598013</v>
      </c>
      <c r="K48" s="4">
        <v>94882153719.50002</v>
      </c>
    </row>
    <row r="49" spans="1:11">
      <c r="A49" s="1" t="s">
        <v>1174</v>
      </c>
      <c r="B49" s="1" t="s">
        <v>1175</v>
      </c>
      <c r="C49" s="1" t="s">
        <v>41</v>
      </c>
      <c r="D49" s="1" t="s">
        <v>42</v>
      </c>
      <c r="E49" s="4">
        <v>16.11</v>
      </c>
      <c r="F49" s="4">
        <v>16.29</v>
      </c>
      <c r="G49" s="4">
        <v>16.31</v>
      </c>
      <c r="H49" s="5">
        <f>G49/F49-1</f>
        <v>0.0012277470841006721</v>
      </c>
      <c r="I49" s="5">
        <f>G49/E49-1</f>
        <v>0.012414649286157653</v>
      </c>
      <c r="J49" s="5">
        <v>-0.01808319167140537</v>
      </c>
      <c r="K49" s="4">
        <v>53321664426.93999</v>
      </c>
    </row>
    <row r="50" spans="1:11">
      <c r="A50" s="1" t="s">
        <v>1176</v>
      </c>
      <c r="B50" s="1" t="s">
        <v>1177</v>
      </c>
      <c r="C50" s="1" t="s">
        <v>41</v>
      </c>
      <c r="D50" s="1" t="s">
        <v>42</v>
      </c>
      <c r="E50" s="4">
        <v>23.4</v>
      </c>
      <c r="F50" s="4">
        <v>23.78</v>
      </c>
      <c r="G50" s="4">
        <v>23.41</v>
      </c>
      <c r="H50" s="5">
        <f>G50/F50-1</f>
        <v>-0.015559293523969786</v>
      </c>
      <c r="I50" s="5">
        <f>G50/E50-1</f>
        <v>0.00042735042735042583</v>
      </c>
      <c r="J50" s="5">
        <v>-0.03463917525773197</v>
      </c>
      <c r="K50" s="4">
        <v>83157162967.16</v>
      </c>
    </row>
    <row r="51" spans="1:11">
      <c r="A51" s="1" t="s">
        <v>1178</v>
      </c>
      <c r="B51" s="1" t="s">
        <v>1179</v>
      </c>
      <c r="C51" s="1" t="s">
        <v>66</v>
      </c>
      <c r="D51" s="1" t="s">
        <v>67</v>
      </c>
      <c r="E51" s="4">
        <v>38.83</v>
      </c>
      <c r="F51" s="4">
        <v>38.75</v>
      </c>
      <c r="G51" s="4">
        <v>39.59</v>
      </c>
      <c r="H51" s="5">
        <f>G51/F51-1</f>
        <v>0.0216774193548388</v>
      </c>
      <c r="I51" s="5">
        <f>G51/E51-1</f>
        <v>0.019572495493175524</v>
      </c>
      <c r="J51" s="5">
        <v>-0.03182159859684275</v>
      </c>
      <c r="K51" s="4">
        <v>59640160479.66001</v>
      </c>
    </row>
    <row r="52" spans="1:11">
      <c r="A52" s="1" t="s">
        <v>1180</v>
      </c>
      <c r="B52" s="1" t="s">
        <v>1181</v>
      </c>
      <c r="C52" s="1" t="s">
        <v>66</v>
      </c>
      <c r="D52" s="1" t="s">
        <v>67</v>
      </c>
      <c r="E52" s="4">
        <v>45.79</v>
      </c>
      <c r="F52" s="4">
        <v>44.09</v>
      </c>
      <c r="G52" s="4">
        <v>44.62</v>
      </c>
      <c r="H52" s="5">
        <f>G52/F52-1</f>
        <v>0.012020866409616637</v>
      </c>
      <c r="I52" s="5">
        <f>G52/E52-1</f>
        <v>-0.025551430443328305</v>
      </c>
      <c r="J52" s="5">
        <v>-0.05406566353470277</v>
      </c>
      <c r="K52" s="4">
        <v>73874318268.06</v>
      </c>
    </row>
    <row r="53" spans="1:11">
      <c r="A53" s="1" t="s">
        <v>1182</v>
      </c>
      <c r="B53" s="1" t="s">
        <v>1183</v>
      </c>
      <c r="C53" s="1" t="s">
        <v>70</v>
      </c>
      <c r="D53" s="1" t="s">
        <v>243</v>
      </c>
      <c r="E53" s="4">
        <v>32.5</v>
      </c>
      <c r="F53" s="4">
        <v>32.05</v>
      </c>
      <c r="G53" s="4">
        <v>32.22</v>
      </c>
      <c r="H53" s="5">
        <f>G53/F53-1</f>
        <v>0.005304212168486755</v>
      </c>
      <c r="I53" s="5">
        <f>G53/E53-1</f>
        <v>-0.008615384615384691</v>
      </c>
      <c r="J53" s="5">
        <v>-0.05553905553905558</v>
      </c>
      <c r="K53" s="4">
        <v>167056237544.7333</v>
      </c>
    </row>
    <row r="54" spans="1:11">
      <c r="A54" s="1" t="s">
        <v>1184</v>
      </c>
      <c r="B54" s="1" t="s">
        <v>1185</v>
      </c>
      <c r="C54" s="1" t="s">
        <v>129</v>
      </c>
      <c r="D54" s="1" t="s">
        <v>129</v>
      </c>
      <c r="E54" s="4">
        <v>152.5</v>
      </c>
      <c r="F54" s="4">
        <v>123.94</v>
      </c>
      <c r="G54" s="4">
        <v>125.42</v>
      </c>
      <c r="H54" s="5">
        <f>G54/F54-1</f>
        <v>0.01194126190091982</v>
      </c>
      <c r="I54" s="5">
        <f>G54/E54-1</f>
        <v>-0.17757377049180323</v>
      </c>
      <c r="J54" s="5">
        <v>-0.1897049180327869</v>
      </c>
      <c r="K54" s="4">
        <v>128411998574.86</v>
      </c>
    </row>
    <row r="55" spans="1:11">
      <c r="A55" s="1" t="s">
        <v>1186</v>
      </c>
      <c r="B55" s="1" t="s">
        <v>1187</v>
      </c>
      <c r="C55" s="1" t="s">
        <v>41</v>
      </c>
      <c r="D55" s="1" t="s">
        <v>63</v>
      </c>
      <c r="E55" s="4">
        <v>714.4299999999999</v>
      </c>
      <c r="F55" s="4">
        <v>655.84</v>
      </c>
      <c r="G55" s="4">
        <v>638.17</v>
      </c>
      <c r="H55" s="5">
        <f>G55/F55-1</f>
        <v>-0.026942546962673952</v>
      </c>
      <c r="I55" s="5">
        <f>G55/E55-1</f>
        <v>-0.10674243802751848</v>
      </c>
      <c r="J55" s="5">
        <v>-0.1111838440111421</v>
      </c>
      <c r="K55" s="4">
        <v>463113076764</v>
      </c>
    </row>
    <row r="56" spans="1:11">
      <c r="A56" s="1" t="s">
        <v>1188</v>
      </c>
      <c r="B56" s="1" t="s">
        <v>1189</v>
      </c>
      <c r="C56" s="1" t="s">
        <v>41</v>
      </c>
      <c r="D56" s="1" t="s">
        <v>42</v>
      </c>
      <c r="E56" s="4">
        <v>201.08</v>
      </c>
      <c r="F56" s="4">
        <v>179.16</v>
      </c>
      <c r="G56" s="4">
        <v>178.67</v>
      </c>
      <c r="H56" s="5">
        <f>G56/F56-1</f>
        <v>-0.002734985487832131</v>
      </c>
      <c r="I56" s="5">
        <f>G56/E56-1</f>
        <v>-0.11144817982892397</v>
      </c>
      <c r="J56" s="5">
        <v>-0.111448179828924</v>
      </c>
      <c r="K56" s="4">
        <v>327253317742.44</v>
      </c>
    </row>
    <row r="57" spans="1:11">
      <c r="A57" s="1" t="s">
        <v>1190</v>
      </c>
      <c r="B57" s="1" t="s">
        <v>1191</v>
      </c>
      <c r="C57" s="1" t="s">
        <v>41</v>
      </c>
      <c r="D57" s="1" t="s">
        <v>42</v>
      </c>
      <c r="E57" s="4">
        <v>34.4</v>
      </c>
      <c r="F57" s="4">
        <v>34.98</v>
      </c>
      <c r="G57" s="4">
        <v>34.87</v>
      </c>
      <c r="H57" s="5">
        <f>G57/F57-1</f>
        <v>-0.0031446540880503138</v>
      </c>
      <c r="I57" s="5">
        <f>G57/E57-1</f>
        <v>0.013662790697674287</v>
      </c>
      <c r="J57" s="5">
        <v>-0.02923157634938556</v>
      </c>
      <c r="K57" s="4">
        <v>319579070948.4999</v>
      </c>
    </row>
    <row r="58" spans="1:11">
      <c r="A58" s="1" t="s">
        <v>1192</v>
      </c>
      <c r="B58" s="1" t="s">
        <v>1193</v>
      </c>
      <c r="C58" s="1" t="s">
        <v>37</v>
      </c>
      <c r="D58" s="1" t="s">
        <v>38</v>
      </c>
      <c r="E58" s="4">
        <v>44.87</v>
      </c>
      <c r="F58" s="4">
        <v>41.82</v>
      </c>
      <c r="G58" s="4">
        <v>41.92</v>
      </c>
      <c r="H58" s="5">
        <f>G58/F58-1</f>
        <v>0.002391200382592107</v>
      </c>
      <c r="I58" s="5">
        <f>G58/E58-1</f>
        <v>-0.06574548696233551</v>
      </c>
      <c r="J58" s="5">
        <v>-0.09560953866726096</v>
      </c>
      <c r="K58" s="4">
        <v>66685548239.36001</v>
      </c>
    </row>
    <row r="59" spans="1:11">
      <c r="A59" s="1" t="s">
        <v>1194</v>
      </c>
      <c r="B59" s="1" t="s">
        <v>1195</v>
      </c>
      <c r="C59" s="1" t="s">
        <v>93</v>
      </c>
      <c r="D59" s="1" t="s">
        <v>93</v>
      </c>
      <c r="E59" s="4">
        <v>54.12</v>
      </c>
      <c r="F59" s="4">
        <v>50.52</v>
      </c>
      <c r="G59" s="4">
        <v>49.09</v>
      </c>
      <c r="H59" s="5">
        <f>G59/F59-1</f>
        <v>-0.028305621536025338</v>
      </c>
      <c r="I59" s="5">
        <f>G59/E59-1</f>
        <v>-0.09294161123429401</v>
      </c>
      <c r="J59" s="5">
        <v>-0.1175624662951644</v>
      </c>
      <c r="K59" s="4">
        <v>94348661348.85336</v>
      </c>
    </row>
    <row r="60" spans="1:11">
      <c r="A60" s="1" t="s">
        <v>1196</v>
      </c>
      <c r="B60" s="1" t="s">
        <v>1197</v>
      </c>
      <c r="C60" s="1" t="s">
        <v>41</v>
      </c>
      <c r="D60" s="1" t="s">
        <v>42</v>
      </c>
      <c r="E60" s="4">
        <v>121.21</v>
      </c>
      <c r="F60" s="4">
        <v>116.42</v>
      </c>
      <c r="G60" s="4">
        <v>111.5</v>
      </c>
      <c r="H60" s="5">
        <f>G60/F60-1</f>
        <v>-0.042260779934719106</v>
      </c>
      <c r="I60" s="5">
        <f>G60/E60-1</f>
        <v>-0.08010890190578335</v>
      </c>
      <c r="J60" s="5">
        <v>-0.1073572972540229</v>
      </c>
      <c r="K60" s="4">
        <v>214566534375.5</v>
      </c>
    </row>
    <row r="61" spans="1:11">
      <c r="A61" s="1" t="s">
        <v>1198</v>
      </c>
      <c r="B61" s="1" t="s">
        <v>1199</v>
      </c>
      <c r="C61" s="1" t="s">
        <v>93</v>
      </c>
      <c r="D61" s="1" t="s">
        <v>93</v>
      </c>
      <c r="E61" s="4">
        <v>48.38</v>
      </c>
      <c r="F61" s="4">
        <v>46.92</v>
      </c>
      <c r="G61" s="4">
        <v>45.35</v>
      </c>
      <c r="H61" s="5">
        <f>G61/F61-1</f>
        <v>-0.03346121057118501</v>
      </c>
      <c r="I61" s="5">
        <f>G61/E61-1</f>
        <v>-0.06262918561389008</v>
      </c>
      <c r="J61" s="5">
        <v>-0.09481037924151692</v>
      </c>
      <c r="K61" s="4">
        <v>73951080938.39883</v>
      </c>
    </row>
    <row r="62" spans="1:11">
      <c r="A62" s="1" t="s">
        <v>1200</v>
      </c>
      <c r="B62" s="1" t="s">
        <v>1201</v>
      </c>
      <c r="C62" s="1" t="s">
        <v>41</v>
      </c>
      <c r="D62" s="1" t="s">
        <v>42</v>
      </c>
      <c r="E62" s="4">
        <v>54.65</v>
      </c>
      <c r="F62" s="4">
        <v>56.17</v>
      </c>
      <c r="G62" s="4">
        <v>54.3</v>
      </c>
      <c r="H62" s="5">
        <f>G62/F62-1</f>
        <v>-0.033291792771942386</v>
      </c>
      <c r="I62" s="5">
        <f>G62/E62-1</f>
        <v>-0.006404391582799707</v>
      </c>
      <c r="J62" s="5">
        <v>-0.05761888233252344</v>
      </c>
      <c r="K62" s="4">
        <v>418652055067.9896</v>
      </c>
    </row>
    <row r="63" spans="1:11">
      <c r="A63" s="1" t="s">
        <v>1202</v>
      </c>
      <c r="B63" s="1" t="s">
        <v>1203</v>
      </c>
      <c r="C63" s="1" t="s">
        <v>93</v>
      </c>
      <c r="D63" s="1" t="s">
        <v>93</v>
      </c>
      <c r="E63" s="4">
        <v>13.76</v>
      </c>
      <c r="F63" s="4">
        <v>14.64</v>
      </c>
      <c r="G63" s="4">
        <v>14.38</v>
      </c>
      <c r="H63" s="5">
        <f>G63/F63-1</f>
        <v>-0.01775956284153002</v>
      </c>
      <c r="I63" s="5">
        <f>G63/E63-1</f>
        <v>0.04505813953488369</v>
      </c>
      <c r="J63" s="5">
        <v>-0.03924418604651159</v>
      </c>
      <c r="K63" s="4">
        <v>143648179612.52</v>
      </c>
    </row>
    <row r="64" spans="1:11">
      <c r="A64" s="1" t="s">
        <v>1204</v>
      </c>
      <c r="B64" s="1" t="s">
        <v>1205</v>
      </c>
      <c r="C64" s="1" t="s">
        <v>93</v>
      </c>
      <c r="D64" s="1" t="s">
        <v>93</v>
      </c>
      <c r="E64" s="4">
        <v>12.67</v>
      </c>
      <c r="F64" s="4">
        <v>13.31</v>
      </c>
      <c r="G64" s="4">
        <v>13.13</v>
      </c>
      <c r="H64" s="5">
        <f>G64/F64-1</f>
        <v>-0.013523666416228375</v>
      </c>
      <c r="I64" s="5">
        <f>G64/E64-1</f>
        <v>0.03630623520126286</v>
      </c>
      <c r="J64" s="5">
        <v>-0.02043906131718409</v>
      </c>
      <c r="K64" s="4">
        <v>60775322258.95</v>
      </c>
    </row>
    <row r="65" spans="1:11">
      <c r="A65" s="1" t="s">
        <v>1206</v>
      </c>
      <c r="B65" s="1" t="s">
        <v>1207</v>
      </c>
      <c r="C65" s="1" t="s">
        <v>138</v>
      </c>
      <c r="D65" s="1" t="s">
        <v>139</v>
      </c>
      <c r="E65" s="4">
        <v>26.13</v>
      </c>
      <c r="F65" s="4">
        <v>26.92</v>
      </c>
      <c r="G65" s="4">
        <v>27.67</v>
      </c>
      <c r="H65" s="5">
        <f>G65/F65-1</f>
        <v>0.02786032689450213</v>
      </c>
      <c r="I65" s="5">
        <f>G65/E65-1</f>
        <v>0.058936088786835095</v>
      </c>
      <c r="J65" s="5">
        <v>-0.0491803278688524</v>
      </c>
      <c r="K65" s="4">
        <v>52588549737.57001</v>
      </c>
    </row>
    <row r="66" spans="1:11">
      <c r="A66" s="1" t="s">
        <v>1208</v>
      </c>
      <c r="B66" s="1" t="s">
        <v>1209</v>
      </c>
      <c r="C66" s="1" t="s">
        <v>47</v>
      </c>
      <c r="D66" s="1" t="s">
        <v>142</v>
      </c>
      <c r="E66" s="4">
        <v>90.47</v>
      </c>
      <c r="F66" s="4">
        <v>87.31</v>
      </c>
      <c r="G66" s="4">
        <v>87.40000000000001</v>
      </c>
      <c r="H66" s="5">
        <f>G66/F66-1</f>
        <v>0.0010308097583324738</v>
      </c>
      <c r="I66" s="5">
        <f>G66/E66-1</f>
        <v>-0.033933900740576894</v>
      </c>
      <c r="J66" s="5">
        <v>-0.05979202772963599</v>
      </c>
      <c r="K66" s="4">
        <v>746431460352.3663</v>
      </c>
    </row>
    <row r="67" spans="1:11">
      <c r="A67" s="1" t="s">
        <v>1210</v>
      </c>
      <c r="B67" s="1" t="s">
        <v>1211</v>
      </c>
      <c r="C67" s="1" t="s">
        <v>41</v>
      </c>
      <c r="D67" s="1" t="s">
        <v>42</v>
      </c>
      <c r="E67" s="4">
        <v>12.24</v>
      </c>
      <c r="F67" s="4">
        <v>12.9</v>
      </c>
      <c r="G67" s="4">
        <v>12.63</v>
      </c>
      <c r="H67" s="5">
        <f>G67/F67-1</f>
        <v>-0.020930232558139528</v>
      </c>
      <c r="I67" s="5">
        <f>G67/E67-1</f>
        <v>0.031862745098039325</v>
      </c>
      <c r="J67" s="5">
        <v>-0.02111020658610863</v>
      </c>
      <c r="K67" s="4">
        <v>107164555314.6304</v>
      </c>
    </row>
    <row r="68" spans="1:11">
      <c r="A68" s="1" t="s">
        <v>1212</v>
      </c>
      <c r="B68" s="1" t="s">
        <v>1213</v>
      </c>
      <c r="C68" s="1" t="s">
        <v>138</v>
      </c>
      <c r="D68" s="1" t="s">
        <v>139</v>
      </c>
      <c r="E68" s="4">
        <v>13.82</v>
      </c>
      <c r="F68" s="4">
        <v>14.57</v>
      </c>
      <c r="G68" s="4">
        <v>15.73</v>
      </c>
      <c r="H68" s="5">
        <f>G68/F68-1</f>
        <v>0.0796156485929993</v>
      </c>
      <c r="I68" s="5">
        <f>G68/E68-1</f>
        <v>0.13820549927641101</v>
      </c>
      <c r="J68" s="5">
        <v>-0.02050916679846326</v>
      </c>
      <c r="K68" s="4">
        <v>115940832925.06</v>
      </c>
    </row>
    <row r="69" spans="1:11">
      <c r="A69" s="1" t="s">
        <v>1214</v>
      </c>
      <c r="B69" s="1" t="s">
        <v>1215</v>
      </c>
      <c r="C69" s="1" t="s">
        <v>70</v>
      </c>
      <c r="D69" s="1" t="s">
        <v>100</v>
      </c>
      <c r="E69" s="4">
        <v>28.11</v>
      </c>
      <c r="F69" s="4">
        <v>27.95</v>
      </c>
      <c r="G69" s="4">
        <v>28.39</v>
      </c>
      <c r="H69" s="5">
        <f>G69/F69-1</f>
        <v>0.015742397137745945</v>
      </c>
      <c r="I69" s="5">
        <f>G69/E69-1</f>
        <v>0.009960868018498825</v>
      </c>
      <c r="J69" s="5">
        <v>-0.02204338698390484</v>
      </c>
      <c r="K69" s="4">
        <v>61168749402.17999</v>
      </c>
    </row>
    <row r="70" spans="1:11">
      <c r="A70" s="1" t="s">
        <v>1216</v>
      </c>
      <c r="B70" s="1" t="s">
        <v>1217</v>
      </c>
      <c r="C70" s="1" t="s">
        <v>93</v>
      </c>
      <c r="D70" s="1" t="s">
        <v>93</v>
      </c>
      <c r="E70" s="4">
        <v>27</v>
      </c>
      <c r="F70" s="4">
        <v>27.65</v>
      </c>
      <c r="G70" s="4">
        <v>27.54</v>
      </c>
      <c r="H70" s="5">
        <f>G70/F70-1</f>
        <v>-0.003978300180831784</v>
      </c>
      <c r="I70" s="5">
        <f>G70/E70-1</f>
        <v>0.020000000000000018</v>
      </c>
      <c r="J70" s="5">
        <v>-0.03948290727107007</v>
      </c>
      <c r="K70" s="4">
        <v>92772502302.59999</v>
      </c>
    </row>
    <row r="71" spans="1:11">
      <c r="A71" s="1" t="s">
        <v>1218</v>
      </c>
      <c r="B71" s="1" t="s">
        <v>1219</v>
      </c>
      <c r="C71" s="1" t="s">
        <v>93</v>
      </c>
      <c r="D71" s="1" t="s">
        <v>93</v>
      </c>
      <c r="E71" s="4">
        <v>37.96</v>
      </c>
      <c r="F71" s="4">
        <v>34.6</v>
      </c>
      <c r="G71" s="4">
        <v>33.83</v>
      </c>
      <c r="H71" s="5">
        <f>G71/F71-1</f>
        <v>-0.022254335260115665</v>
      </c>
      <c r="I71" s="5">
        <f>G71/E71-1</f>
        <v>-0.10879873551106434</v>
      </c>
      <c r="J71" s="5">
        <v>-0.1087987355110643</v>
      </c>
      <c r="K71" s="4">
        <v>68964543799.52</v>
      </c>
    </row>
    <row r="72" spans="1:11">
      <c r="A72" s="1" t="s">
        <v>1220</v>
      </c>
      <c r="B72" s="1" t="s">
        <v>1221</v>
      </c>
      <c r="C72" s="1" t="s">
        <v>66</v>
      </c>
      <c r="D72" s="1" t="s">
        <v>67</v>
      </c>
      <c r="E72" s="4">
        <v>39.07</v>
      </c>
      <c r="F72" s="4">
        <v>42.08</v>
      </c>
      <c r="G72" s="4">
        <v>43.97</v>
      </c>
      <c r="H72" s="5">
        <f>G72/F72-1</f>
        <v>0.04491444866920147</v>
      </c>
      <c r="I72" s="5">
        <f>G72/E72-1</f>
        <v>0.12541592014333247</v>
      </c>
      <c r="J72" s="5">
        <v>-0.008726450768004823</v>
      </c>
      <c r="K72" s="4">
        <v>250549323029.6729</v>
      </c>
    </row>
    <row r="73" spans="1:11">
      <c r="A73" s="1" t="s">
        <v>1222</v>
      </c>
      <c r="B73" s="1" t="s">
        <v>1223</v>
      </c>
      <c r="C73" s="1" t="s">
        <v>54</v>
      </c>
      <c r="D73" s="1" t="s">
        <v>113</v>
      </c>
      <c r="E73" s="4">
        <v>9.82</v>
      </c>
      <c r="F73" s="4">
        <v>10.22</v>
      </c>
      <c r="G73" s="4">
        <v>10.26</v>
      </c>
      <c r="H73" s="5">
        <f>G73/F73-1</f>
        <v>0.003913894324853118</v>
      </c>
      <c r="I73" s="5">
        <f>G73/E73-1</f>
        <v>0.044806517311609007</v>
      </c>
      <c r="J73" s="5">
        <v>-0.01452080588711513</v>
      </c>
      <c r="K73" s="4">
        <v>105080283795.6</v>
      </c>
    </row>
    <row r="74" spans="1:11">
      <c r="A74" s="1" t="s">
        <v>1224</v>
      </c>
      <c r="B74" s="1" t="s">
        <v>1225</v>
      </c>
      <c r="C74" s="1" t="s">
        <v>70</v>
      </c>
      <c r="D74" s="1" t="s">
        <v>100</v>
      </c>
      <c r="E74" s="4">
        <v>54.12</v>
      </c>
      <c r="F74" s="4">
        <v>68.48999999999999</v>
      </c>
      <c r="G74" s="4">
        <v>63.91</v>
      </c>
      <c r="H74" s="5">
        <f>G74/F74-1</f>
        <v>-0.06687107606949916</v>
      </c>
      <c r="I74" s="5">
        <f>G74/E74-1</f>
        <v>0.18089430894308944</v>
      </c>
      <c r="J74" s="5">
        <v>-0.06687107606949916</v>
      </c>
      <c r="K74" s="4">
        <v>81621482920.67</v>
      </c>
    </row>
    <row r="75" spans="1:11">
      <c r="A75" s="1" t="s">
        <v>1226</v>
      </c>
      <c r="B75" s="1" t="s">
        <v>1227</v>
      </c>
      <c r="C75" s="1" t="s">
        <v>41</v>
      </c>
      <c r="D75" s="1" t="s">
        <v>42</v>
      </c>
      <c r="E75" s="4">
        <v>358.25</v>
      </c>
      <c r="F75" s="4">
        <v>341.54</v>
      </c>
      <c r="G75" s="4">
        <v>331.8</v>
      </c>
      <c r="H75" s="5">
        <f>G75/F75-1</f>
        <v>-0.028517889559056098</v>
      </c>
      <c r="I75" s="5">
        <f>G75/E75-1</f>
        <v>-0.07383112351709697</v>
      </c>
      <c r="J75" s="5">
        <v>-0.1010079115638886</v>
      </c>
      <c r="K75" s="4">
        <v>226011076221</v>
      </c>
    </row>
    <row r="76" spans="1:11">
      <c r="A76" s="1" t="s">
        <v>1228</v>
      </c>
      <c r="B76" s="1" t="s">
        <v>1229</v>
      </c>
      <c r="C76" s="1" t="s">
        <v>47</v>
      </c>
      <c r="D76" s="1" t="s">
        <v>142</v>
      </c>
      <c r="E76" s="4">
        <v>86.42</v>
      </c>
      <c r="F76" s="4">
        <v>90.31999999999999</v>
      </c>
      <c r="G76" s="4">
        <v>88</v>
      </c>
      <c r="H76" s="5">
        <f>G76/F76-1</f>
        <v>-0.025686448184233712</v>
      </c>
      <c r="I76" s="5">
        <f>G76/E76-1</f>
        <v>0.018282804906271766</v>
      </c>
      <c r="J76" s="5">
        <v>-0.04710339519215123</v>
      </c>
      <c r="K76" s="4">
        <v>52519217872</v>
      </c>
    </row>
    <row r="77" spans="1:11">
      <c r="A77" s="1" t="s">
        <v>1230</v>
      </c>
      <c r="B77" s="1" t="s">
        <v>1231</v>
      </c>
      <c r="C77" s="1" t="s">
        <v>41</v>
      </c>
      <c r="D77" s="1" t="s">
        <v>42</v>
      </c>
      <c r="E77" s="4">
        <v>89.2</v>
      </c>
      <c r="F77" s="4">
        <v>84.53</v>
      </c>
      <c r="G77" s="4">
        <v>83.29000000000001</v>
      </c>
      <c r="H77" s="5">
        <f>G77/F77-1</f>
        <v>-0.014669348160416318</v>
      </c>
      <c r="I77" s="5">
        <f>G77/E77-1</f>
        <v>-0.06625560538116593</v>
      </c>
      <c r="J77" s="5">
        <v>-0.1072883172561628</v>
      </c>
      <c r="K77" s="4">
        <v>193027628244.82</v>
      </c>
    </row>
    <row r="78" spans="1:11">
      <c r="A78" s="1" t="s">
        <v>1232</v>
      </c>
      <c r="B78" s="1" t="s">
        <v>1233</v>
      </c>
      <c r="C78" s="1" t="s">
        <v>76</v>
      </c>
      <c r="D78" s="1" t="s">
        <v>76</v>
      </c>
      <c r="E78" s="4">
        <v>3.84</v>
      </c>
      <c r="F78" s="4">
        <v>4.4</v>
      </c>
      <c r="G78" s="4">
        <v>4.37</v>
      </c>
      <c r="H78" s="5">
        <f>G78/F78-1</f>
        <v>-0.006818181818181834</v>
      </c>
      <c r="I78" s="5">
        <f>G78/E78-1</f>
        <v>0.13802083333333348</v>
      </c>
      <c r="J78" s="5">
        <v>-0.006818181818181834</v>
      </c>
      <c r="K78" s="4">
        <v>201410817258.2664</v>
      </c>
    </row>
    <row r="79" spans="1:11">
      <c r="A79" s="1" t="s">
        <v>1234</v>
      </c>
      <c r="B79" s="1" t="s">
        <v>1235</v>
      </c>
      <c r="C79" s="1" t="s">
        <v>70</v>
      </c>
      <c r="D79" s="1" t="s">
        <v>100</v>
      </c>
      <c r="E79" s="4">
        <v>55.79</v>
      </c>
      <c r="F79" s="4">
        <v>51.15</v>
      </c>
      <c r="G79" s="4">
        <v>51.04</v>
      </c>
      <c r="H79" s="5">
        <f>G79/F79-1</f>
        <v>-0.0021505376344086446</v>
      </c>
      <c r="I79" s="5">
        <f>G79/E79-1</f>
        <v>-0.08514070621975267</v>
      </c>
      <c r="J79" s="5">
        <v>-0.08694096601073342</v>
      </c>
      <c r="K79" s="4">
        <v>110925075562.4</v>
      </c>
    </row>
    <row r="80" spans="1:11">
      <c r="A80" s="1" t="s">
        <v>1236</v>
      </c>
      <c r="B80" s="1" t="s">
        <v>1237</v>
      </c>
      <c r="C80" s="1" t="s">
        <v>37</v>
      </c>
      <c r="D80" s="1" t="s">
        <v>51</v>
      </c>
      <c r="E80" s="4">
        <v>8.33</v>
      </c>
      <c r="F80" s="4">
        <v>8.27</v>
      </c>
      <c r="G80" s="4">
        <v>8.390000000000001</v>
      </c>
      <c r="H80" s="5">
        <f>G80/F80-1</f>
        <v>0.0145102781136639</v>
      </c>
      <c r="I80" s="5">
        <f>G80/E80-1</f>
        <v>0.007202881152461149</v>
      </c>
      <c r="J80" s="5">
        <v>-0.03751465416178179</v>
      </c>
      <c r="K80" s="4">
        <v>78023348118.26001</v>
      </c>
    </row>
    <row r="81" spans="1:11">
      <c r="A81" s="1" t="s">
        <v>1238</v>
      </c>
      <c r="B81" s="1" t="s">
        <v>1239</v>
      </c>
      <c r="C81" s="1" t="s">
        <v>54</v>
      </c>
      <c r="D81" s="1" t="s">
        <v>113</v>
      </c>
      <c r="E81" s="4">
        <v>222.13</v>
      </c>
      <c r="F81" s="4">
        <v>219.5</v>
      </c>
      <c r="G81" s="4">
        <v>222</v>
      </c>
      <c r="H81" s="5">
        <f>G81/F81-1</f>
        <v>0.011389521640091216</v>
      </c>
      <c r="I81" s="5">
        <f>G81/E81-1</f>
        <v>-0.0005852428757934236</v>
      </c>
      <c r="J81" s="5">
        <v>-0.06886201869479458</v>
      </c>
      <c r="K81" s="4">
        <v>167086080000</v>
      </c>
    </row>
    <row r="82" spans="1:11">
      <c r="A82" s="1" t="s">
        <v>1240</v>
      </c>
      <c r="B82" s="1" t="s">
        <v>1241</v>
      </c>
      <c r="C82" s="1" t="s">
        <v>54</v>
      </c>
      <c r="D82" s="1" t="s">
        <v>113</v>
      </c>
      <c r="E82" s="4">
        <v>18.91</v>
      </c>
      <c r="F82" s="4">
        <v>19.01</v>
      </c>
      <c r="G82" s="4">
        <v>19.15</v>
      </c>
      <c r="H82" s="5">
        <f>G82/F82-1</f>
        <v>0.007364544976327991</v>
      </c>
      <c r="I82" s="5">
        <f>G82/E82-1</f>
        <v>0.012691697514542577</v>
      </c>
      <c r="J82" s="5">
        <v>-0.03618756371049958</v>
      </c>
      <c r="K82" s="4">
        <v>302995127606.25</v>
      </c>
    </row>
    <row r="83" spans="1:11">
      <c r="A83" s="1" t="s">
        <v>1242</v>
      </c>
      <c r="B83" s="1" t="s">
        <v>1243</v>
      </c>
      <c r="C83" s="1" t="s">
        <v>37</v>
      </c>
      <c r="D83" s="1" t="s">
        <v>38</v>
      </c>
      <c r="E83" s="4">
        <v>13.9</v>
      </c>
      <c r="F83" s="4">
        <v>13.73</v>
      </c>
      <c r="G83" s="4">
        <v>13.25</v>
      </c>
      <c r="H83" s="5">
        <f>G83/F83-1</f>
        <v>-0.03495994173343042</v>
      </c>
      <c r="I83" s="5">
        <f>G83/E83-1</f>
        <v>-0.046762589928057596</v>
      </c>
      <c r="J83" s="5">
        <v>-0.1166666666666667</v>
      </c>
      <c r="K83" s="4">
        <v>31717714147.75</v>
      </c>
    </row>
    <row r="84" spans="1:11">
      <c r="A84" s="1" t="s">
        <v>1244</v>
      </c>
      <c r="B84" s="1" t="s">
        <v>1245</v>
      </c>
      <c r="C84" s="1" t="s">
        <v>70</v>
      </c>
      <c r="D84" s="1" t="s">
        <v>100</v>
      </c>
      <c r="E84" s="4">
        <v>59.03</v>
      </c>
      <c r="F84" s="4">
        <v>60.15</v>
      </c>
      <c r="G84" s="4">
        <v>59.31</v>
      </c>
      <c r="H84" s="5">
        <f>G84/F84-1</f>
        <v>-0.013965087281795463</v>
      </c>
      <c r="I84" s="5">
        <f>G84/E84-1</f>
        <v>0.0047433508385565926</v>
      </c>
      <c r="J84" s="5">
        <v>-0.04523502897617504</v>
      </c>
      <c r="K84" s="4">
        <v>160592023828.98</v>
      </c>
    </row>
    <row r="85" spans="1:11">
      <c r="A85" s="1" t="s">
        <v>1246</v>
      </c>
      <c r="B85" s="1" t="s">
        <v>1247</v>
      </c>
      <c r="C85" s="1" t="s">
        <v>138</v>
      </c>
      <c r="D85" s="1" t="s">
        <v>139</v>
      </c>
      <c r="E85" s="4">
        <v>10.98</v>
      </c>
      <c r="F85" s="4">
        <v>11.34</v>
      </c>
      <c r="G85" s="4">
        <v>11.64</v>
      </c>
      <c r="H85" s="5">
        <f>G85/F85-1</f>
        <v>0.02645502645502651</v>
      </c>
      <c r="I85" s="5">
        <f>G85/E85-1</f>
        <v>0.060109289617486406</v>
      </c>
      <c r="J85" s="5">
        <v>-0.03770351328191945</v>
      </c>
      <c r="K85" s="4">
        <v>34146969348.48</v>
      </c>
    </row>
    <row r="86" spans="1:11">
      <c r="A86" s="1" t="s">
        <v>1248</v>
      </c>
      <c r="B86" s="1" t="s">
        <v>1249</v>
      </c>
      <c r="C86" s="1" t="s">
        <v>70</v>
      </c>
      <c r="D86" s="1" t="s">
        <v>100</v>
      </c>
      <c r="E86" s="4">
        <v>113.08</v>
      </c>
      <c r="F86" s="4">
        <v>87.08</v>
      </c>
      <c r="G86" s="4">
        <v>88.43000000000001</v>
      </c>
      <c r="H86" s="5">
        <f>G86/F86-1</f>
        <v>0.015502985760220689</v>
      </c>
      <c r="I86" s="5">
        <f>G86/E86-1</f>
        <v>-0.21798726565263526</v>
      </c>
      <c r="J86" s="5">
        <v>-0.2359391581181464</v>
      </c>
      <c r="K86" s="4">
        <v>183334086224.32</v>
      </c>
    </row>
    <row r="87" spans="1:11">
      <c r="A87" s="1" t="s">
        <v>1250</v>
      </c>
      <c r="B87" s="1" t="s">
        <v>1251</v>
      </c>
      <c r="C87" s="1" t="s">
        <v>41</v>
      </c>
      <c r="D87" s="1" t="s">
        <v>42</v>
      </c>
      <c r="E87" s="4">
        <v>943</v>
      </c>
      <c r="F87" s="4">
        <v>813</v>
      </c>
      <c r="G87" s="4">
        <v>814</v>
      </c>
      <c r="H87" s="5">
        <f>G87/F87-1</f>
        <v>0.0012300123001229846</v>
      </c>
      <c r="I87" s="5">
        <f>G87/E87-1</f>
        <v>-0.1367974549310711</v>
      </c>
      <c r="J87" s="5">
        <v>-0.1378579003181336</v>
      </c>
      <c r="K87" s="4">
        <v>961750329457.0547</v>
      </c>
    </row>
    <row r="88" spans="1:11">
      <c r="A88" s="1" t="s">
        <v>1252</v>
      </c>
      <c r="B88" s="1" t="s">
        <v>1253</v>
      </c>
      <c r="C88" s="1" t="s">
        <v>41</v>
      </c>
      <c r="D88" s="1" t="s">
        <v>63</v>
      </c>
      <c r="E88" s="4">
        <v>42.53</v>
      </c>
      <c r="F88" s="4">
        <v>42.65</v>
      </c>
      <c r="G88" s="4">
        <v>41.79</v>
      </c>
      <c r="H88" s="5">
        <f>G88/F88-1</f>
        <v>-0.020164126611957767</v>
      </c>
      <c r="I88" s="5">
        <f>G88/E88-1</f>
        <v>-0.01739948271808145</v>
      </c>
      <c r="J88" s="5">
        <v>-0.07503320053120854</v>
      </c>
      <c r="K88" s="4">
        <v>54725417376.63</v>
      </c>
    </row>
    <row r="89" spans="1:11">
      <c r="A89" s="1" t="s">
        <v>1254</v>
      </c>
      <c r="B89" s="1" t="s">
        <v>1255</v>
      </c>
      <c r="C89" s="1" t="s">
        <v>41</v>
      </c>
      <c r="D89" s="1" t="s">
        <v>42</v>
      </c>
      <c r="E89" s="4">
        <v>273.08</v>
      </c>
      <c r="F89" s="4">
        <v>248.81</v>
      </c>
      <c r="G89" s="4">
        <v>248.7</v>
      </c>
      <c r="H89" s="5">
        <f>G89/F89-1</f>
        <v>-0.00044210441702507985</v>
      </c>
      <c r="I89" s="5">
        <f>G89/E89-1</f>
        <v>-0.08927786729163611</v>
      </c>
      <c r="J89" s="5">
        <v>-0.08927786729163611</v>
      </c>
      <c r="K89" s="4">
        <v>271288200629.1</v>
      </c>
    </row>
    <row r="90" spans="1:11">
      <c r="A90" s="1" t="s">
        <v>1256</v>
      </c>
      <c r="B90" s="1" t="s">
        <v>1257</v>
      </c>
      <c r="C90" s="1" t="s">
        <v>41</v>
      </c>
      <c r="D90" s="1" t="s">
        <v>42</v>
      </c>
      <c r="E90" s="4">
        <v>113.9</v>
      </c>
      <c r="F90" s="4">
        <v>110.91</v>
      </c>
      <c r="G90" s="4">
        <v>108.4</v>
      </c>
      <c r="H90" s="5">
        <f>G90/F90-1</f>
        <v>-0.022630962041294667</v>
      </c>
      <c r="I90" s="5">
        <f>G90/E90-1</f>
        <v>-0.04828797190517997</v>
      </c>
      <c r="J90" s="5">
        <v>-0.06199999999999994</v>
      </c>
      <c r="K90" s="4">
        <v>215154666943.6572</v>
      </c>
    </row>
    <row r="91" spans="1:11">
      <c r="A91" s="1" t="s">
        <v>1258</v>
      </c>
      <c r="B91" s="1" t="s">
        <v>1259</v>
      </c>
      <c r="C91" s="1" t="s">
        <v>138</v>
      </c>
      <c r="D91" s="1" t="s">
        <v>139</v>
      </c>
      <c r="E91" s="4">
        <v>15.03</v>
      </c>
      <c r="F91" s="4">
        <v>20.15</v>
      </c>
      <c r="G91" s="4">
        <v>21.25</v>
      </c>
      <c r="H91" s="5">
        <f>G91/F91-1</f>
        <v>0.05459057071960305</v>
      </c>
      <c r="I91" s="5">
        <f>G91/E91-1</f>
        <v>0.41383898868928815</v>
      </c>
      <c r="J91" s="5">
        <v>-0.06986027944111772</v>
      </c>
      <c r="K91" s="4">
        <v>39752817318.75</v>
      </c>
    </row>
    <row r="92" spans="1:11">
      <c r="A92" s="1" t="s">
        <v>1260</v>
      </c>
      <c r="B92" s="1" t="s">
        <v>1261</v>
      </c>
      <c r="C92" s="1" t="s">
        <v>138</v>
      </c>
      <c r="D92" s="1" t="s">
        <v>139</v>
      </c>
      <c r="E92" s="4">
        <v>43.82</v>
      </c>
      <c r="F92" s="4">
        <v>44.26</v>
      </c>
      <c r="G92" s="4">
        <v>45.43</v>
      </c>
      <c r="H92" s="5">
        <f>G92/F92-1</f>
        <v>0.026434704021690125</v>
      </c>
      <c r="I92" s="5">
        <f>G92/E92-1</f>
        <v>0.036741214057508076</v>
      </c>
      <c r="J92" s="5">
        <v>-0.09402099497946137</v>
      </c>
      <c r="K92" s="4">
        <v>58379127102.45</v>
      </c>
    </row>
    <row r="93" spans="1:11">
      <c r="A93" s="1" t="s">
        <v>1262</v>
      </c>
      <c r="B93" s="1" t="s">
        <v>1263</v>
      </c>
      <c r="C93" s="1" t="s">
        <v>41</v>
      </c>
      <c r="D93" s="1" t="s">
        <v>42</v>
      </c>
      <c r="E93" s="4">
        <v>37.19</v>
      </c>
      <c r="F93" s="4">
        <v>35.87</v>
      </c>
      <c r="G93" s="4">
        <v>35.14</v>
      </c>
      <c r="H93" s="5">
        <f>G93/F93-1</f>
        <v>-0.020351268469472994</v>
      </c>
      <c r="I93" s="5">
        <f>G93/E93-1</f>
        <v>-0.05512234471632149</v>
      </c>
      <c r="J93" s="5">
        <v>-0.1001280409731113</v>
      </c>
      <c r="K93" s="4">
        <v>181049013518.7341</v>
      </c>
    </row>
    <row r="94" spans="1:11">
      <c r="A94" s="1" t="s">
        <v>1264</v>
      </c>
      <c r="B94" s="1" t="s">
        <v>1265</v>
      </c>
      <c r="C94" s="1" t="s">
        <v>41</v>
      </c>
      <c r="D94" s="1" t="s">
        <v>58</v>
      </c>
      <c r="E94" s="4">
        <v>64.38</v>
      </c>
      <c r="F94" s="4">
        <v>64.41</v>
      </c>
      <c r="G94" s="4">
        <v>62.93</v>
      </c>
      <c r="H94" s="5">
        <f>G94/F94-1</f>
        <v>-0.022977798478497125</v>
      </c>
      <c r="I94" s="5">
        <f>G94/E94-1</f>
        <v>-0.022522522522522403</v>
      </c>
      <c r="J94" s="5">
        <v>-0.04968287526427062</v>
      </c>
      <c r="K94" s="4">
        <v>103270771360.89</v>
      </c>
    </row>
    <row r="95" spans="1:11">
      <c r="A95" s="1" t="s">
        <v>1266</v>
      </c>
      <c r="B95" s="1" t="s">
        <v>1267</v>
      </c>
      <c r="C95" s="1" t="s">
        <v>70</v>
      </c>
      <c r="D95" s="1" t="s">
        <v>100</v>
      </c>
      <c r="E95" s="4">
        <v>33.91</v>
      </c>
      <c r="F95" s="4">
        <v>32.09</v>
      </c>
      <c r="G95" s="4">
        <v>31.57</v>
      </c>
      <c r="H95" s="5">
        <f>G95/F95-1</f>
        <v>-0.016204425054534233</v>
      </c>
      <c r="I95" s="5">
        <f>G95/E95-1</f>
        <v>-0.06900619286346199</v>
      </c>
      <c r="J95" s="5">
        <v>-0.06900619286346199</v>
      </c>
      <c r="K95" s="4">
        <v>52071195409.79465</v>
      </c>
    </row>
    <row r="96" spans="1:11">
      <c r="A96" s="1" t="s">
        <v>1268</v>
      </c>
      <c r="B96" s="1" t="s">
        <v>1269</v>
      </c>
      <c r="C96" s="1" t="s">
        <v>41</v>
      </c>
      <c r="D96" s="1" t="s">
        <v>42</v>
      </c>
      <c r="E96" s="4">
        <v>253.74</v>
      </c>
      <c r="F96" s="4">
        <v>222.5</v>
      </c>
      <c r="G96" s="4">
        <v>219.5</v>
      </c>
      <c r="H96" s="5">
        <f>G96/F96-1</f>
        <v>-0.013483146067415741</v>
      </c>
      <c r="I96" s="5">
        <f>G96/E96-1</f>
        <v>-0.1349412784740286</v>
      </c>
      <c r="J96" s="5">
        <v>-0.1655578787302795</v>
      </c>
      <c r="K96" s="4">
        <v>234348604804.3054</v>
      </c>
    </row>
    <row r="97" spans="1:11">
      <c r="A97" s="1" t="s">
        <v>1270</v>
      </c>
      <c r="B97" s="1" t="s">
        <v>1271</v>
      </c>
      <c r="C97" s="1" t="s">
        <v>66</v>
      </c>
      <c r="D97" s="1" t="s">
        <v>67</v>
      </c>
      <c r="E97" s="4">
        <v>13.59</v>
      </c>
      <c r="F97" s="4">
        <v>14.47</v>
      </c>
      <c r="G97" s="4">
        <v>15.36</v>
      </c>
      <c r="H97" s="5">
        <f>G97/F97-1</f>
        <v>0.061506565307532846</v>
      </c>
      <c r="I97" s="5">
        <f>G97/E97-1</f>
        <v>0.13024282560706402</v>
      </c>
      <c r="J97" s="5">
        <v>-0.016973125884017</v>
      </c>
      <c r="K97" s="4">
        <v>102204354124.8</v>
      </c>
    </row>
    <row r="98" spans="1:11">
      <c r="A98" s="1" t="s">
        <v>1272</v>
      </c>
      <c r="B98" s="1" t="s">
        <v>1273</v>
      </c>
      <c r="C98" s="1" t="s">
        <v>41</v>
      </c>
      <c r="D98" s="1" t="s">
        <v>42</v>
      </c>
      <c r="E98" s="4">
        <v>442</v>
      </c>
      <c r="F98" s="4">
        <v>384.76</v>
      </c>
      <c r="G98" s="4">
        <v>386</v>
      </c>
      <c r="H98" s="5">
        <f>G98/F98-1</f>
        <v>0.003222788231624918</v>
      </c>
      <c r="I98" s="5">
        <f>G98/E98-1</f>
        <v>-0.12669683257918551</v>
      </c>
      <c r="J98" s="5">
        <v>-0.129502262443439</v>
      </c>
      <c r="K98" s="4">
        <v>538183080410.0001</v>
      </c>
    </row>
    <row r="99" spans="1:11">
      <c r="A99" s="1" t="s">
        <v>1274</v>
      </c>
      <c r="B99" s="1" t="s">
        <v>1275</v>
      </c>
      <c r="C99" s="1" t="s">
        <v>41</v>
      </c>
      <c r="D99" s="1" t="s">
        <v>42</v>
      </c>
      <c r="E99" s="4">
        <v>41.73</v>
      </c>
      <c r="F99" s="4">
        <v>41.82</v>
      </c>
      <c r="G99" s="4">
        <v>42.08</v>
      </c>
      <c r="H99" s="5">
        <f>G99/F99-1</f>
        <v>0.006217120994739256</v>
      </c>
      <c r="I99" s="5">
        <f>G99/E99-1</f>
        <v>0.008387251377905525</v>
      </c>
      <c r="J99" s="5">
        <v>-0.05476529160739696</v>
      </c>
      <c r="K99" s="4">
        <v>53311925304.16</v>
      </c>
    </row>
    <row r="100" spans="1:11">
      <c r="A100" s="1" t="s">
        <v>1276</v>
      </c>
      <c r="B100" s="1" t="s">
        <v>1277</v>
      </c>
      <c r="C100" s="1" t="s">
        <v>41</v>
      </c>
      <c r="D100" s="1" t="s">
        <v>63</v>
      </c>
      <c r="E100" s="4">
        <v>116.6</v>
      </c>
      <c r="F100" s="4">
        <v>109.76</v>
      </c>
      <c r="G100" s="4">
        <v>106.92</v>
      </c>
      <c r="H100" s="5">
        <f>G100/F100-1</f>
        <v>-0.025874635568513105</v>
      </c>
      <c r="I100" s="5">
        <f>G100/E100-1</f>
        <v>-0.08301886792452828</v>
      </c>
      <c r="J100" s="5">
        <v>-0.08537211291702318</v>
      </c>
      <c r="K100" s="4">
        <v>77785383768.31059</v>
      </c>
    </row>
    <row r="101" spans="1:11">
      <c r="A101" s="1" t="s">
        <v>1278</v>
      </c>
      <c r="B101" s="1" t="s">
        <v>1279</v>
      </c>
      <c r="C101" s="1" t="s">
        <v>70</v>
      </c>
      <c r="D101" s="1" t="s">
        <v>100</v>
      </c>
      <c r="E101" s="4">
        <v>391.15</v>
      </c>
      <c r="F101" s="4">
        <v>349.5</v>
      </c>
      <c r="G101" s="4">
        <v>351</v>
      </c>
      <c r="H101" s="5">
        <f>G101/F101-1</f>
        <v>0.0042918454935623185</v>
      </c>
      <c r="I101" s="5">
        <f>G101/E101-1</f>
        <v>-0.10264604371724395</v>
      </c>
      <c r="J101" s="5">
        <v>-0.1095743320976607</v>
      </c>
      <c r="K101" s="4">
        <v>1654682493777.977</v>
      </c>
    </row>
    <row r="102" spans="1:11">
      <c r="A102" s="1" t="s">
        <v>1280</v>
      </c>
      <c r="B102" s="1" t="s">
        <v>1281</v>
      </c>
      <c r="C102" s="1" t="s">
        <v>37</v>
      </c>
      <c r="D102" s="1" t="s">
        <v>51</v>
      </c>
      <c r="E102" s="4">
        <v>154.45</v>
      </c>
      <c r="F102" s="4">
        <v>167.67</v>
      </c>
      <c r="G102" s="4">
        <v>169.91</v>
      </c>
      <c r="H102" s="5">
        <f>G102/F102-1</f>
        <v>0.013359575356354902</v>
      </c>
      <c r="I102" s="5">
        <f>G102/E102-1</f>
        <v>0.10009711880867611</v>
      </c>
      <c r="J102" s="5">
        <v>-0.008339258432606189</v>
      </c>
      <c r="K102" s="4">
        <v>205896841321.21</v>
      </c>
    </row>
    <row r="103" spans="1:11">
      <c r="A103" s="1" t="s">
        <v>1282</v>
      </c>
      <c r="B103" s="1" t="s">
        <v>1283</v>
      </c>
      <c r="C103" s="1" t="s">
        <v>54</v>
      </c>
      <c r="D103" s="1" t="s">
        <v>113</v>
      </c>
      <c r="E103" s="4">
        <v>81.88</v>
      </c>
      <c r="F103" s="4">
        <v>85.66</v>
      </c>
      <c r="G103" s="4">
        <v>88.09</v>
      </c>
      <c r="H103" s="5">
        <f>G103/F103-1</f>
        <v>0.028367966378706644</v>
      </c>
      <c r="I103" s="5">
        <f>G103/E103-1</f>
        <v>0.07584269662921361</v>
      </c>
      <c r="J103" s="5">
        <v>-0.03762149799885661</v>
      </c>
      <c r="K103" s="4">
        <v>54259746562.48</v>
      </c>
    </row>
    <row r="104" spans="1:11">
      <c r="A104" s="1" t="s">
        <v>1284</v>
      </c>
      <c r="B104" s="1" t="s">
        <v>1285</v>
      </c>
      <c r="C104" s="1" t="s">
        <v>37</v>
      </c>
      <c r="D104" s="1" t="s">
        <v>51</v>
      </c>
      <c r="E104" s="4">
        <v>51.87</v>
      </c>
      <c r="F104" s="4">
        <v>50.32</v>
      </c>
      <c r="G104" s="4">
        <v>51.5</v>
      </c>
      <c r="H104" s="5">
        <f>G104/F104-1</f>
        <v>0.02344992050874395</v>
      </c>
      <c r="I104" s="5">
        <f>G104/E104-1</f>
        <v>-0.007133217659533453</v>
      </c>
      <c r="J104" s="5">
        <v>-0.04275306748466257</v>
      </c>
      <c r="K104" s="4">
        <v>40464517427.5</v>
      </c>
    </row>
    <row r="105" spans="1:11">
      <c r="A105" s="1" t="s">
        <v>1286</v>
      </c>
      <c r="B105" s="1" t="s">
        <v>1287</v>
      </c>
      <c r="C105" s="1" t="s">
        <v>41</v>
      </c>
      <c r="D105" s="1" t="s">
        <v>42</v>
      </c>
      <c r="E105" s="4">
        <v>118.5</v>
      </c>
      <c r="F105" s="4">
        <v>137.16</v>
      </c>
      <c r="G105" s="4">
        <v>135.91</v>
      </c>
      <c r="H105" s="5">
        <f>G105/F105-1</f>
        <v>-0.009113444152814232</v>
      </c>
      <c r="I105" s="5">
        <f>G105/E105-1</f>
        <v>0.14691983122362862</v>
      </c>
      <c r="J105" s="5">
        <v>-0.02590717299578049</v>
      </c>
      <c r="K105" s="4">
        <v>85869678328.14151</v>
      </c>
    </row>
    <row r="106" spans="1:11">
      <c r="A106" s="1" t="s">
        <v>1288</v>
      </c>
      <c r="B106" s="1" t="s">
        <v>1289</v>
      </c>
      <c r="C106" s="1" t="s">
        <v>37</v>
      </c>
      <c r="D106" s="1" t="s">
        <v>38</v>
      </c>
      <c r="E106" s="4">
        <v>92.36</v>
      </c>
      <c r="F106" s="4">
        <v>91.25</v>
      </c>
      <c r="G106" s="4">
        <v>93.5</v>
      </c>
      <c r="H106" s="5">
        <f>G106/F106-1</f>
        <v>0.024657534246575352</v>
      </c>
      <c r="I106" s="5">
        <f>G106/E106-1</f>
        <v>0.012343005630143011</v>
      </c>
      <c r="J106" s="5">
        <v>-0.03018386651078753</v>
      </c>
      <c r="K106" s="4">
        <v>28292357703.5</v>
      </c>
    </row>
    <row r="107" spans="1:11">
      <c r="A107" s="1" t="s">
        <v>1290</v>
      </c>
      <c r="B107" s="1" t="s">
        <v>1291</v>
      </c>
      <c r="C107" s="1" t="s">
        <v>66</v>
      </c>
      <c r="D107" s="1" t="s">
        <v>67</v>
      </c>
      <c r="E107" s="4">
        <v>25.01</v>
      </c>
      <c r="F107" s="4">
        <v>26.01</v>
      </c>
      <c r="G107" s="4">
        <v>26.71</v>
      </c>
      <c r="H107" s="5">
        <f>G107/F107-1</f>
        <v>0.026912725874663534</v>
      </c>
      <c r="I107" s="5">
        <f>G107/E107-1</f>
        <v>0.06797281087564966</v>
      </c>
      <c r="J107" s="5">
        <v>-0.04655427619791885</v>
      </c>
      <c r="K107" s="4">
        <v>144810709926.56</v>
      </c>
    </row>
    <row r="108" spans="1:11">
      <c r="A108" s="1" t="s">
        <v>1292</v>
      </c>
      <c r="B108" s="1" t="s">
        <v>1293</v>
      </c>
      <c r="C108" s="1" t="s">
        <v>41</v>
      </c>
      <c r="D108" s="1" t="s">
        <v>42</v>
      </c>
      <c r="E108" s="4">
        <v>126.97</v>
      </c>
      <c r="F108" s="4">
        <v>117.11</v>
      </c>
      <c r="G108" s="4">
        <v>109.7</v>
      </c>
      <c r="H108" s="5">
        <f>G108/F108-1</f>
        <v>-0.06327384510289469</v>
      </c>
      <c r="I108" s="5">
        <f>G108/E108-1</f>
        <v>-0.13601638182247777</v>
      </c>
      <c r="J108" s="5">
        <v>-0.1384591219665436</v>
      </c>
      <c r="K108" s="4">
        <v>122165909021.1</v>
      </c>
    </row>
    <row r="109" spans="1:11">
      <c r="A109" s="1" t="s">
        <v>1294</v>
      </c>
      <c r="B109" s="1" t="s">
        <v>1295</v>
      </c>
      <c r="C109" s="1" t="s">
        <v>41</v>
      </c>
      <c r="D109" s="1" t="s">
        <v>58</v>
      </c>
      <c r="E109" s="4">
        <v>37.18</v>
      </c>
      <c r="F109" s="4">
        <v>37.6</v>
      </c>
      <c r="G109" s="4">
        <v>37.62</v>
      </c>
      <c r="H109" s="5">
        <f>G109/F109-1</f>
        <v>0.0005319148936169249</v>
      </c>
      <c r="I109" s="5">
        <f>G109/E109-1</f>
        <v>0.011834319526627057</v>
      </c>
      <c r="J109" s="5">
        <v>-0.02119312388363703</v>
      </c>
      <c r="K109" s="4">
        <v>38943820713.6</v>
      </c>
    </row>
    <row r="110" spans="1:11">
      <c r="A110" s="1" t="s">
        <v>1296</v>
      </c>
      <c r="B110" s="1" t="s">
        <v>1297</v>
      </c>
      <c r="C110" s="1" t="s">
        <v>41</v>
      </c>
      <c r="D110" s="1" t="s">
        <v>58</v>
      </c>
      <c r="E110" s="4">
        <v>95.2</v>
      </c>
      <c r="F110" s="4">
        <v>92.47</v>
      </c>
      <c r="G110" s="4">
        <v>89.7</v>
      </c>
      <c r="H110" s="5">
        <f>G110/F110-1</f>
        <v>-0.02995566129555527</v>
      </c>
      <c r="I110" s="5">
        <f>G110/E110-1</f>
        <v>-0.057773109243697496</v>
      </c>
      <c r="J110" s="5">
        <v>-0.1003911342894392</v>
      </c>
      <c r="K110" s="4">
        <v>49144355925.6</v>
      </c>
    </row>
    <row r="111" spans="1:11">
      <c r="A111" s="1" t="s">
        <v>1298</v>
      </c>
      <c r="B111" s="1" t="s">
        <v>1299</v>
      </c>
      <c r="C111" s="1" t="s">
        <v>41</v>
      </c>
      <c r="D111" s="1" t="s">
        <v>42</v>
      </c>
      <c r="E111" s="4">
        <v>380.66</v>
      </c>
      <c r="F111" s="4">
        <v>359.63</v>
      </c>
      <c r="G111" s="4">
        <v>347</v>
      </c>
      <c r="H111" s="5">
        <f>G111/F111-1</f>
        <v>-0.03511942830130965</v>
      </c>
      <c r="I111" s="5">
        <f>G111/E111-1</f>
        <v>-0.08842536646876487</v>
      </c>
      <c r="J111" s="5">
        <v>-0.1016181229773463</v>
      </c>
      <c r="K111" s="4">
        <v>158143844303</v>
      </c>
    </row>
    <row r="112" spans="1:11">
      <c r="A112" s="1" t="s">
        <v>1300</v>
      </c>
      <c r="B112" s="1" t="s">
        <v>1301</v>
      </c>
      <c r="C112" s="1" t="s">
        <v>41</v>
      </c>
      <c r="D112" s="1" t="s">
        <v>42</v>
      </c>
      <c r="E112" s="4">
        <v>56.84</v>
      </c>
      <c r="F112" s="4">
        <v>63.75</v>
      </c>
      <c r="G112" s="4">
        <v>63.3</v>
      </c>
      <c r="H112" s="5">
        <f>G112/F112-1</f>
        <v>-0.007058823529411784</v>
      </c>
      <c r="I112" s="5">
        <f>G112/E112-1</f>
        <v>0.11365235749472191</v>
      </c>
      <c r="J112" s="5">
        <v>-0.01337086558761447</v>
      </c>
      <c r="K112" s="4">
        <v>169143384100.8</v>
      </c>
    </row>
    <row r="113" spans="1:11">
      <c r="A113" s="1" t="s">
        <v>1302</v>
      </c>
      <c r="B113" s="1" t="s">
        <v>1303</v>
      </c>
      <c r="C113" s="1" t="s">
        <v>54</v>
      </c>
      <c r="D113" s="1" t="s">
        <v>165</v>
      </c>
      <c r="E113" s="4">
        <v>9.050000000000001</v>
      </c>
      <c r="F113" s="4">
        <v>9.27</v>
      </c>
      <c r="G113" s="4">
        <v>9.43</v>
      </c>
      <c r="H113" s="5">
        <f>G113/F113-1</f>
        <v>0.01725997842502691</v>
      </c>
      <c r="I113" s="5">
        <f>G113/E113-1</f>
        <v>0.04198895027624294</v>
      </c>
      <c r="J113" s="5">
        <v>-0.02386117136659438</v>
      </c>
      <c r="K113" s="4">
        <v>314074055169</v>
      </c>
    </row>
    <row r="114" spans="1:11">
      <c r="A114" s="1" t="s">
        <v>1304</v>
      </c>
      <c r="B114" s="1" t="s">
        <v>1305</v>
      </c>
      <c r="C114" s="1" t="s">
        <v>70</v>
      </c>
      <c r="D114" s="1" t="s">
        <v>243</v>
      </c>
      <c r="E114" s="4">
        <v>22.92</v>
      </c>
      <c r="F114" s="4">
        <v>23.65</v>
      </c>
      <c r="G114" s="4">
        <v>23.87</v>
      </c>
      <c r="H114" s="5">
        <f>G114/F114-1</f>
        <v>0.009302325581395543</v>
      </c>
      <c r="I114" s="5">
        <f>G114/E114-1</f>
        <v>0.041448516579406514</v>
      </c>
      <c r="J114" s="5">
        <v>-0.01353065539112053</v>
      </c>
      <c r="K114" s="4">
        <v>59396032264.8</v>
      </c>
    </row>
    <row r="115" spans="1:11">
      <c r="A115" s="1" t="s">
        <v>1306</v>
      </c>
      <c r="B115" s="1" t="s">
        <v>1307</v>
      </c>
      <c r="C115" s="1" t="s">
        <v>93</v>
      </c>
      <c r="D115" s="1" t="s">
        <v>93</v>
      </c>
      <c r="E115" s="4">
        <v>2.19</v>
      </c>
      <c r="F115" s="4">
        <v>2.22</v>
      </c>
      <c r="G115" s="4">
        <v>2.21</v>
      </c>
      <c r="H115" s="5">
        <f>G115/F115-1</f>
        <v>-0.0045045045045045695</v>
      </c>
      <c r="I115" s="5">
        <f>G115/E115-1</f>
        <v>0.009132420091324311</v>
      </c>
      <c r="J115" s="5">
        <v>-0.0307017543859649</v>
      </c>
      <c r="K115" s="4">
        <v>99949532815.08</v>
      </c>
    </row>
    <row r="116" spans="1:11">
      <c r="A116" s="1" t="s">
        <v>1308</v>
      </c>
      <c r="B116" s="1" t="s">
        <v>1309</v>
      </c>
      <c r="C116" s="1" t="s">
        <v>76</v>
      </c>
      <c r="D116" s="1" t="s">
        <v>76</v>
      </c>
      <c r="E116" s="4">
        <v>6.6</v>
      </c>
      <c r="F116" s="4">
        <v>6.87</v>
      </c>
      <c r="G116" s="4">
        <v>6.86</v>
      </c>
      <c r="H116" s="5">
        <f>G116/F116-1</f>
        <v>-0.0014556040756913413</v>
      </c>
      <c r="I116" s="5">
        <f>G116/E116-1</f>
        <v>0.03939393939393954</v>
      </c>
      <c r="J116" s="5">
        <v>-0.01474926253687325</v>
      </c>
      <c r="K116" s="4">
        <v>98047147637.68047</v>
      </c>
    </row>
    <row r="117" spans="1:11">
      <c r="A117" s="1" t="s">
        <v>1310</v>
      </c>
      <c r="B117" s="1" t="s">
        <v>1311</v>
      </c>
      <c r="C117" s="1" t="s">
        <v>54</v>
      </c>
      <c r="D117" s="1" t="s">
        <v>165</v>
      </c>
      <c r="E117" s="4">
        <v>6.71</v>
      </c>
      <c r="F117" s="4">
        <v>6.27</v>
      </c>
      <c r="G117" s="4">
        <v>6.32</v>
      </c>
      <c r="H117" s="5">
        <f>G117/F117-1</f>
        <v>0.00797448165869219</v>
      </c>
      <c r="I117" s="5">
        <f>G117/E117-1</f>
        <v>-0.058122205663189264</v>
      </c>
      <c r="J117" s="5">
        <v>-0.09051094890510936</v>
      </c>
      <c r="K117" s="4">
        <v>100582347917.76</v>
      </c>
    </row>
    <row r="118" spans="1:11">
      <c r="A118" s="1" t="s">
        <v>1312</v>
      </c>
      <c r="B118" s="1" t="s">
        <v>1313</v>
      </c>
      <c r="C118" s="1" t="s">
        <v>54</v>
      </c>
      <c r="D118" s="1" t="s">
        <v>165</v>
      </c>
      <c r="E118" s="4">
        <v>3.47</v>
      </c>
      <c r="F118" s="4">
        <v>3.59</v>
      </c>
      <c r="G118" s="4">
        <v>3.61</v>
      </c>
      <c r="H118" s="5">
        <f>G118/F118-1</f>
        <v>0.0055710306406684396</v>
      </c>
      <c r="I118" s="5">
        <f>G118/E118-1</f>
        <v>0.040345821325648235</v>
      </c>
      <c r="J118" s="5">
        <v>-0.02840909090909094</v>
      </c>
      <c r="K118" s="4">
        <v>153718653239.6056</v>
      </c>
    </row>
    <row r="119" spans="1:11">
      <c r="A119" s="1" t="s">
        <v>1314</v>
      </c>
      <c r="B119" s="1" t="s">
        <v>1315</v>
      </c>
      <c r="C119" s="1" t="s">
        <v>70</v>
      </c>
      <c r="D119" s="1" t="s">
        <v>243</v>
      </c>
      <c r="E119" s="4">
        <v>5.18</v>
      </c>
      <c r="F119" s="4">
        <v>5.52</v>
      </c>
      <c r="G119" s="4">
        <v>5.43</v>
      </c>
      <c r="H119" s="5">
        <f>G119/F119-1</f>
        <v>-0.016304347826086918</v>
      </c>
      <c r="I119" s="5">
        <f>G119/E119-1</f>
        <v>0.04826254826254828</v>
      </c>
      <c r="J119" s="5">
        <v>-0.02162165524519999</v>
      </c>
      <c r="K119" s="4">
        <v>126410185536.72</v>
      </c>
    </row>
    <row r="120" spans="1:11">
      <c r="A120" s="1" t="s">
        <v>1316</v>
      </c>
      <c r="B120" s="1" t="s">
        <v>1317</v>
      </c>
      <c r="C120" s="1" t="s">
        <v>93</v>
      </c>
      <c r="D120" s="1" t="s">
        <v>93</v>
      </c>
      <c r="E120" s="4">
        <v>5.81</v>
      </c>
      <c r="F120" s="4">
        <v>5.84</v>
      </c>
      <c r="G120" s="4">
        <v>5.86</v>
      </c>
      <c r="H120" s="5">
        <f>G120/F120-1</f>
        <v>0.0034246575342467</v>
      </c>
      <c r="I120" s="5">
        <f>G120/E120-1</f>
        <v>0.008605851979346157</v>
      </c>
      <c r="J120" s="5">
        <v>-0.01188455008488953</v>
      </c>
      <c r="K120" s="4">
        <v>127643016629.14</v>
      </c>
    </row>
    <row r="121" spans="1:11">
      <c r="A121" s="1" t="s">
        <v>1318</v>
      </c>
      <c r="B121" s="1" t="s">
        <v>1319</v>
      </c>
      <c r="C121" s="1" t="s">
        <v>76</v>
      </c>
      <c r="D121" s="1" t="s">
        <v>76</v>
      </c>
      <c r="E121" s="4">
        <v>4.86</v>
      </c>
      <c r="F121" s="4">
        <v>4.93</v>
      </c>
      <c r="G121" s="4">
        <v>4.88</v>
      </c>
      <c r="H121" s="5">
        <f>G121/F121-1</f>
        <v>-0.010141987829614618</v>
      </c>
      <c r="I121" s="5">
        <f>G121/E121-1</f>
        <v>0.00411522633744843</v>
      </c>
      <c r="J121" s="5">
        <v>-0.01414141414141423</v>
      </c>
      <c r="K121" s="4">
        <v>65434615815.12</v>
      </c>
    </row>
    <row r="122" spans="1:11">
      <c r="A122" s="1" t="s">
        <v>1320</v>
      </c>
      <c r="B122" s="1" t="s">
        <v>1321</v>
      </c>
      <c r="C122" s="1" t="s">
        <v>76</v>
      </c>
      <c r="D122" s="1" t="s">
        <v>76</v>
      </c>
      <c r="E122" s="4">
        <v>9.58</v>
      </c>
      <c r="F122" s="4">
        <v>9.82</v>
      </c>
      <c r="G122" s="4">
        <v>9.76</v>
      </c>
      <c r="H122" s="5">
        <f>G122/F122-1</f>
        <v>-0.006109979633401319</v>
      </c>
      <c r="I122" s="5">
        <f>G122/E122-1</f>
        <v>0.018789144050104456</v>
      </c>
      <c r="J122" s="5">
        <v>-0.02451481103166475</v>
      </c>
      <c r="K122" s="4">
        <v>181839479948.32</v>
      </c>
    </row>
    <row r="123" spans="1:11">
      <c r="A123" s="1" t="s">
        <v>1322</v>
      </c>
      <c r="B123" s="1" t="s">
        <v>1323</v>
      </c>
      <c r="C123" s="1" t="s">
        <v>129</v>
      </c>
      <c r="D123" s="1" t="s">
        <v>129</v>
      </c>
      <c r="E123" s="4">
        <v>19.58</v>
      </c>
      <c r="F123" s="4">
        <v>20.33</v>
      </c>
      <c r="G123" s="4">
        <v>20.34</v>
      </c>
      <c r="H123" s="5">
        <f>G123/F123-1</f>
        <v>0.0004918839153960075</v>
      </c>
      <c r="I123" s="5">
        <f>G123/E123-1</f>
        <v>0.038815117466802995</v>
      </c>
      <c r="J123" s="5">
        <v>-0.05158324821246163</v>
      </c>
      <c r="K123" s="4">
        <v>104318801575.4544</v>
      </c>
    </row>
    <row r="124" spans="1:11">
      <c r="A124" s="1" t="s">
        <v>1324</v>
      </c>
      <c r="B124" s="1" t="s">
        <v>1325</v>
      </c>
      <c r="C124" s="1" t="s">
        <v>76</v>
      </c>
      <c r="D124" s="1" t="s">
        <v>76</v>
      </c>
      <c r="E124" s="4">
        <v>4.46</v>
      </c>
      <c r="F124" s="4">
        <v>4.79</v>
      </c>
      <c r="G124" s="4">
        <v>4.84</v>
      </c>
      <c r="H124" s="5">
        <f>G124/F124-1</f>
        <v>0.010438413361169019</v>
      </c>
      <c r="I124" s="5">
        <f>G124/E124-1</f>
        <v>0.08520179372197312</v>
      </c>
      <c r="J124" s="5">
        <v>-0.02340425531914903</v>
      </c>
      <c r="K124" s="4">
        <v>53788987686.6532</v>
      </c>
    </row>
    <row r="125" spans="1:11">
      <c r="A125" s="1" t="s">
        <v>1326</v>
      </c>
      <c r="B125" s="1" t="s">
        <v>1327</v>
      </c>
      <c r="C125" s="1" t="s">
        <v>129</v>
      </c>
      <c r="D125" s="1" t="s">
        <v>129</v>
      </c>
      <c r="E125" s="4">
        <v>5.1</v>
      </c>
      <c r="F125" s="4">
        <v>5.45</v>
      </c>
      <c r="G125" s="4">
        <v>5.48</v>
      </c>
      <c r="H125" s="5">
        <f>G125/F125-1</f>
        <v>0.005504587155963359</v>
      </c>
      <c r="I125" s="5">
        <f>G125/E125-1</f>
        <v>0.0745098039215688</v>
      </c>
      <c r="J125" s="5">
        <v>-0.0163043444270824</v>
      </c>
      <c r="K125" s="4">
        <v>629817124728.2988</v>
      </c>
    </row>
    <row r="126" spans="1:11">
      <c r="A126" s="1" t="s">
        <v>1328</v>
      </c>
      <c r="B126" s="1" t="s">
        <v>1329</v>
      </c>
      <c r="C126" s="1" t="s">
        <v>70</v>
      </c>
      <c r="D126" s="1" t="s">
        <v>243</v>
      </c>
      <c r="E126" s="4">
        <v>4.99</v>
      </c>
      <c r="F126" s="4">
        <v>4.99</v>
      </c>
      <c r="G126" s="4">
        <v>5.03</v>
      </c>
      <c r="H126" s="5">
        <f>G126/F126-1</f>
        <v>0.008016032064128265</v>
      </c>
      <c r="I126" s="5">
        <f>G126/E126-1</f>
        <v>0.008016032064128265</v>
      </c>
      <c r="J126" s="5">
        <v>-0.01968503937007871</v>
      </c>
      <c r="K126" s="4">
        <v>79868962452.25262</v>
      </c>
    </row>
    <row r="127" spans="1:11">
      <c r="A127" s="1" t="s">
        <v>1330</v>
      </c>
      <c r="B127" s="1" t="s">
        <v>1331</v>
      </c>
      <c r="C127" s="1" t="s">
        <v>54</v>
      </c>
      <c r="D127" s="1" t="s">
        <v>113</v>
      </c>
      <c r="E127" s="4">
        <v>27.12</v>
      </c>
      <c r="F127" s="4">
        <v>27.86</v>
      </c>
      <c r="G127" s="4">
        <v>27.99</v>
      </c>
      <c r="H127" s="5">
        <f>G127/F127-1</f>
        <v>0.004666188083273459</v>
      </c>
      <c r="I127" s="5">
        <f>G127/E127-1</f>
        <v>0.03207964601769908</v>
      </c>
      <c r="J127" s="5">
        <v>-0.01962885256168068</v>
      </c>
      <c r="K127" s="4">
        <v>421409555057.2905</v>
      </c>
    </row>
    <row r="128" spans="1:11">
      <c r="A128" s="1" t="s">
        <v>1332</v>
      </c>
      <c r="B128" s="1" t="s">
        <v>1333</v>
      </c>
      <c r="C128" s="1" t="s">
        <v>70</v>
      </c>
      <c r="D128" s="1" t="s">
        <v>100</v>
      </c>
      <c r="E128" s="4">
        <v>18.8</v>
      </c>
      <c r="F128" s="4">
        <v>19.94</v>
      </c>
      <c r="G128" s="4">
        <v>20</v>
      </c>
      <c r="H128" s="5">
        <f>G128/F128-1</f>
        <v>0.0030090270812437314</v>
      </c>
      <c r="I128" s="5">
        <f>G128/E128-1</f>
        <v>0.06382978723404253</v>
      </c>
      <c r="J128" s="5">
        <v>-0.02917899769486243</v>
      </c>
      <c r="K128" s="4">
        <v>181856601981.86</v>
      </c>
    </row>
    <row r="129" spans="1:11">
      <c r="A129" s="1" t="s">
        <v>1334</v>
      </c>
      <c r="B129" s="1" t="s">
        <v>1335</v>
      </c>
      <c r="C129" s="1" t="s">
        <v>54</v>
      </c>
      <c r="D129" s="1" t="s">
        <v>165</v>
      </c>
      <c r="E129" s="4">
        <v>38.9</v>
      </c>
      <c r="F129" s="4">
        <v>41.07</v>
      </c>
      <c r="G129" s="4">
        <v>41.69</v>
      </c>
      <c r="H129" s="5">
        <f>G129/F129-1</f>
        <v>0.015096177258339338</v>
      </c>
      <c r="I129" s="5">
        <f>G129/E129-1</f>
        <v>0.07172236503856033</v>
      </c>
      <c r="J129" s="5">
        <v>-0.01130653266331649</v>
      </c>
      <c r="K129" s="4">
        <v>1069589245557.668</v>
      </c>
    </row>
    <row r="130" spans="1:11">
      <c r="A130" s="1" t="s">
        <v>1336</v>
      </c>
      <c r="B130" s="1" t="s">
        <v>1337</v>
      </c>
      <c r="C130" s="1" t="s">
        <v>70</v>
      </c>
      <c r="D130" s="1" t="s">
        <v>100</v>
      </c>
      <c r="E130" s="4">
        <v>8.34</v>
      </c>
      <c r="F130" s="4">
        <v>9.27</v>
      </c>
      <c r="G130" s="4">
        <v>9.16</v>
      </c>
      <c r="H130" s="5">
        <f>G130/F130-1</f>
        <v>-0.011866235167205974</v>
      </c>
      <c r="I130" s="5">
        <f>G130/E130-1</f>
        <v>0.09832134292565953</v>
      </c>
      <c r="J130" s="5">
        <v>-0.0418410462405332</v>
      </c>
      <c r="K130" s="4">
        <v>79651610308.2</v>
      </c>
    </row>
    <row r="131" spans="1:11">
      <c r="A131" s="1" t="s">
        <v>1338</v>
      </c>
      <c r="B131" s="1" t="s">
        <v>1339</v>
      </c>
      <c r="C131" s="1" t="s">
        <v>116</v>
      </c>
      <c r="D131" s="1" t="s">
        <v>223</v>
      </c>
      <c r="E131" s="4">
        <v>5.19</v>
      </c>
      <c r="F131" s="4">
        <v>5.09</v>
      </c>
      <c r="G131" s="4">
        <v>5.25</v>
      </c>
      <c r="H131" s="5">
        <f>G131/F131-1</f>
        <v>0.03143418467583503</v>
      </c>
      <c r="I131" s="5">
        <f>G131/E131-1</f>
        <v>0.01156069364161838</v>
      </c>
      <c r="J131" s="5">
        <v>-0.07414448669201512</v>
      </c>
      <c r="K131" s="4">
        <v>62844827944.5</v>
      </c>
    </row>
    <row r="132" spans="1:11">
      <c r="A132" s="1" t="s">
        <v>1340</v>
      </c>
      <c r="B132" s="1" t="s">
        <v>1341</v>
      </c>
      <c r="C132" s="1" t="s">
        <v>138</v>
      </c>
      <c r="D132" s="1" t="s">
        <v>258</v>
      </c>
      <c r="E132" s="4">
        <v>4.22</v>
      </c>
      <c r="F132" s="4">
        <v>4.26</v>
      </c>
      <c r="G132" s="4">
        <v>4.25</v>
      </c>
      <c r="H132" s="5">
        <f>G132/F132-1</f>
        <v>-0.0023474178403755097</v>
      </c>
      <c r="I132" s="5">
        <f>G132/E132-1</f>
        <v>0.007109004739336511</v>
      </c>
      <c r="J132" s="5">
        <v>-0.01847575057736717</v>
      </c>
      <c r="K132" s="4">
        <v>132873807639.75</v>
      </c>
    </row>
    <row r="133" spans="1:11">
      <c r="A133" s="1" t="s">
        <v>1342</v>
      </c>
      <c r="B133" s="1" t="s">
        <v>1343</v>
      </c>
      <c r="C133" s="1" t="s">
        <v>54</v>
      </c>
      <c r="D133" s="1" t="s">
        <v>113</v>
      </c>
      <c r="E133" s="4">
        <v>6.25</v>
      </c>
      <c r="F133" s="4">
        <v>6.47</v>
      </c>
      <c r="G133" s="4">
        <v>6.53</v>
      </c>
      <c r="H133" s="5">
        <f>G133/F133-1</f>
        <v>0.009273570324574987</v>
      </c>
      <c r="I133" s="5">
        <f>G133/E133-1</f>
        <v>0.04479999999999995</v>
      </c>
      <c r="J133" s="5">
        <v>-0.0182648658334863</v>
      </c>
      <c r="K133" s="4">
        <v>41753458457.69</v>
      </c>
    </row>
    <row r="134" spans="1:11">
      <c r="A134" s="1" t="s">
        <v>1344</v>
      </c>
      <c r="B134" s="1" t="s">
        <v>1345</v>
      </c>
      <c r="C134" s="1" t="s">
        <v>70</v>
      </c>
      <c r="D134" s="1" t="s">
        <v>100</v>
      </c>
      <c r="E134" s="4">
        <v>29.49</v>
      </c>
      <c r="F134" s="4">
        <v>28.4</v>
      </c>
      <c r="G134" s="4">
        <v>28.68</v>
      </c>
      <c r="H134" s="5">
        <f>G134/F134-1</f>
        <v>0.009859154929577452</v>
      </c>
      <c r="I134" s="5">
        <f>G134/E134-1</f>
        <v>-0.02746693794506605</v>
      </c>
      <c r="J134" s="5">
        <v>-0.07007206455057136</v>
      </c>
      <c r="K134" s="4">
        <v>63495776915.63999</v>
      </c>
    </row>
    <row r="135" spans="1:11">
      <c r="A135" s="1" t="s">
        <v>1346</v>
      </c>
      <c r="B135" s="1" t="s">
        <v>1347</v>
      </c>
      <c r="C135" s="1" t="s">
        <v>37</v>
      </c>
      <c r="D135" s="1" t="s">
        <v>38</v>
      </c>
      <c r="E135" s="4">
        <v>23.77</v>
      </c>
      <c r="F135" s="4">
        <v>23.86</v>
      </c>
      <c r="G135" s="4">
        <v>24.14</v>
      </c>
      <c r="H135" s="5">
        <f>G135/F135-1</f>
        <v>0.011735121542330251</v>
      </c>
      <c r="I135" s="5">
        <f>G135/E135-1</f>
        <v>0.015565839293226746</v>
      </c>
      <c r="J135" s="5">
        <v>-0.02614379084967322</v>
      </c>
      <c r="K135" s="4">
        <v>33107292124.68</v>
      </c>
    </row>
    <row r="136" spans="1:11">
      <c r="A136" s="1" t="s">
        <v>1348</v>
      </c>
      <c r="B136" s="1" t="s">
        <v>1349</v>
      </c>
      <c r="C136" s="1" t="s">
        <v>70</v>
      </c>
      <c r="D136" s="1" t="s">
        <v>100</v>
      </c>
      <c r="E136" s="4">
        <v>20.05</v>
      </c>
      <c r="F136" s="4">
        <v>18.83</v>
      </c>
      <c r="G136" s="4">
        <v>18.88</v>
      </c>
      <c r="H136" s="5">
        <f>G136/F136-1</f>
        <v>0.0026553372278279586</v>
      </c>
      <c r="I136" s="5">
        <f>G136/E136-1</f>
        <v>-0.05835411471321705</v>
      </c>
      <c r="J136" s="5">
        <v>-0.06334164588528679</v>
      </c>
      <c r="K136" s="4">
        <v>95396723740.48</v>
      </c>
    </row>
    <row r="137" spans="1:11">
      <c r="A137" s="1" t="s">
        <v>1350</v>
      </c>
      <c r="B137" s="1" t="s">
        <v>1351</v>
      </c>
      <c r="C137" s="1" t="s">
        <v>47</v>
      </c>
      <c r="D137" s="1" t="s">
        <v>142</v>
      </c>
      <c r="E137" s="4">
        <v>10.14</v>
      </c>
      <c r="F137" s="4">
        <v>10.34</v>
      </c>
      <c r="G137" s="4">
        <v>10.47</v>
      </c>
      <c r="H137" s="5">
        <f>G137/F137-1</f>
        <v>0.012572533849129597</v>
      </c>
      <c r="I137" s="5">
        <f>G137/E137-1</f>
        <v>0.03254437869822491</v>
      </c>
      <c r="J137" s="5">
        <v>-0.01443695861405203</v>
      </c>
      <c r="K137" s="4">
        <v>120355555466.88</v>
      </c>
    </row>
    <row r="138" spans="1:11">
      <c r="A138" s="1" t="s">
        <v>1352</v>
      </c>
      <c r="B138" s="1" t="s">
        <v>1353</v>
      </c>
      <c r="C138" s="1" t="s">
        <v>93</v>
      </c>
      <c r="D138" s="1" t="s">
        <v>93</v>
      </c>
      <c r="E138" s="4">
        <v>40.17</v>
      </c>
      <c r="F138" s="4">
        <v>39.02</v>
      </c>
      <c r="G138" s="4">
        <v>38.67</v>
      </c>
      <c r="H138" s="5">
        <f>G138/F138-1</f>
        <v>-0.008969759097898544</v>
      </c>
      <c r="I138" s="5">
        <f>G138/E138-1</f>
        <v>-0.03734129947722176</v>
      </c>
      <c r="J138" s="5">
        <v>-0.05475433879247116</v>
      </c>
      <c r="K138" s="4">
        <v>139794596110.14</v>
      </c>
    </row>
    <row r="139" spans="1:11">
      <c r="A139" s="1" t="s">
        <v>1354</v>
      </c>
      <c r="B139" s="1" t="s">
        <v>1355</v>
      </c>
      <c r="C139" s="1" t="s">
        <v>70</v>
      </c>
      <c r="D139" s="1" t="s">
        <v>243</v>
      </c>
      <c r="E139" s="4">
        <v>3.44</v>
      </c>
      <c r="F139" s="4">
        <v>3.43</v>
      </c>
      <c r="G139" s="4">
        <v>3.49</v>
      </c>
      <c r="H139" s="5">
        <f>G139/F139-1</f>
        <v>0.017492711370262315</v>
      </c>
      <c r="I139" s="5">
        <f>G139/E139-1</f>
        <v>0.014534883720930258</v>
      </c>
      <c r="J139" s="5">
        <v>-0.05277777777777781</v>
      </c>
      <c r="K139" s="4">
        <v>71156675777.3101</v>
      </c>
    </row>
    <row r="140" spans="1:11">
      <c r="A140" s="1" t="s">
        <v>1356</v>
      </c>
      <c r="B140" s="1" t="s">
        <v>1357</v>
      </c>
      <c r="C140" s="1" t="s">
        <v>70</v>
      </c>
      <c r="D140" s="1" t="s">
        <v>100</v>
      </c>
      <c r="E140" s="4">
        <v>62.1</v>
      </c>
      <c r="F140" s="4">
        <v>57.9</v>
      </c>
      <c r="G140" s="4">
        <v>57.62</v>
      </c>
      <c r="H140" s="5">
        <f>G140/F140-1</f>
        <v>-0.004835924006908465</v>
      </c>
      <c r="I140" s="5">
        <f>G140/E140-1</f>
        <v>-0.07214170692431565</v>
      </c>
      <c r="J140" s="5">
        <v>-0.07214170692431565</v>
      </c>
      <c r="K140" s="4">
        <v>68135023958.7</v>
      </c>
    </row>
    <row r="141" spans="1:11">
      <c r="A141" s="1" t="s">
        <v>1358</v>
      </c>
      <c r="B141" s="1" t="s">
        <v>1359</v>
      </c>
      <c r="C141" s="1" t="s">
        <v>70</v>
      </c>
      <c r="D141" s="1" t="s">
        <v>100</v>
      </c>
      <c r="E141" s="4">
        <v>33.68</v>
      </c>
      <c r="F141" s="4">
        <v>34.32</v>
      </c>
      <c r="G141" s="4">
        <v>37.47</v>
      </c>
      <c r="H141" s="5">
        <f>G141/F141-1</f>
        <v>0.09178321678321666</v>
      </c>
      <c r="I141" s="5">
        <f>G141/E141-1</f>
        <v>0.11252969121140133</v>
      </c>
      <c r="J141" s="5">
        <v>-0.02443933294997125</v>
      </c>
      <c r="K141" s="4">
        <v>281985029661.36</v>
      </c>
    </row>
    <row r="142" spans="1:11">
      <c r="A142" s="1" t="s">
        <v>1360</v>
      </c>
      <c r="B142" s="1" t="s">
        <v>1361</v>
      </c>
      <c r="C142" s="1" t="s">
        <v>93</v>
      </c>
      <c r="D142" s="1" t="s">
        <v>93</v>
      </c>
      <c r="E142" s="4">
        <v>38.7</v>
      </c>
      <c r="F142" s="4">
        <v>38.55</v>
      </c>
      <c r="G142" s="4">
        <v>37.92</v>
      </c>
      <c r="H142" s="5">
        <f>G142/F142-1</f>
        <v>-0.0163424124513617</v>
      </c>
      <c r="I142" s="5">
        <f>G142/E142-1</f>
        <v>-0.020155038759689936</v>
      </c>
      <c r="J142" s="5">
        <v>-0.06462752836704488</v>
      </c>
      <c r="K142" s="4">
        <v>102374371391.52</v>
      </c>
    </row>
    <row r="143" spans="1:11">
      <c r="A143" s="1" t="s">
        <v>1362</v>
      </c>
      <c r="B143" s="1" t="s">
        <v>1363</v>
      </c>
      <c r="C143" s="1" t="s">
        <v>93</v>
      </c>
      <c r="D143" s="1" t="s">
        <v>93</v>
      </c>
      <c r="E143" s="4">
        <v>42.04</v>
      </c>
      <c r="F143" s="4">
        <v>42.63</v>
      </c>
      <c r="G143" s="4">
        <v>40.18</v>
      </c>
      <c r="H143" s="5">
        <f>G143/F143-1</f>
        <v>-0.05747126436781613</v>
      </c>
      <c r="I143" s="5">
        <f>G143/E143-1</f>
        <v>-0.044243577545195034</v>
      </c>
      <c r="J143" s="5">
        <v>-0.08950827101744852</v>
      </c>
      <c r="K143" s="4">
        <v>160846033731.04</v>
      </c>
    </row>
    <row r="144" spans="1:11">
      <c r="A144" s="1" t="s">
        <v>1364</v>
      </c>
      <c r="B144" s="1" t="s">
        <v>1365</v>
      </c>
      <c r="C144" s="1" t="s">
        <v>41</v>
      </c>
      <c r="D144" s="1" t="s">
        <v>42</v>
      </c>
      <c r="E144" s="4">
        <v>132.8</v>
      </c>
      <c r="F144" s="4">
        <v>143.19</v>
      </c>
      <c r="G144" s="4">
        <v>137.5</v>
      </c>
      <c r="H144" s="5">
        <f>G144/F144-1</f>
        <v>-0.03973741183043511</v>
      </c>
      <c r="I144" s="5">
        <f>G144/E144-1</f>
        <v>0.035391566265060126</v>
      </c>
      <c r="J144" s="5">
        <v>-0.1036505867014342</v>
      </c>
      <c r="K144" s="4">
        <v>333988004625</v>
      </c>
    </row>
    <row r="145" spans="1:11">
      <c r="A145" s="1" t="s">
        <v>1366</v>
      </c>
      <c r="B145" s="1" t="s">
        <v>1367</v>
      </c>
      <c r="C145" s="1" t="s">
        <v>129</v>
      </c>
      <c r="D145" s="1" t="s">
        <v>129</v>
      </c>
      <c r="E145" s="4">
        <v>21.41</v>
      </c>
      <c r="F145" s="4">
        <v>21.75</v>
      </c>
      <c r="G145" s="4">
        <v>21.56</v>
      </c>
      <c r="H145" s="5">
        <f>G145/F145-1</f>
        <v>-0.00873563218390816</v>
      </c>
      <c r="I145" s="5">
        <f>G145/E145-1</f>
        <v>0.007006071929005042</v>
      </c>
      <c r="J145" s="5">
        <v>-0.0872142252328536</v>
      </c>
      <c r="K145" s="4">
        <v>174906273237.9276</v>
      </c>
    </row>
    <row r="146" spans="1:11">
      <c r="A146" s="1" t="s">
        <v>1368</v>
      </c>
      <c r="B146" s="1" t="s">
        <v>1369</v>
      </c>
      <c r="C146" s="1" t="s">
        <v>37</v>
      </c>
      <c r="D146" s="1" t="s">
        <v>38</v>
      </c>
      <c r="E146" s="4">
        <v>23.56</v>
      </c>
      <c r="F146" s="4">
        <v>22.28</v>
      </c>
      <c r="G146" s="4">
        <v>22.34</v>
      </c>
      <c r="H146" s="5">
        <f>G146/F146-1</f>
        <v>0.002692998204667729</v>
      </c>
      <c r="I146" s="5">
        <f>G146/E146-1</f>
        <v>-0.051782682512733436</v>
      </c>
      <c r="J146" s="5">
        <v>-0.05772495755517826</v>
      </c>
      <c r="K146" s="4">
        <v>54818046841.52804</v>
      </c>
    </row>
    <row r="147" spans="1:11">
      <c r="A147" s="1" t="s">
        <v>1370</v>
      </c>
      <c r="B147" s="1" t="s">
        <v>1371</v>
      </c>
      <c r="C147" s="1" t="s">
        <v>93</v>
      </c>
      <c r="D147" s="1" t="s">
        <v>93</v>
      </c>
      <c r="E147" s="4">
        <v>4.75</v>
      </c>
      <c r="F147" s="4">
        <v>4.93</v>
      </c>
      <c r="G147" s="4">
        <v>4.92</v>
      </c>
      <c r="H147" s="5">
        <f>G147/F147-1</f>
        <v>-0.0020283975659228792</v>
      </c>
      <c r="I147" s="5">
        <f>G147/E147-1</f>
        <v>0.03578947368421059</v>
      </c>
      <c r="J147" s="5">
        <v>-0.008196721311475419</v>
      </c>
      <c r="K147" s="4">
        <v>56499811670.28</v>
      </c>
    </row>
    <row r="148" spans="1:11">
      <c r="A148" s="1" t="s">
        <v>1372</v>
      </c>
      <c r="B148" s="1" t="s">
        <v>1373</v>
      </c>
      <c r="C148" s="1" t="s">
        <v>70</v>
      </c>
      <c r="D148" s="1" t="s">
        <v>243</v>
      </c>
      <c r="E148" s="4">
        <v>1.3</v>
      </c>
      <c r="F148" s="4">
        <v>1.3</v>
      </c>
      <c r="G148" s="4">
        <v>1.3</v>
      </c>
      <c r="H148" s="5">
        <f>G148/F148-1</f>
        <v>0.0</v>
      </c>
      <c r="I148" s="5">
        <f>G148/E148-1</f>
        <v>0.0</v>
      </c>
      <c r="J148" s="5">
        <v>-0.01515151515151514</v>
      </c>
      <c r="K148" s="4">
        <v>56213130761.56178</v>
      </c>
    </row>
    <row r="149" spans="1:11">
      <c r="A149" s="1" t="s">
        <v>1374</v>
      </c>
      <c r="B149" s="1" t="s">
        <v>1375</v>
      </c>
      <c r="C149" s="1" t="s">
        <v>70</v>
      </c>
      <c r="D149" s="1" t="s">
        <v>243</v>
      </c>
      <c r="E149" s="4">
        <v>17.42</v>
      </c>
      <c r="F149" s="4">
        <v>17.01</v>
      </c>
      <c r="G149" s="4">
        <v>16.98</v>
      </c>
      <c r="H149" s="5">
        <f>G149/F149-1</f>
        <v>-0.0017636684303351524</v>
      </c>
      <c r="I149" s="5">
        <f>G149/E149-1</f>
        <v>-0.025258323765786517</v>
      </c>
      <c r="J149" s="5">
        <v>-0.04707233065442018</v>
      </c>
      <c r="K149" s="4">
        <v>58121523543.24</v>
      </c>
    </row>
    <row r="150" spans="1:11">
      <c r="A150" s="1" t="s">
        <v>1376</v>
      </c>
      <c r="B150" s="1" t="s">
        <v>1377</v>
      </c>
      <c r="C150" s="1" t="s">
        <v>37</v>
      </c>
      <c r="D150" s="1" t="s">
        <v>38</v>
      </c>
      <c r="E150" s="4">
        <v>47.74</v>
      </c>
      <c r="F150" s="4">
        <v>45.96</v>
      </c>
      <c r="G150" s="4">
        <v>46.02</v>
      </c>
      <c r="H150" s="5">
        <f>G150/F150-1</f>
        <v>0.0013054830287206887</v>
      </c>
      <c r="I150" s="5">
        <f>G150/E150-1</f>
        <v>-0.03602848764139088</v>
      </c>
      <c r="J150" s="5">
        <v>-0.04545454545454553</v>
      </c>
      <c r="K150" s="4">
        <v>303834722770.8253</v>
      </c>
    </row>
    <row r="151" spans="1:11">
      <c r="A151" s="1" t="s">
        <v>1378</v>
      </c>
      <c r="B151" s="1" t="s">
        <v>1379</v>
      </c>
      <c r="C151" s="1" t="s">
        <v>93</v>
      </c>
      <c r="D151" s="1" t="s">
        <v>93</v>
      </c>
      <c r="E151" s="4">
        <v>73.98</v>
      </c>
      <c r="F151" s="4">
        <v>77.38</v>
      </c>
      <c r="G151" s="4">
        <v>77.66</v>
      </c>
      <c r="H151" s="5">
        <f>G151/F151-1</f>
        <v>0.0036185060739208907</v>
      </c>
      <c r="I151" s="5">
        <f>G151/E151-1</f>
        <v>0.049743173830764986</v>
      </c>
      <c r="J151" s="5">
        <v>-0.0366478728856996</v>
      </c>
      <c r="K151" s="4">
        <v>243112426475.16</v>
      </c>
    </row>
    <row r="152" spans="1:11">
      <c r="A152" s="1" t="s">
        <v>1380</v>
      </c>
      <c r="B152" s="1" t="s">
        <v>1381</v>
      </c>
      <c r="C152" s="1" t="s">
        <v>93</v>
      </c>
      <c r="D152" s="1" t="s">
        <v>93</v>
      </c>
      <c r="E152" s="4">
        <v>18.87</v>
      </c>
      <c r="F152" s="4">
        <v>19.16</v>
      </c>
      <c r="G152" s="4">
        <v>19.02</v>
      </c>
      <c r="H152" s="5">
        <f>G152/F152-1</f>
        <v>-0.007306889352818424</v>
      </c>
      <c r="I152" s="5">
        <f>G152/E152-1</f>
        <v>0.007949125596184325</v>
      </c>
      <c r="J152" s="5">
        <v>-0.06459816887080361</v>
      </c>
      <c r="K152" s="4">
        <v>133883677929.72</v>
      </c>
    </row>
    <row r="153" spans="1:11">
      <c r="A153" s="1" t="s">
        <v>1382</v>
      </c>
      <c r="B153" s="1" t="s">
        <v>1383</v>
      </c>
      <c r="C153" s="1" t="s">
        <v>93</v>
      </c>
      <c r="D153" s="1" t="s">
        <v>93</v>
      </c>
      <c r="E153" s="4">
        <v>45.86</v>
      </c>
      <c r="F153" s="4">
        <v>46.88</v>
      </c>
      <c r="G153" s="4">
        <v>45.86</v>
      </c>
      <c r="H153" s="5">
        <f>G153/F153-1</f>
        <v>-0.021757679180887446</v>
      </c>
      <c r="I153" s="5">
        <f>G153/E153-1</f>
        <v>0.0</v>
      </c>
      <c r="J153" s="5">
        <v>-0.06788617886178872</v>
      </c>
      <c r="K153" s="4">
        <v>138598343550.3203</v>
      </c>
    </row>
    <row r="154" spans="1:11">
      <c r="A154" s="1" t="s">
        <v>1384</v>
      </c>
      <c r="B154" s="1" t="s">
        <v>1385</v>
      </c>
      <c r="C154" s="1" t="s">
        <v>70</v>
      </c>
      <c r="D154" s="1" t="s">
        <v>100</v>
      </c>
      <c r="E154" s="4">
        <v>10.81</v>
      </c>
      <c r="F154" s="4">
        <v>11.34</v>
      </c>
      <c r="G154" s="4">
        <v>11.45</v>
      </c>
      <c r="H154" s="5">
        <f>G154/F154-1</f>
        <v>0.00970017636684295</v>
      </c>
      <c r="I154" s="5">
        <f>G154/E154-1</f>
        <v>0.059204440333024966</v>
      </c>
      <c r="J154" s="5">
        <v>-0.001780943900267062</v>
      </c>
      <c r="K154" s="4">
        <v>55405366413.5</v>
      </c>
    </row>
    <row r="155" spans="1:11">
      <c r="A155" s="1" t="s">
        <v>1386</v>
      </c>
      <c r="B155" s="1" t="s">
        <v>1387</v>
      </c>
      <c r="C155" s="1" t="s">
        <v>70</v>
      </c>
      <c r="D155" s="1" t="s">
        <v>100</v>
      </c>
      <c r="E155" s="4">
        <v>23.17</v>
      </c>
      <c r="F155" s="4">
        <v>22.59</v>
      </c>
      <c r="G155" s="4">
        <v>22.71</v>
      </c>
      <c r="H155" s="5">
        <f>G155/F155-1</f>
        <v>0.005312084993359889</v>
      </c>
      <c r="I155" s="5">
        <f>G155/E155-1</f>
        <v>-0.019853258523953476</v>
      </c>
      <c r="J155" s="5">
        <v>-0.03543979504696848</v>
      </c>
      <c r="K155" s="4">
        <v>182401182302.76</v>
      </c>
    </row>
    <row r="156" spans="1:11">
      <c r="A156" s="1" t="s">
        <v>1388</v>
      </c>
      <c r="B156" s="1" t="s">
        <v>1389</v>
      </c>
      <c r="C156" s="1" t="s">
        <v>47</v>
      </c>
      <c r="D156" s="1" t="s">
        <v>120</v>
      </c>
      <c r="E156" s="4">
        <v>12.48</v>
      </c>
      <c r="F156" s="4">
        <v>12.85</v>
      </c>
      <c r="G156" s="4">
        <v>13.12</v>
      </c>
      <c r="H156" s="5">
        <f>G156/F156-1</f>
        <v>0.021011673151750898</v>
      </c>
      <c r="I156" s="5">
        <f>G156/E156-1</f>
        <v>0.0512820512820511</v>
      </c>
      <c r="J156" s="5">
        <v>-0.02700617570345432</v>
      </c>
      <c r="K156" s="4">
        <v>71944297045.12</v>
      </c>
    </row>
    <row r="157" spans="1:11">
      <c r="A157" s="1" t="s">
        <v>1390</v>
      </c>
      <c r="B157" s="1" t="s">
        <v>1391</v>
      </c>
      <c r="C157" s="1" t="s">
        <v>93</v>
      </c>
      <c r="D157" s="1" t="s">
        <v>93</v>
      </c>
      <c r="E157" s="4">
        <v>20.77</v>
      </c>
      <c r="F157" s="4">
        <v>20.68</v>
      </c>
      <c r="G157" s="4">
        <v>20.83</v>
      </c>
      <c r="H157" s="5">
        <f>G157/F157-1</f>
        <v>0.007253384912959238</v>
      </c>
      <c r="I157" s="5">
        <f>G157/E157-1</f>
        <v>0.00288878189696673</v>
      </c>
      <c r="J157" s="5">
        <v>-0.05181109582760202</v>
      </c>
      <c r="K157" s="4">
        <v>57281313002.44999</v>
      </c>
    </row>
    <row r="158" spans="1:11">
      <c r="A158" s="1" t="s">
        <v>1392</v>
      </c>
      <c r="B158" s="1" t="s">
        <v>1393</v>
      </c>
      <c r="C158" s="1" t="s">
        <v>37</v>
      </c>
      <c r="D158" s="1" t="s">
        <v>38</v>
      </c>
      <c r="E158" s="4">
        <v>124.1</v>
      </c>
      <c r="F158" s="4">
        <v>122.46</v>
      </c>
      <c r="G158" s="4">
        <v>123.75</v>
      </c>
      <c r="H158" s="5">
        <f>G158/F158-1</f>
        <v>0.010534051935325861</v>
      </c>
      <c r="I158" s="5">
        <f>G158/E158-1</f>
        <v>-0.0028203062046735505</v>
      </c>
      <c r="J158" s="5">
        <v>-0.04136577708006284</v>
      </c>
      <c r="K158" s="4">
        <v>74660504737.5</v>
      </c>
    </row>
    <row r="159" spans="1:11">
      <c r="A159" s="1" t="s">
        <v>1394</v>
      </c>
      <c r="B159" s="1" t="s">
        <v>1395</v>
      </c>
      <c r="C159" s="1" t="s">
        <v>41</v>
      </c>
      <c r="D159" s="1" t="s">
        <v>63</v>
      </c>
      <c r="E159" s="4">
        <v>12.43</v>
      </c>
      <c r="F159" s="4">
        <v>11.28</v>
      </c>
      <c r="G159" s="4">
        <v>11.39</v>
      </c>
      <c r="H159" s="5">
        <f>G159/F159-1</f>
        <v>0.009751773049645474</v>
      </c>
      <c r="I159" s="5">
        <f>G159/E159-1</f>
        <v>-0.0836685438455349</v>
      </c>
      <c r="J159" s="5">
        <v>-0.09251810136765892</v>
      </c>
      <c r="K159" s="4">
        <v>51277676806.6</v>
      </c>
    </row>
    <row r="160" spans="1:11">
      <c r="A160" s="1" t="s">
        <v>1396</v>
      </c>
      <c r="B160" s="1" t="s">
        <v>1397</v>
      </c>
      <c r="C160" s="1" t="s">
        <v>41</v>
      </c>
      <c r="D160" s="1" t="s">
        <v>63</v>
      </c>
      <c r="E160" s="4">
        <v>35.89</v>
      </c>
      <c r="F160" s="4">
        <v>31.23</v>
      </c>
      <c r="G160" s="4">
        <v>30.34</v>
      </c>
      <c r="H160" s="5">
        <f>G160/F160-1</f>
        <v>-0.028498238872878612</v>
      </c>
      <c r="I160" s="5">
        <f>G160/E160-1</f>
        <v>-0.15463917525773196</v>
      </c>
      <c r="J160" s="5">
        <v>-0.154639175257732</v>
      </c>
      <c r="K160" s="4">
        <v>50487939777.3</v>
      </c>
    </row>
    <row r="161" spans="1:11">
      <c r="A161" s="1" t="s">
        <v>1398</v>
      </c>
      <c r="B161" s="1" t="s">
        <v>1399</v>
      </c>
      <c r="C161" s="1" t="s">
        <v>70</v>
      </c>
      <c r="D161" s="1" t="s">
        <v>100</v>
      </c>
      <c r="E161" s="4">
        <v>31.93</v>
      </c>
      <c r="F161" s="4">
        <v>32.68</v>
      </c>
      <c r="G161" s="4">
        <v>32.98</v>
      </c>
      <c r="H161" s="5">
        <f>G161/F161-1</f>
        <v>0.009179926560587415</v>
      </c>
      <c r="I161" s="5">
        <f>G161/E161-1</f>
        <v>0.03288443470090807</v>
      </c>
      <c r="J161" s="5">
        <v>-0.02891053416274769</v>
      </c>
      <c r="K161" s="4">
        <v>74806765216.64</v>
      </c>
    </row>
    <row r="162" spans="1:11">
      <c r="A162" s="1" t="s">
        <v>1400</v>
      </c>
      <c r="B162" s="1" t="s">
        <v>1401</v>
      </c>
      <c r="C162" s="1" t="s">
        <v>93</v>
      </c>
      <c r="D162" s="1" t="s">
        <v>93</v>
      </c>
      <c r="E162" s="4">
        <v>27.18</v>
      </c>
      <c r="F162" s="4">
        <v>25.69</v>
      </c>
      <c r="G162" s="4">
        <v>25.6</v>
      </c>
      <c r="H162" s="5">
        <f>G162/F162-1</f>
        <v>-0.0035033086804203695</v>
      </c>
      <c r="I162" s="5">
        <f>G162/E162-1</f>
        <v>-0.058130978660779875</v>
      </c>
      <c r="J162" s="5">
        <v>-0.09391049156272935</v>
      </c>
      <c r="K162" s="4">
        <v>124091201638.4</v>
      </c>
    </row>
    <row r="163" spans="1:11">
      <c r="A163" s="1" t="s">
        <v>1402</v>
      </c>
      <c r="B163" s="1" t="s">
        <v>1403</v>
      </c>
      <c r="C163" s="1" t="s">
        <v>116</v>
      </c>
      <c r="D163" s="1" t="s">
        <v>223</v>
      </c>
      <c r="E163" s="4">
        <v>2.81</v>
      </c>
      <c r="F163" s="4">
        <v>2.74</v>
      </c>
      <c r="G163" s="4">
        <v>2.81</v>
      </c>
      <c r="H163" s="5">
        <f>G163/F163-1</f>
        <v>0.025547445255474477</v>
      </c>
      <c r="I163" s="5">
        <f>G163/E163-1</f>
        <v>0.0</v>
      </c>
      <c r="J163" s="5">
        <v>-0.03521126760563364</v>
      </c>
      <c r="K163" s="4">
        <v>32105119981.62</v>
      </c>
    </row>
    <row r="164" spans="1:11">
      <c r="A164" s="1" t="s">
        <v>1404</v>
      </c>
      <c r="B164" s="1" t="s">
        <v>1405</v>
      </c>
      <c r="C164" s="1" t="s">
        <v>66</v>
      </c>
      <c r="D164" s="1" t="s">
        <v>67</v>
      </c>
      <c r="E164" s="4">
        <v>1272.83</v>
      </c>
      <c r="F164" s="4">
        <v>1298.88</v>
      </c>
      <c r="G164" s="4">
        <v>1330</v>
      </c>
      <c r="H164" s="5">
        <f>G164/F164-1</f>
        <v>0.023959103227395806</v>
      </c>
      <c r="I164" s="5">
        <f>G164/E164-1</f>
        <v>0.04491566037884098</v>
      </c>
      <c r="J164" s="5">
        <v>-0.009473732619993069</v>
      </c>
      <c r="K164" s="4">
        <v>1662608529330</v>
      </c>
    </row>
    <row r="165" spans="1:11">
      <c r="A165" s="1" t="s">
        <v>1406</v>
      </c>
      <c r="B165" s="1" t="s">
        <v>1407</v>
      </c>
      <c r="C165" s="1" t="s">
        <v>70</v>
      </c>
      <c r="D165" s="1" t="s">
        <v>100</v>
      </c>
      <c r="E165" s="4">
        <v>33.43</v>
      </c>
      <c r="F165" s="4">
        <v>32.91</v>
      </c>
      <c r="G165" s="4">
        <v>31.7</v>
      </c>
      <c r="H165" s="5">
        <f>G165/F165-1</f>
        <v>-0.036766940139775106</v>
      </c>
      <c r="I165" s="5">
        <f>G165/E165-1</f>
        <v>-0.05174992521687105</v>
      </c>
      <c r="J165" s="5">
        <v>-0.1213968957871396</v>
      </c>
      <c r="K165" s="4">
        <v>108190503968.4</v>
      </c>
    </row>
    <row r="166" spans="1:11">
      <c r="A166" s="1" t="s">
        <v>1408</v>
      </c>
      <c r="B166" s="1" t="s">
        <v>1409</v>
      </c>
      <c r="C166" s="1" t="s">
        <v>93</v>
      </c>
      <c r="D166" s="1" t="s">
        <v>93</v>
      </c>
      <c r="E166" s="4">
        <v>37.05</v>
      </c>
      <c r="F166" s="4">
        <v>37.5</v>
      </c>
      <c r="G166" s="4">
        <v>37.9</v>
      </c>
      <c r="H166" s="5">
        <f>G166/F166-1</f>
        <v>0.010666666666666602</v>
      </c>
      <c r="I166" s="5">
        <f>G166/E166-1</f>
        <v>0.02294197031039147</v>
      </c>
      <c r="J166" s="5">
        <v>-0.06909581646423735</v>
      </c>
      <c r="K166" s="4">
        <v>159764080899.2527</v>
      </c>
    </row>
    <row r="167" spans="1:11">
      <c r="A167" s="1" t="s">
        <v>1410</v>
      </c>
      <c r="B167" s="1" t="s">
        <v>1411</v>
      </c>
      <c r="C167" s="1" t="s">
        <v>93</v>
      </c>
      <c r="D167" s="1" t="s">
        <v>93</v>
      </c>
      <c r="E167" s="4">
        <v>55.58</v>
      </c>
      <c r="F167" s="4">
        <v>50.63</v>
      </c>
      <c r="G167" s="4">
        <v>48.79</v>
      </c>
      <c r="H167" s="5">
        <f>G167/F167-1</f>
        <v>-0.036342089670156064</v>
      </c>
      <c r="I167" s="5">
        <f>G167/E167-1</f>
        <v>-0.12216624685138533</v>
      </c>
      <c r="J167" s="5">
        <v>-0.1221662468513853</v>
      </c>
      <c r="K167" s="4">
        <v>77458312450.54001</v>
      </c>
    </row>
    <row r="168" spans="1:11">
      <c r="A168" s="1" t="s">
        <v>1412</v>
      </c>
      <c r="B168" s="1" t="s">
        <v>1413</v>
      </c>
      <c r="C168" s="1" t="s">
        <v>41</v>
      </c>
      <c r="D168" s="1" t="s">
        <v>58</v>
      </c>
      <c r="E168" s="4">
        <v>21.31</v>
      </c>
      <c r="F168" s="4">
        <v>21.5</v>
      </c>
      <c r="G168" s="4">
        <v>22.03</v>
      </c>
      <c r="H168" s="5">
        <f>G168/F168-1</f>
        <v>0.02465116279069779</v>
      </c>
      <c r="I168" s="5">
        <f>G168/E168-1</f>
        <v>0.03378695448146418</v>
      </c>
      <c r="J168" s="5">
        <v>-0.03196754226653842</v>
      </c>
      <c r="K168" s="4">
        <v>41717064162.26</v>
      </c>
    </row>
    <row r="169" spans="1:11">
      <c r="A169" s="1" t="s">
        <v>1414</v>
      </c>
      <c r="B169" s="1" t="s">
        <v>1415</v>
      </c>
      <c r="C169" s="1" t="s">
        <v>41</v>
      </c>
      <c r="D169" s="1" t="s">
        <v>63</v>
      </c>
      <c r="E169" s="4">
        <v>78.56999999999999</v>
      </c>
      <c r="F169" s="4">
        <v>71.27</v>
      </c>
      <c r="G169" s="4">
        <v>67.36</v>
      </c>
      <c r="H169" s="5">
        <f>G169/F169-1</f>
        <v>-0.054861793180861484</v>
      </c>
      <c r="I169" s="5">
        <f>G169/E169-1</f>
        <v>-0.14267532136947936</v>
      </c>
      <c r="J169" s="5">
        <v>-0.1426753213694794</v>
      </c>
      <c r="K169" s="4">
        <v>120534965435.2</v>
      </c>
    </row>
    <row r="170" spans="1:11">
      <c r="A170" s="1" t="s">
        <v>1416</v>
      </c>
      <c r="B170" s="1" t="s">
        <v>1417</v>
      </c>
      <c r="C170" s="1" t="s">
        <v>93</v>
      </c>
      <c r="D170" s="1" t="s">
        <v>93</v>
      </c>
      <c r="E170" s="4">
        <v>17.41</v>
      </c>
      <c r="F170" s="4">
        <v>17.71</v>
      </c>
      <c r="G170" s="4">
        <v>17.88</v>
      </c>
      <c r="H170" s="5">
        <f>G170/F170-1</f>
        <v>0.00959909655561808</v>
      </c>
      <c r="I170" s="5">
        <f>G170/E170-1</f>
        <v>0.026995979322228525</v>
      </c>
      <c r="J170" s="5">
        <v>-0.04331140350877194</v>
      </c>
      <c r="K170" s="4">
        <v>89473569756.82368</v>
      </c>
    </row>
    <row r="171" spans="1:11">
      <c r="A171" s="1" t="s">
        <v>1418</v>
      </c>
      <c r="B171" s="1" t="s">
        <v>1419</v>
      </c>
      <c r="C171" s="1" t="s">
        <v>41</v>
      </c>
      <c r="D171" s="1" t="s">
        <v>58</v>
      </c>
      <c r="E171" s="4">
        <v>10.75</v>
      </c>
      <c r="F171" s="4">
        <v>9.92</v>
      </c>
      <c r="G171" s="4">
        <v>10.19</v>
      </c>
      <c r="H171" s="5">
        <f>G171/F171-1</f>
        <v>0.027217741935483764</v>
      </c>
      <c r="I171" s="5">
        <f>G171/E171-1</f>
        <v>-0.052093023255814</v>
      </c>
      <c r="J171" s="5">
        <v>-0.07720930232558143</v>
      </c>
      <c r="K171" s="4">
        <v>34819203597.71</v>
      </c>
    </row>
    <row r="172" spans="1:11">
      <c r="A172" s="1" t="s">
        <v>1420</v>
      </c>
      <c r="B172" s="1" t="s">
        <v>1421</v>
      </c>
      <c r="C172" s="1" t="s">
        <v>66</v>
      </c>
      <c r="D172" s="1" t="s">
        <v>67</v>
      </c>
      <c r="E172" s="4">
        <v>50.82</v>
      </c>
      <c r="F172" s="4">
        <v>50.74</v>
      </c>
      <c r="G172" s="4">
        <v>51.49</v>
      </c>
      <c r="H172" s="5">
        <f>G172/F172-1</f>
        <v>0.014781237682301995</v>
      </c>
      <c r="I172" s="5">
        <f>G172/E172-1</f>
        <v>0.01318378591105862</v>
      </c>
      <c r="J172" s="5">
        <v>-0.01901435778036475</v>
      </c>
      <c r="K172" s="4">
        <v>59213421545.70879</v>
      </c>
    </row>
    <row r="173" spans="1:11">
      <c r="A173" s="1" t="s">
        <v>1422</v>
      </c>
      <c r="B173" s="1" t="s">
        <v>1423</v>
      </c>
      <c r="C173" s="1" t="s">
        <v>47</v>
      </c>
      <c r="D173" s="1" t="s">
        <v>142</v>
      </c>
      <c r="E173" s="4">
        <v>56.76</v>
      </c>
      <c r="F173" s="4">
        <v>57.01</v>
      </c>
      <c r="G173" s="4">
        <v>57.33</v>
      </c>
      <c r="H173" s="5">
        <f>G173/F173-1</f>
        <v>0.005613050342045289</v>
      </c>
      <c r="I173" s="5">
        <f>G173/E173-1</f>
        <v>0.01004228329809731</v>
      </c>
      <c r="J173" s="5">
        <v>-0.02558337965701352</v>
      </c>
      <c r="K173" s="4">
        <v>144086374966.6487</v>
      </c>
    </row>
    <row r="174" spans="1:11">
      <c r="A174" s="1" t="s">
        <v>1424</v>
      </c>
      <c r="B174" s="1" t="s">
        <v>1425</v>
      </c>
      <c r="C174" s="1" t="s">
        <v>76</v>
      </c>
      <c r="D174" s="1" t="s">
        <v>76</v>
      </c>
      <c r="E174" s="4">
        <v>15.25</v>
      </c>
      <c r="F174" s="4">
        <v>15.77</v>
      </c>
      <c r="G174" s="4">
        <v>15.76</v>
      </c>
      <c r="H174" s="5">
        <f>G174/F174-1</f>
        <v>-0.0006341154090043766</v>
      </c>
      <c r="I174" s="5">
        <f>G174/E174-1</f>
        <v>0.03344262295081957</v>
      </c>
      <c r="J174" s="5">
        <v>-0.01912045889101333</v>
      </c>
      <c r="K174" s="4">
        <v>76823803609.28</v>
      </c>
    </row>
    <row r="175" spans="1:11">
      <c r="A175" s="1" t="s">
        <v>1426</v>
      </c>
      <c r="B175" s="1" t="s">
        <v>1427</v>
      </c>
      <c r="C175" s="1" t="s">
        <v>47</v>
      </c>
      <c r="D175" s="1" t="s">
        <v>331</v>
      </c>
      <c r="E175" s="4">
        <v>20.86</v>
      </c>
      <c r="F175" s="4">
        <v>21.82</v>
      </c>
      <c r="G175" s="4">
        <v>22</v>
      </c>
      <c r="H175" s="5">
        <f>G175/F175-1</f>
        <v>0.008249312557286892</v>
      </c>
      <c r="I175" s="5">
        <f>G175/E175-1</f>
        <v>0.05465004793863848</v>
      </c>
      <c r="J175" s="5">
        <v>-0.005181347150259086</v>
      </c>
      <c r="K175" s="4">
        <v>192600808855.5738</v>
      </c>
    </row>
    <row r="176" spans="1:11">
      <c r="A176" s="1" t="s">
        <v>1428</v>
      </c>
      <c r="B176" s="1" t="s">
        <v>1429</v>
      </c>
      <c r="C176" s="1" t="s">
        <v>47</v>
      </c>
      <c r="D176" s="1" t="s">
        <v>142</v>
      </c>
      <c r="E176" s="4">
        <v>15.26</v>
      </c>
      <c r="F176" s="4">
        <v>15.55</v>
      </c>
      <c r="G176" s="4">
        <v>15.58</v>
      </c>
      <c r="H176" s="5">
        <f>G176/F176-1</f>
        <v>0.0019292604501608412</v>
      </c>
      <c r="I176" s="5">
        <f>G176/E176-1</f>
        <v>0.02096985583224109</v>
      </c>
      <c r="J176" s="5">
        <v>-0.01208653077616784</v>
      </c>
      <c r="K176" s="4">
        <v>49119439670.72001</v>
      </c>
    </row>
    <row r="177" spans="1:11">
      <c r="A177" s="1" t="s">
        <v>1430</v>
      </c>
      <c r="B177" s="1" t="s">
        <v>1431</v>
      </c>
      <c r="C177" s="1" t="s">
        <v>70</v>
      </c>
      <c r="D177" s="1" t="s">
        <v>100</v>
      </c>
      <c r="E177" s="4">
        <v>44.05</v>
      </c>
      <c r="F177" s="4">
        <v>48.02</v>
      </c>
      <c r="G177" s="4">
        <v>48.26</v>
      </c>
      <c r="H177" s="5">
        <f>G177/F177-1</f>
        <v>0.00499791753436063</v>
      </c>
      <c r="I177" s="5">
        <f>G177/E177-1</f>
        <v>0.09557321225879689</v>
      </c>
      <c r="J177" s="5">
        <v>-0.01642254771415896</v>
      </c>
      <c r="K177" s="4">
        <v>136813694340.06</v>
      </c>
    </row>
    <row r="178" spans="1:11">
      <c r="A178" s="1" t="s">
        <v>1432</v>
      </c>
      <c r="B178" s="1" t="s">
        <v>1433</v>
      </c>
      <c r="C178" s="1" t="s">
        <v>76</v>
      </c>
      <c r="D178" s="1" t="s">
        <v>76</v>
      </c>
      <c r="E178" s="4">
        <v>5.11</v>
      </c>
      <c r="F178" s="4">
        <v>5.4</v>
      </c>
      <c r="G178" s="4">
        <v>5.37</v>
      </c>
      <c r="H178" s="5">
        <f>G178/F178-1</f>
        <v>-0.005555555555555647</v>
      </c>
      <c r="I178" s="5">
        <f>G178/E178-1</f>
        <v>0.05088062622309186</v>
      </c>
      <c r="J178" s="5">
        <v>-0.009560229445506829</v>
      </c>
      <c r="K178" s="4">
        <v>95777274470.34001</v>
      </c>
    </row>
    <row r="179" spans="1:11">
      <c r="A179" s="1" t="s">
        <v>1434</v>
      </c>
      <c r="B179" s="1" t="s">
        <v>1435</v>
      </c>
      <c r="C179" s="1" t="s">
        <v>76</v>
      </c>
      <c r="D179" s="1" t="s">
        <v>76</v>
      </c>
      <c r="E179" s="4">
        <v>17.51</v>
      </c>
      <c r="F179" s="4">
        <v>19.19</v>
      </c>
      <c r="G179" s="4">
        <v>19.26</v>
      </c>
      <c r="H179" s="5">
        <f>G179/F179-1</f>
        <v>0.0036477331943720603</v>
      </c>
      <c r="I179" s="5">
        <f>G179/E179-1</f>
        <v>0.09994288977727006</v>
      </c>
      <c r="J179" s="5">
        <v>-0.02351623740201558</v>
      </c>
      <c r="K179" s="4">
        <v>59613265160.82</v>
      </c>
    </row>
    <row r="180" spans="1:11">
      <c r="A180" s="1" t="s">
        <v>1436</v>
      </c>
      <c r="B180" s="1" t="s">
        <v>1437</v>
      </c>
      <c r="C180" s="1" t="s">
        <v>66</v>
      </c>
      <c r="D180" s="1" t="s">
        <v>67</v>
      </c>
      <c r="E180" s="4">
        <v>116.55</v>
      </c>
      <c r="F180" s="4">
        <v>116.96</v>
      </c>
      <c r="G180" s="4">
        <v>122.56</v>
      </c>
      <c r="H180" s="5">
        <f>G180/F180-1</f>
        <v>0.04787961696306442</v>
      </c>
      <c r="I180" s="5">
        <f>G180/E180-1</f>
        <v>0.051565851565851695</v>
      </c>
      <c r="J180" s="5">
        <v>-0.03074499233646366</v>
      </c>
      <c r="K180" s="4">
        <v>149518815048.32</v>
      </c>
    </row>
    <row r="181" spans="1:11">
      <c r="A181" s="1" t="s">
        <v>1438</v>
      </c>
      <c r="B181" s="1" t="s">
        <v>1439</v>
      </c>
      <c r="C181" s="1" t="s">
        <v>41</v>
      </c>
      <c r="D181" s="1" t="s">
        <v>58</v>
      </c>
      <c r="E181" s="4">
        <v>17.35</v>
      </c>
      <c r="F181" s="4">
        <v>17.27</v>
      </c>
      <c r="G181" s="4">
        <v>17.41</v>
      </c>
      <c r="H181" s="5">
        <f>G181/F181-1</f>
        <v>0.00810654313839021</v>
      </c>
      <c r="I181" s="5">
        <f>G181/E181-1</f>
        <v>0.0034582132564839885</v>
      </c>
      <c r="J181" s="5">
        <v>-0.02759010262201389</v>
      </c>
      <c r="K181" s="4">
        <v>41272156060.85957</v>
      </c>
    </row>
    <row r="182" spans="1:11">
      <c r="A182" s="1" t="s">
        <v>1440</v>
      </c>
      <c r="B182" s="1" t="s">
        <v>1441</v>
      </c>
      <c r="C182" s="1" t="s">
        <v>70</v>
      </c>
      <c r="D182" s="1" t="s">
        <v>100</v>
      </c>
      <c r="E182" s="4">
        <v>26.23</v>
      </c>
      <c r="F182" s="4">
        <v>24.58</v>
      </c>
      <c r="G182" s="4">
        <v>25.07</v>
      </c>
      <c r="H182" s="5">
        <f>G182/F182-1</f>
        <v>0.01993490642799034</v>
      </c>
      <c r="I182" s="5">
        <f>G182/E182-1</f>
        <v>-0.044224170796797524</v>
      </c>
      <c r="J182" s="5">
        <v>-0.06404879908501715</v>
      </c>
      <c r="K182" s="4">
        <v>83461580709.54573</v>
      </c>
    </row>
    <row r="183" spans="1:11">
      <c r="A183" s="1" t="s">
        <v>1442</v>
      </c>
      <c r="B183" s="1" t="s">
        <v>1443</v>
      </c>
      <c r="C183" s="1" t="s">
        <v>76</v>
      </c>
      <c r="D183" s="1" t="s">
        <v>76</v>
      </c>
      <c r="E183" s="4">
        <v>13.76</v>
      </c>
      <c r="F183" s="4">
        <v>14.24</v>
      </c>
      <c r="G183" s="4">
        <v>14.25</v>
      </c>
      <c r="H183" s="5">
        <f>G183/F183-1</f>
        <v>0.000702247191011196</v>
      </c>
      <c r="I183" s="5">
        <f>G183/E183-1</f>
        <v>0.03561046511627919</v>
      </c>
      <c r="J183" s="5">
        <v>-0.02918149466192177</v>
      </c>
      <c r="K183" s="4">
        <v>114064043233.5</v>
      </c>
    </row>
    <row r="184" spans="1:11">
      <c r="A184" s="1" t="s">
        <v>1444</v>
      </c>
      <c r="B184" s="1" t="s">
        <v>1445</v>
      </c>
      <c r="C184" s="1" t="s">
        <v>66</v>
      </c>
      <c r="D184" s="1" t="s">
        <v>67</v>
      </c>
      <c r="E184" s="4">
        <v>25.4</v>
      </c>
      <c r="F184" s="4">
        <v>26.56</v>
      </c>
      <c r="G184" s="4">
        <v>26.86</v>
      </c>
      <c r="H184" s="5">
        <f>G184/F184-1</f>
        <v>0.011295180722891596</v>
      </c>
      <c r="I184" s="5">
        <f>G184/E184-1</f>
        <v>0.05748031496063</v>
      </c>
      <c r="J184" s="5">
        <v>-0.01340282948622484</v>
      </c>
      <c r="K184" s="4">
        <v>169899187515.62</v>
      </c>
    </row>
    <row r="185" spans="1:11">
      <c r="A185" s="1" t="s">
        <v>1446</v>
      </c>
      <c r="B185" s="1" t="s">
        <v>1447</v>
      </c>
      <c r="C185" s="1" t="s">
        <v>70</v>
      </c>
      <c r="D185" s="1" t="s">
        <v>100</v>
      </c>
      <c r="E185" s="4">
        <v>36.32</v>
      </c>
      <c r="F185" s="4">
        <v>39.16</v>
      </c>
      <c r="G185" s="4">
        <v>40.04</v>
      </c>
      <c r="H185" s="5">
        <f>G185/F185-1</f>
        <v>0.022471910112359605</v>
      </c>
      <c r="I185" s="5">
        <f>G185/E185-1</f>
        <v>0.10242290748898686</v>
      </c>
      <c r="J185" s="5">
        <v>-0.008743169398907069</v>
      </c>
      <c r="K185" s="4">
        <v>106730393289.52</v>
      </c>
    </row>
    <row r="186" spans="1:11">
      <c r="A186" s="1" t="s">
        <v>1448</v>
      </c>
      <c r="B186" s="1" t="s">
        <v>1449</v>
      </c>
      <c r="C186" s="1" t="s">
        <v>76</v>
      </c>
      <c r="D186" s="1" t="s">
        <v>76</v>
      </c>
      <c r="E186" s="4">
        <v>27.96</v>
      </c>
      <c r="F186" s="4">
        <v>28.44</v>
      </c>
      <c r="G186" s="4">
        <v>28.42</v>
      </c>
      <c r="H186" s="5">
        <f>G186/F186-1</f>
        <v>-0.0007032348804500987</v>
      </c>
      <c r="I186" s="5">
        <f>G186/E186-1</f>
        <v>0.01645207439198848</v>
      </c>
      <c r="J186" s="5">
        <v>-0.01044568245125344</v>
      </c>
      <c r="K186" s="4">
        <v>695386747488.72</v>
      </c>
    </row>
    <row r="187" spans="1:11">
      <c r="A187" s="1" t="s">
        <v>1450</v>
      </c>
      <c r="B187" s="1" t="s">
        <v>1451</v>
      </c>
      <c r="C187" s="1" t="s">
        <v>76</v>
      </c>
      <c r="D187" s="1" t="s">
        <v>76</v>
      </c>
      <c r="E187" s="4">
        <v>3.69</v>
      </c>
      <c r="F187" s="4">
        <v>3.67</v>
      </c>
      <c r="G187" s="4">
        <v>3.68</v>
      </c>
      <c r="H187" s="5">
        <f>G187/F187-1</f>
        <v>0.0027247956403271267</v>
      </c>
      <c r="I187" s="5">
        <f>G187/E187-1</f>
        <v>-0.0027100271002709064</v>
      </c>
      <c r="J187" s="5">
        <v>-0.01871657754010703</v>
      </c>
      <c r="K187" s="4">
        <v>105202552522.56</v>
      </c>
    </row>
    <row r="188" spans="1:11">
      <c r="A188" s="1" t="s">
        <v>1452</v>
      </c>
      <c r="B188" s="1" t="s">
        <v>1453</v>
      </c>
      <c r="C188" s="1" t="s">
        <v>54</v>
      </c>
      <c r="D188" s="1" t="s">
        <v>113</v>
      </c>
      <c r="E188" s="4">
        <v>5.54</v>
      </c>
      <c r="F188" s="4">
        <v>5.64</v>
      </c>
      <c r="G188" s="4">
        <v>5.67</v>
      </c>
      <c r="H188" s="5">
        <f>G188/F188-1</f>
        <v>0.005319148936170359</v>
      </c>
      <c r="I188" s="5">
        <f>G188/E188-1</f>
        <v>0.023465703971119023</v>
      </c>
      <c r="J188" s="5">
        <v>-0.03103451462336193</v>
      </c>
      <c r="K188" s="4">
        <v>44896993447.32</v>
      </c>
    </row>
    <row r="189" spans="1:11">
      <c r="A189" s="1" t="s">
        <v>1454</v>
      </c>
      <c r="B189" s="1" t="s">
        <v>1455</v>
      </c>
      <c r="C189" s="1" t="s">
        <v>54</v>
      </c>
      <c r="D189" s="1" t="s">
        <v>165</v>
      </c>
      <c r="E189" s="4">
        <v>11.94</v>
      </c>
      <c r="F189" s="4">
        <v>12.12</v>
      </c>
      <c r="G189" s="4">
        <v>12.28</v>
      </c>
      <c r="H189" s="5">
        <f>G189/F189-1</f>
        <v>0.013201320132013139</v>
      </c>
      <c r="I189" s="5">
        <f>G189/E189-1</f>
        <v>0.028475711892797406</v>
      </c>
      <c r="J189" s="5">
        <v>-0.01383238099110606</v>
      </c>
      <c r="K189" s="4">
        <v>225354264405.64</v>
      </c>
    </row>
    <row r="190" spans="1:11">
      <c r="A190" s="1" t="s">
        <v>1456</v>
      </c>
      <c r="B190" s="1" t="s">
        <v>1457</v>
      </c>
      <c r="C190" s="1" t="s">
        <v>54</v>
      </c>
      <c r="D190" s="1" t="s">
        <v>165</v>
      </c>
      <c r="E190" s="4">
        <v>16.63</v>
      </c>
      <c r="F190" s="4">
        <v>17.13</v>
      </c>
      <c r="G190" s="4">
        <v>17.25</v>
      </c>
      <c r="H190" s="5">
        <f>G190/F190-1</f>
        <v>0.00700525394045548</v>
      </c>
      <c r="I190" s="5">
        <f>G190/E190-1</f>
        <v>0.03728202044497908</v>
      </c>
      <c r="J190" s="5">
        <v>-0.01367419738406661</v>
      </c>
      <c r="K190" s="4">
        <v>125045293953</v>
      </c>
    </row>
    <row r="191" spans="1:11">
      <c r="A191" s="1" t="s">
        <v>1458</v>
      </c>
      <c r="B191" s="1" t="s">
        <v>1459</v>
      </c>
      <c r="C191" s="1" t="s">
        <v>76</v>
      </c>
      <c r="D191" s="1" t="s">
        <v>76</v>
      </c>
      <c r="E191" s="4">
        <v>3.93</v>
      </c>
      <c r="F191" s="4">
        <v>3.89</v>
      </c>
      <c r="G191" s="4">
        <v>3.91</v>
      </c>
      <c r="H191" s="5">
        <f>G191/F191-1</f>
        <v>0.005141388174807249</v>
      </c>
      <c r="I191" s="5">
        <f>G191/E191-1</f>
        <v>-0.0050890585241730735</v>
      </c>
      <c r="J191" s="5">
        <v>-0.02749999999999997</v>
      </c>
      <c r="K191" s="4">
        <v>163102857141.74</v>
      </c>
    </row>
    <row r="192" spans="1:11">
      <c r="A192" s="1" t="s">
        <v>1460</v>
      </c>
      <c r="B192" s="1" t="s">
        <v>1461</v>
      </c>
      <c r="C192" s="1" t="s">
        <v>129</v>
      </c>
      <c r="D192" s="1" t="s">
        <v>129</v>
      </c>
      <c r="E192" s="4">
        <v>33.86</v>
      </c>
      <c r="F192" s="4">
        <v>33.43</v>
      </c>
      <c r="G192" s="4">
        <v>33.41</v>
      </c>
      <c r="H192" s="5">
        <f>G192/F192-1</f>
        <v>-0.0005982650314090288</v>
      </c>
      <c r="I192" s="5">
        <f>G192/E192-1</f>
        <v>-0.013290017720023695</v>
      </c>
      <c r="J192" s="5">
        <v>-0.03745318352059934</v>
      </c>
      <c r="K192" s="4">
        <v>1054942529846.895</v>
      </c>
    </row>
    <row r="193" spans="1:11">
      <c r="A193" s="1" t="s">
        <v>1462</v>
      </c>
      <c r="B193" s="1" t="s">
        <v>1463</v>
      </c>
      <c r="C193" s="1" t="s">
        <v>138</v>
      </c>
      <c r="D193" s="1" t="s">
        <v>258</v>
      </c>
      <c r="E193" s="4">
        <v>96.25</v>
      </c>
      <c r="F193" s="4">
        <v>100.53</v>
      </c>
      <c r="G193" s="4">
        <v>100.3</v>
      </c>
      <c r="H193" s="5">
        <f>G193/F193-1</f>
        <v>-0.0022878742663882123</v>
      </c>
      <c r="I193" s="5">
        <f>G193/E193-1</f>
        <v>0.04207792207792216</v>
      </c>
      <c r="J193" s="5">
        <v>-0.01011531458628367</v>
      </c>
      <c r="K193" s="4">
        <v>1507305967640.759</v>
      </c>
    </row>
    <row r="194" spans="1:11">
      <c r="A194" s="1" t="s">
        <v>1464</v>
      </c>
      <c r="B194" s="1" t="s">
        <v>1465</v>
      </c>
      <c r="C194" s="1" t="s">
        <v>54</v>
      </c>
      <c r="D194" s="1" t="s">
        <v>113</v>
      </c>
      <c r="E194" s="4">
        <v>8.91</v>
      </c>
      <c r="F194" s="4">
        <v>9.23</v>
      </c>
      <c r="G194" s="4">
        <v>9.27</v>
      </c>
      <c r="H194" s="5">
        <f>G194/F194-1</f>
        <v>0.004333694474539351</v>
      </c>
      <c r="I194" s="5">
        <f>G194/E194-1</f>
        <v>0.04040404040404044</v>
      </c>
      <c r="J194" s="5">
        <v>-0.009729729729729741</v>
      </c>
      <c r="K194" s="4">
        <v>74546187120.99231</v>
      </c>
    </row>
    <row r="195" spans="1:11">
      <c r="A195" s="1" t="s">
        <v>1466</v>
      </c>
      <c r="B195" s="1" t="s">
        <v>1467</v>
      </c>
      <c r="C195" s="1" t="s">
        <v>93</v>
      </c>
      <c r="D195" s="1" t="s">
        <v>93</v>
      </c>
      <c r="E195" s="4">
        <v>24.06</v>
      </c>
      <c r="F195" s="4">
        <v>24.38</v>
      </c>
      <c r="G195" s="4">
        <v>24.4</v>
      </c>
      <c r="H195" s="5">
        <f>G195/F195-1</f>
        <v>0.0008203445447088065</v>
      </c>
      <c r="I195" s="5">
        <f>G195/E195-1</f>
        <v>0.01413133832086455</v>
      </c>
      <c r="J195" s="5">
        <v>-0.03948462177888612</v>
      </c>
      <c r="K195" s="4">
        <v>178933984000</v>
      </c>
    </row>
    <row r="196" spans="1:11">
      <c r="A196" s="1" t="s">
        <v>1468</v>
      </c>
      <c r="B196" s="1" t="s">
        <v>1469</v>
      </c>
      <c r="C196" s="1" t="s">
        <v>54</v>
      </c>
      <c r="D196" s="1" t="s">
        <v>113</v>
      </c>
      <c r="E196" s="4">
        <v>17.82</v>
      </c>
      <c r="F196" s="4">
        <v>18.45</v>
      </c>
      <c r="G196" s="4">
        <v>18.54</v>
      </c>
      <c r="H196" s="5">
        <f>G196/F196-1</f>
        <v>0.004878048780487809</v>
      </c>
      <c r="I196" s="5">
        <f>G196/E196-1</f>
        <v>0.04040404040404044</v>
      </c>
      <c r="J196" s="5">
        <v>-0.0256547300908605</v>
      </c>
      <c r="K196" s="4">
        <v>154790861374.5625</v>
      </c>
    </row>
    <row r="197" spans="1:11">
      <c r="A197" s="1" t="s">
        <v>1470</v>
      </c>
      <c r="B197" s="1" t="s">
        <v>1471</v>
      </c>
      <c r="C197" s="1" t="s">
        <v>70</v>
      </c>
      <c r="D197" s="1" t="s">
        <v>243</v>
      </c>
      <c r="E197" s="4">
        <v>4.67</v>
      </c>
      <c r="F197" s="4">
        <v>4.83</v>
      </c>
      <c r="G197" s="4">
        <v>4.83</v>
      </c>
      <c r="H197" s="5">
        <f>G197/F197-1</f>
        <v>0.0</v>
      </c>
      <c r="I197" s="5">
        <f>G197/E197-1</f>
        <v>0.03426124197002145</v>
      </c>
      <c r="J197" s="5">
        <v>-0.006263048016701522</v>
      </c>
      <c r="K197" s="4">
        <v>95937772117.74001</v>
      </c>
    </row>
    <row r="198" spans="1:11">
      <c r="A198" s="1" t="s">
        <v>1472</v>
      </c>
      <c r="B198" s="1" t="s">
        <v>1473</v>
      </c>
      <c r="C198" s="1" t="s">
        <v>54</v>
      </c>
      <c r="D198" s="1" t="s">
        <v>165</v>
      </c>
      <c r="E198" s="4">
        <v>11.78</v>
      </c>
      <c r="F198" s="4">
        <v>11.85</v>
      </c>
      <c r="G198" s="4">
        <v>11.98</v>
      </c>
      <c r="H198" s="5">
        <f>G198/F198-1</f>
        <v>0.01097046413502123</v>
      </c>
      <c r="I198" s="5">
        <f>G198/E198-1</f>
        <v>0.01697792869269965</v>
      </c>
      <c r="J198" s="5">
        <v>-0.0161290322580645</v>
      </c>
      <c r="K198" s="4">
        <v>148115535595.1</v>
      </c>
    </row>
    <row r="199" spans="1:11">
      <c r="A199" s="1" t="s">
        <v>1474</v>
      </c>
      <c r="B199" s="1" t="s">
        <v>1475</v>
      </c>
      <c r="C199" s="1" t="s">
        <v>41</v>
      </c>
      <c r="D199" s="1" t="s">
        <v>63</v>
      </c>
      <c r="E199" s="4">
        <v>12.42</v>
      </c>
      <c r="F199" s="4">
        <v>11.7</v>
      </c>
      <c r="G199" s="4">
        <v>11.77</v>
      </c>
      <c r="H199" s="5">
        <f>G199/F199-1</f>
        <v>0.005982905982905962</v>
      </c>
      <c r="I199" s="5">
        <f>G199/E199-1</f>
        <v>-0.052334943639291476</v>
      </c>
      <c r="J199" s="5">
        <v>-0.05872888173773128</v>
      </c>
      <c r="K199" s="4">
        <v>89193873871.95999</v>
      </c>
    </row>
    <row r="200" spans="1:11">
      <c r="A200" s="1" t="s">
        <v>1476</v>
      </c>
      <c r="B200" s="1" t="s">
        <v>1477</v>
      </c>
      <c r="C200" s="1" t="s">
        <v>70</v>
      </c>
      <c r="D200" s="1" t="s">
        <v>243</v>
      </c>
      <c r="E200" s="4">
        <v>3.38</v>
      </c>
      <c r="F200" s="4">
        <v>3.48</v>
      </c>
      <c r="G200" s="4">
        <v>3.47</v>
      </c>
      <c r="H200" s="5">
        <f>G200/F200-1</f>
        <v>-0.002873563218390718</v>
      </c>
      <c r="I200" s="5">
        <f>G200/E200-1</f>
        <v>0.026627218934911268</v>
      </c>
      <c r="J200" s="5">
        <v>-0.01432664756447</v>
      </c>
      <c r="K200" s="4">
        <v>67506727744.53</v>
      </c>
    </row>
    <row r="201" spans="1:11">
      <c r="A201" s="1" t="s">
        <v>1478</v>
      </c>
      <c r="B201" s="1" t="s">
        <v>1479</v>
      </c>
      <c r="C201" s="1" t="s">
        <v>70</v>
      </c>
      <c r="D201" s="1" t="s">
        <v>243</v>
      </c>
      <c r="E201" s="4">
        <v>43.59</v>
      </c>
      <c r="F201" s="4">
        <v>43.45</v>
      </c>
      <c r="G201" s="4">
        <v>43.89</v>
      </c>
      <c r="H201" s="5">
        <f>G201/F201-1</f>
        <v>0.010126582278481067</v>
      </c>
      <c r="I201" s="5">
        <f>G201/E201-1</f>
        <v>0.006882312456985451</v>
      </c>
      <c r="J201" s="5">
        <v>-0.0279846535770707</v>
      </c>
      <c r="K201" s="4">
        <v>42939053935.47</v>
      </c>
    </row>
    <row r="202" spans="1:11">
      <c r="A202" s="1" t="s">
        <v>1480</v>
      </c>
      <c r="B202" s="1" t="s">
        <v>1481</v>
      </c>
      <c r="C202" s="1" t="s">
        <v>47</v>
      </c>
      <c r="D202" s="1" t="s">
        <v>142</v>
      </c>
      <c r="E202" s="4">
        <v>13.82</v>
      </c>
      <c r="F202" s="4">
        <v>15.45</v>
      </c>
      <c r="G202" s="4">
        <v>15.36</v>
      </c>
      <c r="H202" s="5">
        <f>G202/F202-1</f>
        <v>-0.005825242718446644</v>
      </c>
      <c r="I202" s="5">
        <f>G202/E202-1</f>
        <v>0.11143270622286527</v>
      </c>
      <c r="J202" s="5">
        <v>-0.01094655505473274</v>
      </c>
      <c r="K202" s="4">
        <v>50505219978.24</v>
      </c>
    </row>
    <row r="203" spans="1:11">
      <c r="A203" s="1" t="s">
        <v>1482</v>
      </c>
      <c r="B203" s="1" t="s">
        <v>1483</v>
      </c>
      <c r="C203" s="1" t="s">
        <v>54</v>
      </c>
      <c r="D203" s="1" t="s">
        <v>113</v>
      </c>
      <c r="E203" s="4">
        <v>16.44</v>
      </c>
      <c r="F203" s="4">
        <v>17.06</v>
      </c>
      <c r="G203" s="4">
        <v>17.12</v>
      </c>
      <c r="H203" s="5">
        <f>G203/F203-1</f>
        <v>0.003516998827667095</v>
      </c>
      <c r="I203" s="5">
        <f>G203/E203-1</f>
        <v>0.041362530413625365</v>
      </c>
      <c r="J203" s="5">
        <v>-0.008777071459836971</v>
      </c>
      <c r="K203" s="4">
        <v>55520160000</v>
      </c>
    </row>
    <row r="204" spans="1:11">
      <c r="A204" s="1" t="s">
        <v>1484</v>
      </c>
      <c r="B204" s="1" t="s">
        <v>1485</v>
      </c>
      <c r="C204" s="1" t="s">
        <v>54</v>
      </c>
      <c r="D204" s="1" t="s">
        <v>113</v>
      </c>
      <c r="E204" s="4">
        <v>24.78</v>
      </c>
      <c r="F204" s="4">
        <v>25</v>
      </c>
      <c r="G204" s="4">
        <v>25.28</v>
      </c>
      <c r="H204" s="5">
        <f>G204/F204-1</f>
        <v>0.011200000000000099</v>
      </c>
      <c r="I204" s="5">
        <f>G204/E204-1</f>
        <v>0.020177562550443895</v>
      </c>
      <c r="J204" s="5">
        <v>-0.03762606671838642</v>
      </c>
      <c r="K204" s="4">
        <v>177460548647.3864</v>
      </c>
    </row>
    <row r="205" spans="1:11">
      <c r="A205" s="1" t="s">
        <v>1486</v>
      </c>
      <c r="B205" s="1" t="s">
        <v>1487</v>
      </c>
      <c r="C205" s="1" t="s">
        <v>54</v>
      </c>
      <c r="D205" s="1" t="s">
        <v>165</v>
      </c>
      <c r="E205" s="4">
        <v>6.81</v>
      </c>
      <c r="F205" s="4">
        <v>6.93</v>
      </c>
      <c r="G205" s="4">
        <v>6.92</v>
      </c>
      <c r="H205" s="5">
        <f>G205/F205-1</f>
        <v>-0.0014430014430013571</v>
      </c>
      <c r="I205" s="5">
        <f>G205/E205-1</f>
        <v>0.016152716593245353</v>
      </c>
      <c r="J205" s="5">
        <v>-0.03551136363636365</v>
      </c>
      <c r="K205" s="4">
        <v>75348602877.01918</v>
      </c>
    </row>
    <row r="206" spans="1:11">
      <c r="A206" s="1" t="s">
        <v>1488</v>
      </c>
      <c r="B206" s="1" t="s">
        <v>1489</v>
      </c>
      <c r="C206" s="1" t="s">
        <v>129</v>
      </c>
      <c r="D206" s="1" t="s">
        <v>129</v>
      </c>
      <c r="E206" s="4">
        <v>46.41</v>
      </c>
      <c r="F206" s="4">
        <v>47.78</v>
      </c>
      <c r="G206" s="4">
        <v>47.61</v>
      </c>
      <c r="H206" s="5">
        <f>G206/F206-1</f>
        <v>-0.003557974047718737</v>
      </c>
      <c r="I206" s="5">
        <f>G206/E206-1</f>
        <v>0.02585649644473187</v>
      </c>
      <c r="J206" s="5">
        <v>-0.02398523985239853</v>
      </c>
      <c r="K206" s="4">
        <v>1004017284709.051</v>
      </c>
    </row>
    <row r="207" spans="1:11">
      <c r="A207" s="1" t="s">
        <v>1490</v>
      </c>
      <c r="B207" s="1" t="s">
        <v>1491</v>
      </c>
      <c r="C207" s="1" t="s">
        <v>70</v>
      </c>
      <c r="D207" s="1" t="s">
        <v>100</v>
      </c>
      <c r="E207" s="4">
        <v>105.79</v>
      </c>
      <c r="F207" s="4">
        <v>100.16</v>
      </c>
      <c r="G207" s="4">
        <v>99.03</v>
      </c>
      <c r="H207" s="5">
        <f>G207/F207-1</f>
        <v>-0.011281948881789128</v>
      </c>
      <c r="I207" s="5">
        <f>G207/E207-1</f>
        <v>-0.06390017960109651</v>
      </c>
      <c r="J207" s="5">
        <v>-0.08167123546649024</v>
      </c>
      <c r="K207" s="4">
        <v>132781502837.76</v>
      </c>
    </row>
    <row r="208" spans="1:11">
      <c r="A208" s="1" t="s">
        <v>1492</v>
      </c>
      <c r="B208" s="1" t="s">
        <v>1493</v>
      </c>
      <c r="C208" s="1" t="s">
        <v>70</v>
      </c>
      <c r="D208" s="1" t="s">
        <v>243</v>
      </c>
      <c r="E208" s="4">
        <v>5.8</v>
      </c>
      <c r="F208" s="4">
        <v>5.76</v>
      </c>
      <c r="G208" s="4">
        <v>5.86</v>
      </c>
      <c r="H208" s="5">
        <f>G208/F208-1</f>
        <v>0.01736111111111116</v>
      </c>
      <c r="I208" s="5">
        <f>G208/E208-1</f>
        <v>0.010344827586207028</v>
      </c>
      <c r="J208" s="5">
        <v>-0.03859060402684555</v>
      </c>
      <c r="K208" s="4">
        <v>109525616849.5358</v>
      </c>
    </row>
    <row r="209" spans="1:11">
      <c r="A209" s="1" t="s">
        <v>1494</v>
      </c>
      <c r="B209" s="1" t="s">
        <v>1495</v>
      </c>
      <c r="C209" s="1" t="s">
        <v>70</v>
      </c>
      <c r="D209" s="1" t="s">
        <v>100</v>
      </c>
      <c r="E209" s="4">
        <v>7.52</v>
      </c>
      <c r="F209" s="4">
        <v>7.42</v>
      </c>
      <c r="G209" s="4">
        <v>7.42</v>
      </c>
      <c r="H209" s="5">
        <f>G209/F209-1</f>
        <v>0.0</v>
      </c>
      <c r="I209" s="5">
        <f>G209/E209-1</f>
        <v>-0.013297872340425454</v>
      </c>
      <c r="J209" s="5">
        <v>-0.03655352480417762</v>
      </c>
      <c r="K209" s="4">
        <v>45303260112.04</v>
      </c>
    </row>
    <row r="210" spans="1:11">
      <c r="A210" s="1" t="s">
        <v>1496</v>
      </c>
      <c r="B210" s="1" t="s">
        <v>1497</v>
      </c>
      <c r="C210" s="1" t="s">
        <v>47</v>
      </c>
      <c r="D210" s="1" t="s">
        <v>142</v>
      </c>
      <c r="E210" s="4">
        <v>50.5</v>
      </c>
      <c r="F210" s="4">
        <v>48.9</v>
      </c>
      <c r="G210" s="4">
        <v>49.52</v>
      </c>
      <c r="H210" s="5">
        <f>G210/F210-1</f>
        <v>0.012678936605317048</v>
      </c>
      <c r="I210" s="5">
        <f>G210/E210-1</f>
        <v>-0.019405940594059312</v>
      </c>
      <c r="J210" s="5">
        <v>-0.03607332939089292</v>
      </c>
      <c r="K210" s="4">
        <v>84469888000.66132</v>
      </c>
    </row>
    <row r="211" spans="1:11">
      <c r="A211" s="1" t="s">
        <v>1498</v>
      </c>
      <c r="B211" s="1" t="s">
        <v>1499</v>
      </c>
      <c r="C211" s="1" t="s">
        <v>54</v>
      </c>
      <c r="D211" s="1" t="s">
        <v>113</v>
      </c>
      <c r="E211" s="4">
        <v>13.73</v>
      </c>
      <c r="F211" s="4">
        <v>15.14</v>
      </c>
      <c r="G211" s="4">
        <v>15.54</v>
      </c>
      <c r="H211" s="5">
        <f>G211/F211-1</f>
        <v>0.026420079260237594</v>
      </c>
      <c r="I211" s="5">
        <f>G211/E211-1</f>
        <v>0.1318281136198105</v>
      </c>
      <c r="J211" s="5">
        <v>-0.04602774274905419</v>
      </c>
      <c r="K211" s="4">
        <v>42476007251.99999</v>
      </c>
    </row>
    <row r="212" spans="1:11">
      <c r="A212" s="1" t="s">
        <v>1500</v>
      </c>
      <c r="B212" s="1" t="s">
        <v>1501</v>
      </c>
      <c r="C212" s="1" t="s">
        <v>41</v>
      </c>
      <c r="D212" s="1" t="s">
        <v>42</v>
      </c>
      <c r="E212" s="4">
        <v>62.84</v>
      </c>
      <c r="F212" s="4">
        <v>63.2</v>
      </c>
      <c r="G212" s="4">
        <v>63.69</v>
      </c>
      <c r="H212" s="5">
        <f>G212/F212-1</f>
        <v>0.007753164556961956</v>
      </c>
      <c r="I212" s="5">
        <f>G212/E212-1</f>
        <v>0.013526416295353227</v>
      </c>
      <c r="J212" s="5">
        <v>-0.04688463911165952</v>
      </c>
      <c r="K212" s="4">
        <v>1263870237567.96</v>
      </c>
    </row>
    <row r="213" spans="1:11">
      <c r="A213" s="1" t="s">
        <v>1502</v>
      </c>
      <c r="B213" s="1" t="s">
        <v>1503</v>
      </c>
      <c r="C213" s="1" t="s">
        <v>54</v>
      </c>
      <c r="D213" s="1" t="s">
        <v>165</v>
      </c>
      <c r="E213" s="4">
        <v>18.1</v>
      </c>
      <c r="F213" s="4">
        <v>17.93</v>
      </c>
      <c r="G213" s="4">
        <v>18.22</v>
      </c>
      <c r="H213" s="5">
        <f>G213/F213-1</f>
        <v>0.01617401003904062</v>
      </c>
      <c r="I213" s="5">
        <f>G213/E213-1</f>
        <v>0.006629834254143541</v>
      </c>
      <c r="J213" s="5">
        <v>-0.04649890590809636</v>
      </c>
      <c r="K213" s="4">
        <v>385587300272.2</v>
      </c>
    </row>
    <row r="214" spans="1:11">
      <c r="A214" s="1" t="s">
        <v>1504</v>
      </c>
      <c r="B214" s="1" t="s">
        <v>1505</v>
      </c>
      <c r="C214" s="1" t="s">
        <v>54</v>
      </c>
      <c r="D214" s="1" t="s">
        <v>165</v>
      </c>
      <c r="E214" s="4">
        <v>5.09</v>
      </c>
      <c r="F214" s="4">
        <v>5.54</v>
      </c>
      <c r="G214" s="4">
        <v>5.6</v>
      </c>
      <c r="H214" s="5">
        <f>G214/F214-1</f>
        <v>0.010830324909747224</v>
      </c>
      <c r="I214" s="5">
        <f>G214/E214-1</f>
        <v>0.10019646365422386</v>
      </c>
      <c r="J214" s="5">
        <v>-0.01737451737451734</v>
      </c>
      <c r="K214" s="4">
        <v>118400711923.2</v>
      </c>
    </row>
    <row r="215" spans="1:11">
      <c r="A215" s="1" t="s">
        <v>1506</v>
      </c>
      <c r="B215" s="1" t="s">
        <v>1507</v>
      </c>
      <c r="C215" s="1" t="s">
        <v>70</v>
      </c>
      <c r="D215" s="1" t="s">
        <v>100</v>
      </c>
      <c r="E215" s="4">
        <v>6</v>
      </c>
      <c r="F215" s="4">
        <v>6.08</v>
      </c>
      <c r="G215" s="4">
        <v>6.11</v>
      </c>
      <c r="H215" s="5">
        <f>G215/F215-1</f>
        <v>0.00493421052631593</v>
      </c>
      <c r="I215" s="5">
        <f>G215/E215-1</f>
        <v>0.018333333333333313</v>
      </c>
      <c r="J215" s="5">
        <v>-0.009803921568627527</v>
      </c>
      <c r="K215" s="4">
        <v>78155047588.72882</v>
      </c>
    </row>
    <row r="216" spans="1:11">
      <c r="A216" s="1" t="s">
        <v>1508</v>
      </c>
      <c r="B216" s="1" t="s">
        <v>1509</v>
      </c>
      <c r="C216" s="1" t="s">
        <v>54</v>
      </c>
      <c r="D216" s="1" t="s">
        <v>113</v>
      </c>
      <c r="E216" s="4">
        <v>17.38</v>
      </c>
      <c r="F216" s="4">
        <v>17.69</v>
      </c>
      <c r="G216" s="4">
        <v>17.87</v>
      </c>
      <c r="H216" s="5">
        <f>G216/F216-1</f>
        <v>0.010175240248728068</v>
      </c>
      <c r="I216" s="5">
        <f>G216/E216-1</f>
        <v>0.028193325661680202</v>
      </c>
      <c r="J216" s="5">
        <v>-0.01870748299319736</v>
      </c>
      <c r="K216" s="4">
        <v>297780747118.9731</v>
      </c>
    </row>
    <row r="217" spans="1:11">
      <c r="A217" s="1" t="s">
        <v>1510</v>
      </c>
      <c r="B217" s="1" t="s">
        <v>1511</v>
      </c>
      <c r="C217" s="1" t="s">
        <v>129</v>
      </c>
      <c r="D217" s="1" t="s">
        <v>129</v>
      </c>
      <c r="E217" s="4">
        <v>25.73</v>
      </c>
      <c r="F217" s="4">
        <v>26.24</v>
      </c>
      <c r="G217" s="4">
        <v>26.24</v>
      </c>
      <c r="H217" s="5">
        <f>G217/F217-1</f>
        <v>0.0</v>
      </c>
      <c r="I217" s="5">
        <f>G217/E217-1</f>
        <v>0.019821220365332293</v>
      </c>
      <c r="J217" s="5">
        <v>-0.05503258508327302</v>
      </c>
      <c r="K217" s="4">
        <v>254396800000</v>
      </c>
    </row>
    <row r="218" spans="1:11">
      <c r="A218" s="1" t="s">
        <v>1512</v>
      </c>
      <c r="B218" s="1" t="s">
        <v>1513</v>
      </c>
      <c r="C218" s="1" t="s">
        <v>54</v>
      </c>
      <c r="D218" s="1" t="s">
        <v>165</v>
      </c>
      <c r="E218" s="4">
        <v>9.74</v>
      </c>
      <c r="F218" s="4">
        <v>9.6</v>
      </c>
      <c r="G218" s="4">
        <v>9.609999999999999</v>
      </c>
      <c r="H218" s="5">
        <f>G218/F218-1</f>
        <v>0.0010416666666666075</v>
      </c>
      <c r="I218" s="5">
        <f>G218/E218-1</f>
        <v>-0.013347022587269053</v>
      </c>
      <c r="J218" s="5">
        <v>-0.05775075987841927</v>
      </c>
      <c r="K218" s="4">
        <v>136548862262.57</v>
      </c>
    </row>
    <row r="219" spans="1:11">
      <c r="A219" s="1" t="s">
        <v>1514</v>
      </c>
      <c r="B219" s="1" t="s">
        <v>1515</v>
      </c>
      <c r="C219" s="1" t="s">
        <v>47</v>
      </c>
      <c r="D219" s="1" t="s">
        <v>142</v>
      </c>
      <c r="E219" s="4">
        <v>5.11</v>
      </c>
      <c r="F219" s="4">
        <v>5.12</v>
      </c>
      <c r="G219" s="4">
        <v>5.17</v>
      </c>
      <c r="H219" s="5">
        <f>G219/F219-1</f>
        <v>0.009765625</v>
      </c>
      <c r="I219" s="5">
        <f>G219/E219-1</f>
        <v>0.011741682974559575</v>
      </c>
      <c r="J219" s="5">
        <v>-0.04477611940298509</v>
      </c>
      <c r="K219" s="4">
        <v>43397438731.56506</v>
      </c>
    </row>
    <row r="220" spans="1:11">
      <c r="A220" s="1" t="s">
        <v>1516</v>
      </c>
      <c r="B220" s="1" t="s">
        <v>1517</v>
      </c>
      <c r="C220" s="1" t="s">
        <v>54</v>
      </c>
      <c r="D220" s="1" t="s">
        <v>165</v>
      </c>
      <c r="E220" s="4">
        <v>6.78</v>
      </c>
      <c r="F220" s="4">
        <v>6.89</v>
      </c>
      <c r="G220" s="4">
        <v>6.96</v>
      </c>
      <c r="H220" s="5">
        <f>G220/F220-1</f>
        <v>0.010159651669085612</v>
      </c>
      <c r="I220" s="5">
        <f>G220/E220-1</f>
        <v>0.026548672566371723</v>
      </c>
      <c r="J220" s="5">
        <v>-0.02407932011331448</v>
      </c>
      <c r="K220" s="4">
        <v>2393951700724.18</v>
      </c>
    </row>
    <row r="221" spans="1:11">
      <c r="A221" s="1" t="s">
        <v>1518</v>
      </c>
      <c r="B221" s="1" t="s">
        <v>1519</v>
      </c>
      <c r="C221" s="1" t="s">
        <v>54</v>
      </c>
      <c r="D221" s="1" t="s">
        <v>55</v>
      </c>
      <c r="E221" s="4">
        <v>53.35</v>
      </c>
      <c r="F221" s="4">
        <v>58</v>
      </c>
      <c r="G221" s="4">
        <v>58.24</v>
      </c>
      <c r="H221" s="5">
        <f>G221/F221-1</f>
        <v>0.0041379310344829</v>
      </c>
      <c r="I221" s="5">
        <f>G221/E221-1</f>
        <v>0.09165885660731021</v>
      </c>
      <c r="J221" s="5">
        <v>-0.01048400396707183</v>
      </c>
      <c r="K221" s="4">
        <v>985029641745.3624</v>
      </c>
    </row>
    <row r="222" spans="1:11">
      <c r="A222" s="1" t="s">
        <v>1520</v>
      </c>
      <c r="B222" s="1" t="s">
        <v>1521</v>
      </c>
      <c r="C222" s="1" t="s">
        <v>54</v>
      </c>
      <c r="D222" s="1" t="s">
        <v>55</v>
      </c>
      <c r="E222" s="4">
        <v>6.95</v>
      </c>
      <c r="F222" s="4">
        <v>8.039999999999999</v>
      </c>
      <c r="G222" s="4">
        <v>7.99</v>
      </c>
      <c r="H222" s="5">
        <f>G222/F222-1</f>
        <v>-0.006218905472636704</v>
      </c>
      <c r="I222" s="5">
        <f>G222/E222-1</f>
        <v>0.14964028776978422</v>
      </c>
      <c r="J222" s="5">
        <v>-0.01381215469613262</v>
      </c>
      <c r="K222" s="4">
        <v>330293079511.4539</v>
      </c>
    </row>
    <row r="223" spans="1:11">
      <c r="A223" s="1" t="s">
        <v>1522</v>
      </c>
      <c r="B223" s="1" t="s">
        <v>1523</v>
      </c>
      <c r="C223" s="1" t="s">
        <v>54</v>
      </c>
      <c r="D223" s="1" t="s">
        <v>165</v>
      </c>
      <c r="E223" s="4">
        <v>7.12</v>
      </c>
      <c r="F223" s="4">
        <v>7.32</v>
      </c>
      <c r="G223" s="4">
        <v>7.42</v>
      </c>
      <c r="H223" s="5">
        <f>G223/F223-1</f>
        <v>0.013661202185792254</v>
      </c>
      <c r="I223" s="5">
        <f>G223/E223-1</f>
        <v>0.042134831460674205</v>
      </c>
      <c r="J223" s="5">
        <v>-0.01805555555555549</v>
      </c>
      <c r="K223" s="4">
        <v>635083764912.5151</v>
      </c>
    </row>
    <row r="224" spans="1:11">
      <c r="A224" s="1" t="s">
        <v>1524</v>
      </c>
      <c r="B224" s="1" t="s">
        <v>1525</v>
      </c>
      <c r="C224" s="1" t="s">
        <v>54</v>
      </c>
      <c r="D224" s="1" t="s">
        <v>55</v>
      </c>
      <c r="E224" s="4">
        <v>58.79</v>
      </c>
      <c r="F224" s="4">
        <v>61.92</v>
      </c>
      <c r="G224" s="4">
        <v>62.25</v>
      </c>
      <c r="H224" s="5">
        <f>G224/F224-1</f>
        <v>0.005329457364340984</v>
      </c>
      <c r="I224" s="5">
        <f>G224/E224-1</f>
        <v>0.0588535465215172</v>
      </c>
      <c r="J224" s="5">
        <v>-0.0193506067563135</v>
      </c>
      <c r="K224" s="4">
        <v>174590944746.1812</v>
      </c>
    </row>
    <row r="225" spans="1:11">
      <c r="A225" s="1" t="s">
        <v>1526</v>
      </c>
      <c r="B225" s="1" t="s">
        <v>1527</v>
      </c>
      <c r="C225" s="1" t="s">
        <v>41</v>
      </c>
      <c r="D225" s="1" t="s">
        <v>58</v>
      </c>
      <c r="E225" s="4">
        <v>8.76</v>
      </c>
      <c r="F225" s="4">
        <v>8.890000000000001</v>
      </c>
      <c r="G225" s="4">
        <v>8.98</v>
      </c>
      <c r="H225" s="5">
        <f>G225/F225-1</f>
        <v>0.01012373453318327</v>
      </c>
      <c r="I225" s="5">
        <f>G225/E225-1</f>
        <v>0.02511415525114158</v>
      </c>
      <c r="J225" s="5">
        <v>-0.04408602150537633</v>
      </c>
      <c r="K225" s="4">
        <v>62856029753.42</v>
      </c>
    </row>
    <row r="226" spans="1:11">
      <c r="A226" s="1" t="s">
        <v>1528</v>
      </c>
      <c r="B226" s="1" t="s">
        <v>1529</v>
      </c>
      <c r="C226" s="1" t="s">
        <v>54</v>
      </c>
      <c r="D226" s="1" t="s">
        <v>113</v>
      </c>
      <c r="E226" s="4">
        <v>5.79</v>
      </c>
      <c r="F226" s="4">
        <v>5.92</v>
      </c>
      <c r="G226" s="4">
        <v>5.96</v>
      </c>
      <c r="H226" s="5">
        <f>G226/F226-1</f>
        <v>0.006756756756756799</v>
      </c>
      <c r="I226" s="5">
        <f>G226/E226-1</f>
        <v>0.029360967184801412</v>
      </c>
      <c r="J226" s="5">
        <v>-0.01512605042016801</v>
      </c>
      <c r="K226" s="4">
        <v>51470484272.24</v>
      </c>
    </row>
    <row r="227" spans="1:11">
      <c r="A227" s="1" t="s">
        <v>1530</v>
      </c>
      <c r="B227" s="1" t="s">
        <v>1531</v>
      </c>
      <c r="C227" s="1" t="s">
        <v>70</v>
      </c>
      <c r="D227" s="1" t="s">
        <v>100</v>
      </c>
      <c r="E227" s="4">
        <v>4.3</v>
      </c>
      <c r="F227" s="4">
        <v>4.36</v>
      </c>
      <c r="G227" s="4">
        <v>4.39</v>
      </c>
      <c r="H227" s="5">
        <f>G227/F227-1</f>
        <v>0.006880733944953921</v>
      </c>
      <c r="I227" s="5">
        <f>G227/E227-1</f>
        <v>0.020930232558139528</v>
      </c>
      <c r="J227" s="5">
        <v>-0.02466367713004491</v>
      </c>
      <c r="K227" s="4">
        <v>101336122247.0418</v>
      </c>
    </row>
    <row r="228" spans="1:11">
      <c r="A228" s="1" t="s">
        <v>1532</v>
      </c>
      <c r="B228" s="1" t="s">
        <v>1533</v>
      </c>
      <c r="C228" s="1" t="s">
        <v>54</v>
      </c>
      <c r="D228" s="1" t="s">
        <v>165</v>
      </c>
      <c r="E228" s="4">
        <v>7.77</v>
      </c>
      <c r="F228" s="4">
        <v>8.1</v>
      </c>
      <c r="G228" s="4">
        <v>8.130000000000001</v>
      </c>
      <c r="H228" s="5">
        <f>G228/F228-1</f>
        <v>0.0037037037037037646</v>
      </c>
      <c r="I228" s="5">
        <f>G228/E228-1</f>
        <v>0.04633204633204646</v>
      </c>
      <c r="J228" s="5">
        <v>-0.01459854014598549</v>
      </c>
      <c r="K228" s="4">
        <v>2763415787952.521</v>
      </c>
    </row>
    <row r="229" spans="1:11">
      <c r="A229" s="1" t="s">
        <v>1534</v>
      </c>
      <c r="B229" s="1" t="s">
        <v>1535</v>
      </c>
      <c r="C229" s="1" t="s">
        <v>54</v>
      </c>
      <c r="D229" s="1" t="s">
        <v>113</v>
      </c>
      <c r="E229" s="4">
        <v>8.75</v>
      </c>
      <c r="F229" s="4">
        <v>8.880000000000001</v>
      </c>
      <c r="G229" s="4">
        <v>8.93</v>
      </c>
      <c r="H229" s="5">
        <f>G229/F229-1</f>
        <v>0.005630630630630407</v>
      </c>
      <c r="I229" s="5">
        <f>G229/E229-1</f>
        <v>0.020571428571428463</v>
      </c>
      <c r="J229" s="5">
        <v>-0.01666666666666672</v>
      </c>
      <c r="K229" s="4">
        <v>48286102390.09329</v>
      </c>
    </row>
    <row r="230" spans="1:11">
      <c r="A230" s="1" t="s">
        <v>1536</v>
      </c>
      <c r="B230" s="1" t="s">
        <v>1537</v>
      </c>
      <c r="C230" s="1" t="s">
        <v>93</v>
      </c>
      <c r="D230" s="1" t="s">
        <v>93</v>
      </c>
      <c r="E230" s="4">
        <v>9.42</v>
      </c>
      <c r="F230" s="4">
        <v>9.81</v>
      </c>
      <c r="G230" s="4">
        <v>9.67</v>
      </c>
      <c r="H230" s="5">
        <f>G230/F230-1</f>
        <v>-0.014271151885830835</v>
      </c>
      <c r="I230" s="5">
        <f>G230/E230-1</f>
        <v>0.026539278131634925</v>
      </c>
      <c r="J230" s="5">
        <v>-0.0224032586558045</v>
      </c>
      <c r="K230" s="4">
        <v>157312231095.6305</v>
      </c>
    </row>
    <row r="231" spans="1:11">
      <c r="A231" s="1" t="s">
        <v>1538</v>
      </c>
      <c r="B231" s="1" t="s">
        <v>1539</v>
      </c>
      <c r="C231" s="1" t="s">
        <v>54</v>
      </c>
      <c r="D231" s="1" t="s">
        <v>55</v>
      </c>
      <c r="E231" s="4">
        <v>30.42</v>
      </c>
      <c r="F231" s="4">
        <v>34.04</v>
      </c>
      <c r="G231" s="4">
        <v>34.21</v>
      </c>
      <c r="H231" s="5">
        <f>G231/F231-1</f>
        <v>0.004994124559341895</v>
      </c>
      <c r="I231" s="5">
        <f>G231/E231-1</f>
        <v>0.1245890861275476</v>
      </c>
      <c r="J231" s="5">
        <v>-0.007257323768944057</v>
      </c>
      <c r="K231" s="4">
        <v>308923551330.3115</v>
      </c>
    </row>
    <row r="232" spans="1:11">
      <c r="A232" s="1" t="s">
        <v>1540</v>
      </c>
      <c r="B232" s="1" t="s">
        <v>1541</v>
      </c>
      <c r="C232" s="1" t="s">
        <v>37</v>
      </c>
      <c r="D232" s="1" t="s">
        <v>51</v>
      </c>
      <c r="E232" s="4">
        <v>16.19</v>
      </c>
      <c r="F232" s="4">
        <v>16.44</v>
      </c>
      <c r="G232" s="4">
        <v>16.62</v>
      </c>
      <c r="H232" s="5">
        <f>G232/F232-1</f>
        <v>0.010948905109489093</v>
      </c>
      <c r="I232" s="5">
        <f>G232/E232-1</f>
        <v>0.02655960469425578</v>
      </c>
      <c r="J232" s="5">
        <v>-0.01035322777101111</v>
      </c>
      <c r="K232" s="4">
        <v>55456635205.8362</v>
      </c>
    </row>
    <row r="233" spans="1:11">
      <c r="A233" s="1" t="s">
        <v>1542</v>
      </c>
      <c r="B233" s="1" t="s">
        <v>1543</v>
      </c>
      <c r="C233" s="1" t="s">
        <v>70</v>
      </c>
      <c r="D233" s="1" t="s">
        <v>100</v>
      </c>
      <c r="E233" s="4">
        <v>2.55</v>
      </c>
      <c r="F233" s="4">
        <v>2.54</v>
      </c>
      <c r="G233" s="4">
        <v>2.55</v>
      </c>
      <c r="H233" s="5">
        <f>G233/F233-1</f>
        <v>0.003937007874015741</v>
      </c>
      <c r="I233" s="5">
        <f>G233/E233-1</f>
        <v>0.0</v>
      </c>
      <c r="J233" s="5">
        <v>-0.04528301886792452</v>
      </c>
      <c r="K233" s="4">
        <v>48815713550.06464</v>
      </c>
    </row>
    <row r="234" spans="1:11">
      <c r="A234" s="1" t="s">
        <v>1544</v>
      </c>
      <c r="B234" s="1" t="s">
        <v>1545</v>
      </c>
      <c r="C234" s="1" t="s">
        <v>54</v>
      </c>
      <c r="D234" s="1" t="s">
        <v>55</v>
      </c>
      <c r="E234" s="4">
        <v>37.03</v>
      </c>
      <c r="F234" s="4">
        <v>39.27</v>
      </c>
      <c r="G234" s="4">
        <v>39.17</v>
      </c>
      <c r="H234" s="5">
        <f>G234/F234-1</f>
        <v>-0.00254647313470846</v>
      </c>
      <c r="I234" s="5">
        <f>G234/E234-1</f>
        <v>0.0577909802862544</v>
      </c>
      <c r="J234" s="5">
        <v>-0.02354747125698331</v>
      </c>
      <c r="K234" s="4">
        <v>1012398157720.232</v>
      </c>
    </row>
    <row r="235" spans="1:11">
      <c r="A235" s="1" t="s">
        <v>1546</v>
      </c>
      <c r="B235" s="1" t="s">
        <v>1547</v>
      </c>
      <c r="C235" s="1" t="s">
        <v>47</v>
      </c>
      <c r="D235" s="1" t="s">
        <v>142</v>
      </c>
      <c r="E235" s="4">
        <v>15.21</v>
      </c>
      <c r="F235" s="4">
        <v>14.91</v>
      </c>
      <c r="G235" s="4">
        <v>14.94</v>
      </c>
      <c r="H235" s="5">
        <f>G235/F235-1</f>
        <v>0.002012072434607548</v>
      </c>
      <c r="I235" s="5">
        <f>G235/E235-1</f>
        <v>-0.01775147928994092</v>
      </c>
      <c r="J235" s="5">
        <v>-0.03307392996108949</v>
      </c>
      <c r="K235" s="4">
        <v>108815071424.8807</v>
      </c>
    </row>
    <row r="236" spans="1:11">
      <c r="A236" s="1" t="s">
        <v>1548</v>
      </c>
      <c r="B236" s="1" t="s">
        <v>1549</v>
      </c>
      <c r="C236" s="1" t="s">
        <v>54</v>
      </c>
      <c r="D236" s="1" t="s">
        <v>165</v>
      </c>
      <c r="E236" s="4">
        <v>4.98</v>
      </c>
      <c r="F236" s="4">
        <v>5.45</v>
      </c>
      <c r="G236" s="4">
        <v>5.42</v>
      </c>
      <c r="H236" s="5">
        <f>G236/F236-1</f>
        <v>-0.005504587155963359</v>
      </c>
      <c r="I236" s="5">
        <f>G236/E236-1</f>
        <v>0.08835341365461846</v>
      </c>
      <c r="J236" s="5">
        <v>-0.02517985611510787</v>
      </c>
      <c r="K236" s="4">
        <v>636399060878.7026</v>
      </c>
    </row>
    <row r="237" spans="1:11">
      <c r="A237" s="1" t="s">
        <v>1550</v>
      </c>
      <c r="B237" s="1" t="s">
        <v>1551</v>
      </c>
      <c r="C237" s="1" t="s">
        <v>70</v>
      </c>
      <c r="D237" s="1" t="s">
        <v>100</v>
      </c>
      <c r="E237" s="4">
        <v>4.39</v>
      </c>
      <c r="F237" s="4">
        <v>4.37</v>
      </c>
      <c r="G237" s="4">
        <v>4.4</v>
      </c>
      <c r="H237" s="5">
        <f>G237/F237-1</f>
        <v>0.006864988558352492</v>
      </c>
      <c r="I237" s="5">
        <f>G237/E237-1</f>
        <v>0.002277904328018332</v>
      </c>
      <c r="J237" s="5">
        <v>-0.0357142857142857</v>
      </c>
      <c r="K237" s="4">
        <v>181809717953.6</v>
      </c>
    </row>
    <row r="238" spans="1:11">
      <c r="A238" s="1" t="s">
        <v>1552</v>
      </c>
      <c r="B238" s="1" t="s">
        <v>1553</v>
      </c>
      <c r="C238" s="1" t="s">
        <v>70</v>
      </c>
      <c r="D238" s="1" t="s">
        <v>100</v>
      </c>
      <c r="E238" s="4">
        <v>4.61</v>
      </c>
      <c r="F238" s="4">
        <v>4.61</v>
      </c>
      <c r="G238" s="4">
        <v>4.63</v>
      </c>
      <c r="H238" s="5">
        <f>G238/F238-1</f>
        <v>0.00433839479392617</v>
      </c>
      <c r="I238" s="5">
        <f>G238/E238-1</f>
        <v>0.00433839479392617</v>
      </c>
      <c r="J238" s="5">
        <v>-0.01495726495726479</v>
      </c>
      <c r="K238" s="4">
        <v>79757117716.42</v>
      </c>
    </row>
    <row r="239" spans="1:11">
      <c r="A239" s="1" t="s">
        <v>1554</v>
      </c>
      <c r="B239" s="1" t="s">
        <v>1555</v>
      </c>
      <c r="C239" s="1" t="s">
        <v>54</v>
      </c>
      <c r="D239" s="1" t="s">
        <v>113</v>
      </c>
      <c r="E239" s="4">
        <v>18.6</v>
      </c>
      <c r="F239" s="4">
        <v>19.5</v>
      </c>
      <c r="G239" s="4">
        <v>19.56</v>
      </c>
      <c r="H239" s="5">
        <f>G239/F239-1</f>
        <v>0.003076923076922977</v>
      </c>
      <c r="I239" s="5">
        <f>G239/E239-1</f>
        <v>0.05161290322580636</v>
      </c>
      <c r="J239" s="5">
        <v>-0.01838610444886624</v>
      </c>
      <c r="K239" s="4">
        <v>169519963673.2929</v>
      </c>
    </row>
    <row r="240" spans="1:11">
      <c r="A240" s="1" t="s">
        <v>1556</v>
      </c>
      <c r="B240" s="1" t="s">
        <v>1557</v>
      </c>
      <c r="C240" s="1" t="s">
        <v>47</v>
      </c>
      <c r="D240" s="1" t="s">
        <v>142</v>
      </c>
      <c r="E240" s="4">
        <v>46.92</v>
      </c>
      <c r="F240" s="4">
        <v>47.83</v>
      </c>
      <c r="G240" s="4">
        <v>45.82</v>
      </c>
      <c r="H240" s="5">
        <f>G240/F240-1</f>
        <v>-0.042023834413547956</v>
      </c>
      <c r="I240" s="5">
        <f>G240/E240-1</f>
        <v>-0.023444160272804826</v>
      </c>
      <c r="J240" s="5">
        <v>-0.04202383441354796</v>
      </c>
      <c r="K240" s="4">
        <v>79627626275.59999</v>
      </c>
    </row>
    <row r="241" spans="1:11">
      <c r="A241" s="1" t="s">
        <v>1558</v>
      </c>
      <c r="B241" s="1" t="s">
        <v>1559</v>
      </c>
      <c r="C241" s="1" t="s">
        <v>138</v>
      </c>
      <c r="D241" s="1" t="s">
        <v>139</v>
      </c>
      <c r="E241" s="4">
        <v>24.43</v>
      </c>
      <c r="F241" s="4">
        <v>23.93</v>
      </c>
      <c r="G241" s="4">
        <v>24</v>
      </c>
      <c r="H241" s="5">
        <f>G241/F241-1</f>
        <v>0.0029251984956122357</v>
      </c>
      <c r="I241" s="5">
        <f>G241/E241-1</f>
        <v>-0.017601309864920145</v>
      </c>
      <c r="J241" s="5">
        <v>-0.02742529676627092</v>
      </c>
      <c r="K241" s="4">
        <v>101385249888</v>
      </c>
    </row>
    <row r="242" spans="1:11">
      <c r="A242" s="1" t="s">
        <v>1560</v>
      </c>
      <c r="B242" s="1" t="s">
        <v>1561</v>
      </c>
      <c r="C242" s="1" t="s">
        <v>70</v>
      </c>
      <c r="D242" s="1" t="s">
        <v>100</v>
      </c>
      <c r="E242" s="4">
        <v>6.53</v>
      </c>
      <c r="F242" s="4">
        <v>6.53</v>
      </c>
      <c r="G242" s="4">
        <v>6.63</v>
      </c>
      <c r="H242" s="5">
        <f>G242/F242-1</f>
        <v>0.015313935681469992</v>
      </c>
      <c r="I242" s="5">
        <f>G242/E242-1</f>
        <v>0.015313935681469992</v>
      </c>
      <c r="J242" s="5">
        <v>-0.01951949705563782</v>
      </c>
      <c r="K242" s="4">
        <v>91261252577.97816</v>
      </c>
    </row>
    <row r="243" spans="1:11">
      <c r="A243" s="1" t="s">
        <v>1562</v>
      </c>
      <c r="B243" s="1" t="s">
        <v>1563</v>
      </c>
      <c r="C243" s="1" t="s">
        <v>138</v>
      </c>
      <c r="D243" s="1" t="s">
        <v>258</v>
      </c>
      <c r="E243" s="4">
        <v>6.43</v>
      </c>
      <c r="F243" s="4">
        <v>6.4</v>
      </c>
      <c r="G243" s="4">
        <v>6.38</v>
      </c>
      <c r="H243" s="5">
        <f>G243/F243-1</f>
        <v>-0.0031250000000000444</v>
      </c>
      <c r="I243" s="5">
        <f>G243/E243-1</f>
        <v>-0.007776049766718529</v>
      </c>
      <c r="J243" s="5">
        <v>-0.02627511591962906</v>
      </c>
      <c r="K243" s="4">
        <v>550551790810.306</v>
      </c>
    </row>
    <row r="244" spans="1:11">
      <c r="A244" s="1" t="s">
        <v>1564</v>
      </c>
      <c r="B244" s="1" t="s">
        <v>1565</v>
      </c>
      <c r="C244" s="1" t="s">
        <v>70</v>
      </c>
      <c r="D244" s="1" t="s">
        <v>100</v>
      </c>
      <c r="E244" s="4">
        <v>6.04</v>
      </c>
      <c r="F244" s="4">
        <v>6.17</v>
      </c>
      <c r="G244" s="4">
        <v>6.25</v>
      </c>
      <c r="H244" s="5">
        <f>G244/F244-1</f>
        <v>0.01296596434359798</v>
      </c>
      <c r="I244" s="5">
        <f>G244/E244-1</f>
        <v>0.0347682119205297</v>
      </c>
      <c r="J244" s="5">
        <v>-0.02218699588733619</v>
      </c>
      <c r="K244" s="4">
        <v>172132977664.2793</v>
      </c>
    </row>
    <row r="245" spans="1:11">
      <c r="A245" s="1" t="s">
        <v>1566</v>
      </c>
      <c r="B245" s="1" t="s">
        <v>1567</v>
      </c>
      <c r="C245" s="1" t="s">
        <v>54</v>
      </c>
      <c r="D245" s="1" t="s">
        <v>113</v>
      </c>
      <c r="E245" s="4">
        <v>14.23</v>
      </c>
      <c r="F245" s="4">
        <v>14.57</v>
      </c>
      <c r="G245" s="4">
        <v>14.65</v>
      </c>
      <c r="H245" s="5">
        <f>G245/F245-1</f>
        <v>0.005490734385724005</v>
      </c>
      <c r="I245" s="5">
        <f>G245/E245-1</f>
        <v>0.029515108924806688</v>
      </c>
      <c r="J245" s="5">
        <v>-0.02093183057618864</v>
      </c>
      <c r="K245" s="4">
        <v>61844894578.64372</v>
      </c>
    </row>
    <row r="246" spans="1:11">
      <c r="A246" s="1" t="s">
        <v>1568</v>
      </c>
      <c r="B246" s="1" t="s">
        <v>1569</v>
      </c>
      <c r="C246" s="1" t="s">
        <v>70</v>
      </c>
      <c r="D246" s="1" t="s">
        <v>100</v>
      </c>
      <c r="E246" s="4">
        <v>5.86</v>
      </c>
      <c r="F246" s="4">
        <v>5.93</v>
      </c>
      <c r="G246" s="4">
        <v>5.97</v>
      </c>
      <c r="H246" s="5">
        <f>G246/F246-1</f>
        <v>0.006745362563237878</v>
      </c>
      <c r="I246" s="5">
        <f>G246/E246-1</f>
        <v>0.018771331058020424</v>
      </c>
      <c r="J246" s="5">
        <v>-0.02159468438538203</v>
      </c>
      <c r="K246" s="4">
        <v>83782593111.63144</v>
      </c>
    </row>
    <row r="247" spans="1:11">
      <c r="A247" s="1" t="s">
        <v>1570</v>
      </c>
      <c r="B247" s="1" t="s">
        <v>1571</v>
      </c>
      <c r="C247" s="1" t="s">
        <v>70</v>
      </c>
      <c r="D247" s="1" t="s">
        <v>243</v>
      </c>
      <c r="E247" s="4">
        <v>4.87</v>
      </c>
      <c r="F247" s="4">
        <v>4.88</v>
      </c>
      <c r="G247" s="4">
        <v>4.9</v>
      </c>
      <c r="H247" s="5">
        <f>G247/F247-1</f>
        <v>0.004098360655737876</v>
      </c>
      <c r="I247" s="5">
        <f>G247/E247-1</f>
        <v>0.006160164271047375</v>
      </c>
      <c r="J247" s="5">
        <v>-0.01622718052738337</v>
      </c>
      <c r="K247" s="4">
        <v>239735828913</v>
      </c>
    </row>
    <row r="248" spans="1:11">
      <c r="A248" s="1" t="s">
        <v>1572</v>
      </c>
      <c r="B248" s="1" t="s">
        <v>1573</v>
      </c>
      <c r="C248" s="1" t="s">
        <v>54</v>
      </c>
      <c r="D248" s="1" t="s">
        <v>165</v>
      </c>
      <c r="E248" s="4">
        <v>3.02</v>
      </c>
      <c r="F248" s="4">
        <v>3.06</v>
      </c>
      <c r="G248" s="4">
        <v>3.05</v>
      </c>
      <c r="H248" s="5">
        <f>G248/F248-1</f>
        <v>-0.0032679738562092497</v>
      </c>
      <c r="I248" s="5">
        <f>G248/E248-1</f>
        <v>0.009933774834437026</v>
      </c>
      <c r="J248" s="5">
        <v>-0.03883495145631055</v>
      </c>
      <c r="K248" s="4">
        <v>172621739546.9256</v>
      </c>
    </row>
    <row r="249" spans="1:11">
      <c r="A249" s="1" t="s">
        <v>1574</v>
      </c>
      <c r="B249" s="1" t="s">
        <v>1575</v>
      </c>
      <c r="C249" s="1" t="s">
        <v>54</v>
      </c>
      <c r="D249" s="1" t="s">
        <v>165</v>
      </c>
      <c r="E249" s="4">
        <v>8.76</v>
      </c>
      <c r="F249" s="4">
        <v>8.99</v>
      </c>
      <c r="G249" s="4">
        <v>9.01</v>
      </c>
      <c r="H249" s="5">
        <f>G249/F249-1</f>
        <v>0.0022246941045604984</v>
      </c>
      <c r="I249" s="5">
        <f>G249/E249-1</f>
        <v>0.028538812785388057</v>
      </c>
      <c r="J249" s="5">
        <v>-0.02323008849557517</v>
      </c>
      <c r="K249" s="4">
        <v>86896444449.45</v>
      </c>
    </row>
    <row r="250" spans="1:11">
      <c r="A250" s="1" t="s">
        <v>1576</v>
      </c>
      <c r="B250" s="1" t="s">
        <v>1577</v>
      </c>
      <c r="C250" s="1" t="s">
        <v>54</v>
      </c>
      <c r="D250" s="1" t="s">
        <v>165</v>
      </c>
      <c r="E250" s="4">
        <v>18.65</v>
      </c>
      <c r="F250" s="4">
        <v>19.4</v>
      </c>
      <c r="G250" s="4">
        <v>19.49</v>
      </c>
      <c r="H250" s="5">
        <f>G250/F250-1</f>
        <v>0.004639175257731942</v>
      </c>
      <c r="I250" s="5">
        <f>G250/E250-1</f>
        <v>0.04504021447721174</v>
      </c>
      <c r="J250" s="5">
        <v>-0.009004237288135486</v>
      </c>
      <c r="K250" s="4">
        <v>82607105088.43999</v>
      </c>
    </row>
    <row r="251" spans="1:11">
      <c r="A251" s="1" t="s">
        <v>1578</v>
      </c>
      <c r="B251" s="1" t="s">
        <v>1579</v>
      </c>
      <c r="C251" s="1" t="s">
        <v>129</v>
      </c>
      <c r="D251" s="1" t="s">
        <v>129</v>
      </c>
      <c r="E251" s="4">
        <v>11.2</v>
      </c>
      <c r="F251" s="4">
        <v>11.21</v>
      </c>
      <c r="G251" s="4">
        <v>11.17</v>
      </c>
      <c r="H251" s="5">
        <f>G251/F251-1</f>
        <v>-0.003568242640499597</v>
      </c>
      <c r="I251" s="5">
        <f>G251/E251-1</f>
        <v>-0.002678571428571419</v>
      </c>
      <c r="J251" s="5">
        <v>-0.02274718269762821</v>
      </c>
      <c r="K251" s="4">
        <v>1992089853476.056</v>
      </c>
    </row>
    <row r="252" spans="1:11">
      <c r="A252" s="1" t="s">
        <v>1580</v>
      </c>
      <c r="B252" s="1" t="s">
        <v>1581</v>
      </c>
      <c r="C252" s="1" t="s">
        <v>70</v>
      </c>
      <c r="D252" s="1" t="s">
        <v>100</v>
      </c>
      <c r="E252" s="4">
        <v>2.51</v>
      </c>
      <c r="F252" s="4">
        <v>2.48</v>
      </c>
      <c r="G252" s="4">
        <v>2.48</v>
      </c>
      <c r="H252" s="5">
        <f>G252/F252-1</f>
        <v>0.0</v>
      </c>
      <c r="I252" s="5">
        <f>G252/E252-1</f>
        <v>-0.01195219123505964</v>
      </c>
      <c r="J252" s="5">
        <v>-0.02371541501976271</v>
      </c>
      <c r="K252" s="4">
        <v>95026813738.28679</v>
      </c>
    </row>
    <row r="253" spans="1:11">
      <c r="A253" s="1" t="s">
        <v>1582</v>
      </c>
      <c r="B253" s="1" t="s">
        <v>1583</v>
      </c>
      <c r="C253" s="1" t="s">
        <v>129</v>
      </c>
      <c r="D253" s="1" t="s">
        <v>129</v>
      </c>
      <c r="E253" s="4">
        <v>19.78</v>
      </c>
      <c r="F253" s="4">
        <v>19.3</v>
      </c>
      <c r="G253" s="4">
        <v>19.2</v>
      </c>
      <c r="H253" s="5">
        <f>G253/F253-1</f>
        <v>-0.005181347150259086</v>
      </c>
      <c r="I253" s="5">
        <f>G253/E253-1</f>
        <v>-0.029322548028311468</v>
      </c>
      <c r="J253" s="5">
        <v>-0.09959555106167861</v>
      </c>
      <c r="K253" s="4">
        <v>155031139238.4</v>
      </c>
    </row>
    <row r="254" spans="1:11">
      <c r="A254" s="1" t="s">
        <v>1584</v>
      </c>
      <c r="B254" s="1" t="s">
        <v>1585</v>
      </c>
      <c r="C254" s="1" t="s">
        <v>70</v>
      </c>
      <c r="D254" s="1" t="s">
        <v>100</v>
      </c>
      <c r="E254" s="4">
        <v>25.82</v>
      </c>
      <c r="F254" s="4">
        <v>25.09</v>
      </c>
      <c r="G254" s="4">
        <v>25.87</v>
      </c>
      <c r="H254" s="5">
        <f>G254/F254-1</f>
        <v>0.031088082901554515</v>
      </c>
      <c r="I254" s="5">
        <f>G254/E254-1</f>
        <v>0.0019364833462431896</v>
      </c>
      <c r="J254" s="5">
        <v>-0.05072463768115931</v>
      </c>
      <c r="K254" s="4">
        <v>55593827409.12001</v>
      </c>
    </row>
    <row r="255" spans="1:11">
      <c r="A255" s="1" t="s">
        <v>1586</v>
      </c>
      <c r="B255" s="1" t="s">
        <v>1587</v>
      </c>
      <c r="C255" s="1" t="s">
        <v>54</v>
      </c>
      <c r="D255" s="1" t="s">
        <v>113</v>
      </c>
      <c r="E255" s="4">
        <v>9.17</v>
      </c>
      <c r="F255" s="4">
        <v>9.41</v>
      </c>
      <c r="G255" s="4">
        <v>9.470000000000001</v>
      </c>
      <c r="H255" s="5">
        <f>G255/F255-1</f>
        <v>0.006376195536663243</v>
      </c>
      <c r="I255" s="5">
        <f>G255/E255-1</f>
        <v>0.03271537622682663</v>
      </c>
      <c r="J255" s="5">
        <v>-0.01371303254363465</v>
      </c>
      <c r="K255" s="4">
        <v>42946592419.33</v>
      </c>
    </row>
    <row r="256" spans="1:11">
      <c r="A256" s="1" t="s">
        <v>1588</v>
      </c>
      <c r="B256" s="1" t="s">
        <v>1589</v>
      </c>
      <c r="C256" s="1" t="s">
        <v>54</v>
      </c>
      <c r="D256" s="1" t="s">
        <v>113</v>
      </c>
      <c r="E256" s="4">
        <v>12.07</v>
      </c>
      <c r="F256" s="4">
        <v>12.38</v>
      </c>
      <c r="G256" s="4">
        <v>12.43</v>
      </c>
      <c r="H256" s="5">
        <f>G256/F256-1</f>
        <v>0.0040387722132471104</v>
      </c>
      <c r="I256" s="5">
        <f>G256/E256-1</f>
        <v>0.029826014913007404</v>
      </c>
      <c r="J256" s="5">
        <v>-0.01042504123857446</v>
      </c>
      <c r="K256" s="4">
        <v>115237905450.4408</v>
      </c>
    </row>
    <row r="257" spans="1:11">
      <c r="A257" s="1" t="s">
        <v>1590</v>
      </c>
      <c r="B257" s="1" t="s">
        <v>1591</v>
      </c>
      <c r="C257" s="1" t="s">
        <v>47</v>
      </c>
      <c r="D257" s="1" t="s">
        <v>120</v>
      </c>
      <c r="E257" s="4">
        <v>52.29</v>
      </c>
      <c r="F257" s="4">
        <v>53.72</v>
      </c>
      <c r="G257" s="4">
        <v>54.6</v>
      </c>
      <c r="H257" s="5">
        <f>G257/F257-1</f>
        <v>0.016381236038719438</v>
      </c>
      <c r="I257" s="5">
        <f>G257/E257-1</f>
        <v>0.04417670682730934</v>
      </c>
      <c r="J257" s="5">
        <v>-0.01630740393626995</v>
      </c>
      <c r="K257" s="4">
        <v>111966684923.5424</v>
      </c>
    </row>
    <row r="258" spans="1:11">
      <c r="A258" s="1" t="s">
        <v>1592</v>
      </c>
      <c r="B258" s="1" t="s">
        <v>1593</v>
      </c>
      <c r="C258" s="1" t="s">
        <v>129</v>
      </c>
      <c r="D258" s="1" t="s">
        <v>129</v>
      </c>
      <c r="E258" s="4">
        <v>14.3</v>
      </c>
      <c r="F258" s="4">
        <v>14.91</v>
      </c>
      <c r="G258" s="4">
        <v>15.18</v>
      </c>
      <c r="H258" s="5">
        <f>G258/F258-1</f>
        <v>0.01810865191146882</v>
      </c>
      <c r="I258" s="5">
        <f>G258/E258-1</f>
        <v>0.06153846153846154</v>
      </c>
      <c r="J258" s="5">
        <v>-0.07906114885731941</v>
      </c>
      <c r="K258" s="4">
        <v>178633833839.9764</v>
      </c>
    </row>
    <row r="259" spans="1:11">
      <c r="A259" s="1" t="s">
        <v>1594</v>
      </c>
      <c r="B259" s="1" t="s">
        <v>1595</v>
      </c>
      <c r="C259" s="1" t="s">
        <v>93</v>
      </c>
      <c r="D259" s="1" t="s">
        <v>93</v>
      </c>
      <c r="E259" s="4">
        <v>34.74</v>
      </c>
      <c r="F259" s="4">
        <v>33.31</v>
      </c>
      <c r="G259" s="4">
        <v>33.35</v>
      </c>
      <c r="H259" s="5">
        <f>G259/F259-1</f>
        <v>0.0012008405884118556</v>
      </c>
      <c r="I259" s="5">
        <f>G259/E259-1</f>
        <v>-0.04001151410477832</v>
      </c>
      <c r="J259" s="5">
        <v>-0.05152561888313179</v>
      </c>
      <c r="K259" s="4">
        <v>874622557268.21</v>
      </c>
    </row>
    <row r="260" spans="1:11">
      <c r="A260" s="1" t="s">
        <v>1596</v>
      </c>
      <c r="B260" s="1" t="s">
        <v>1597</v>
      </c>
      <c r="C260" s="1" t="s">
        <v>54</v>
      </c>
      <c r="D260" s="1" t="s">
        <v>113</v>
      </c>
      <c r="E260" s="4">
        <v>6.72</v>
      </c>
      <c r="F260" s="4">
        <v>6.89</v>
      </c>
      <c r="G260" s="4">
        <v>6.92</v>
      </c>
      <c r="H260" s="5">
        <f>G260/F260-1</f>
        <v>0.004354136429608246</v>
      </c>
      <c r="I260" s="5">
        <f>G260/E260-1</f>
        <v>0.029761904761904878</v>
      </c>
      <c r="J260" s="5">
        <v>-0.01719197976297637</v>
      </c>
      <c r="K260" s="4">
        <v>56966141653.39999</v>
      </c>
    </row>
    <row r="261" spans="1:11">
      <c r="A261" s="1" t="s">
        <v>1598</v>
      </c>
      <c r="B261" s="1" t="s">
        <v>1599</v>
      </c>
      <c r="C261" s="1" t="s">
        <v>54</v>
      </c>
      <c r="D261" s="1" t="s">
        <v>165</v>
      </c>
      <c r="E261" s="4">
        <v>2.92</v>
      </c>
      <c r="F261" s="4">
        <v>2.97</v>
      </c>
      <c r="G261" s="4">
        <v>2.97</v>
      </c>
      <c r="H261" s="5">
        <f>G261/F261-1</f>
        <v>0.0</v>
      </c>
      <c r="I261" s="5">
        <f>G261/E261-1</f>
        <v>0.017123287671233056</v>
      </c>
      <c r="J261" s="5">
        <v>-0.02693602693602692</v>
      </c>
      <c r="K261" s="4">
        <v>76397672838.19279</v>
      </c>
    </row>
    <row r="262" spans="1:11">
      <c r="A262" s="1" t="s">
        <v>1600</v>
      </c>
      <c r="B262" s="1" t="s">
        <v>1601</v>
      </c>
      <c r="C262" s="1" t="s">
        <v>70</v>
      </c>
      <c r="D262" s="1" t="s">
        <v>243</v>
      </c>
      <c r="E262" s="4">
        <v>17.01</v>
      </c>
      <c r="F262" s="4">
        <v>16.57</v>
      </c>
      <c r="G262" s="4">
        <v>16.06</v>
      </c>
      <c r="H262" s="5">
        <f>G262/F262-1</f>
        <v>-0.0307785153892578</v>
      </c>
      <c r="I262" s="5">
        <f>G262/E262-1</f>
        <v>-0.055849500293944865</v>
      </c>
      <c r="J262" s="5">
        <v>-0.07807118254879464</v>
      </c>
      <c r="K262" s="4">
        <v>239290909051.3912</v>
      </c>
    </row>
    <row r="263" spans="1:11">
      <c r="A263" s="1" t="s">
        <v>1602</v>
      </c>
      <c r="B263" s="1" t="s">
        <v>1603</v>
      </c>
      <c r="C263" s="1" t="s">
        <v>54</v>
      </c>
      <c r="D263" s="1" t="s">
        <v>165</v>
      </c>
      <c r="E263" s="4">
        <v>10.53</v>
      </c>
      <c r="F263" s="4">
        <v>10.95</v>
      </c>
      <c r="G263" s="4">
        <v>10.98</v>
      </c>
      <c r="H263" s="5">
        <f>G263/F263-1</f>
        <v>0.00273972602739736</v>
      </c>
      <c r="I263" s="5">
        <f>G263/E263-1</f>
        <v>0.042735042735042805</v>
      </c>
      <c r="J263" s="5">
        <v>-0.01705565529622988</v>
      </c>
      <c r="K263" s="4">
        <v>2240338537847.336</v>
      </c>
    </row>
    <row r="264" spans="1:11">
      <c r="A264" s="1" t="s">
        <v>1604</v>
      </c>
      <c r="B264" s="1" t="s">
        <v>1605</v>
      </c>
      <c r="C264" s="1" t="s">
        <v>76</v>
      </c>
      <c r="D264" s="1" t="s">
        <v>76</v>
      </c>
      <c r="E264" s="4">
        <v>8.710000000000001</v>
      </c>
      <c r="F264" s="4">
        <v>9.119999999999999</v>
      </c>
      <c r="G264" s="4">
        <v>9.08</v>
      </c>
      <c r="H264" s="5">
        <f>G264/F264-1</f>
        <v>-0.004385964912280604</v>
      </c>
      <c r="I264" s="5">
        <f>G264/E264-1</f>
        <v>0.042479908151549894</v>
      </c>
      <c r="J264" s="5">
        <v>-0.00784749086662262</v>
      </c>
      <c r="K264" s="4">
        <v>186757458831.92</v>
      </c>
    </row>
    <row r="265" spans="1:11">
      <c r="A265" s="1" t="s">
        <v>1606</v>
      </c>
      <c r="B265" s="1" t="s">
        <v>1607</v>
      </c>
      <c r="C265" s="1" t="s">
        <v>54</v>
      </c>
      <c r="D265" s="1" t="s">
        <v>165</v>
      </c>
      <c r="E265" s="4">
        <v>6.05</v>
      </c>
      <c r="F265" s="4">
        <v>6.54</v>
      </c>
      <c r="G265" s="4">
        <v>6.57</v>
      </c>
      <c r="H265" s="5">
        <f>G265/F265-1</f>
        <v>0.004587155963302836</v>
      </c>
      <c r="I265" s="5">
        <f>G265/E265-1</f>
        <v>0.08595041322314056</v>
      </c>
      <c r="J265" s="5">
        <v>-0.02095808383233533</v>
      </c>
      <c r="K265" s="4">
        <v>2001494028440.674</v>
      </c>
    </row>
    <row r="266" spans="1:11">
      <c r="A266" s="1" t="s">
        <v>1608</v>
      </c>
      <c r="B266" s="1" t="s">
        <v>1609</v>
      </c>
      <c r="C266" s="1" t="s">
        <v>54</v>
      </c>
      <c r="D266" s="1" t="s">
        <v>113</v>
      </c>
      <c r="E266" s="4">
        <v>34.06</v>
      </c>
      <c r="F266" s="4">
        <v>33.68</v>
      </c>
      <c r="G266" s="4">
        <v>33.9</v>
      </c>
      <c r="H266" s="5">
        <f>G266/F266-1</f>
        <v>0.0065320665083135054</v>
      </c>
      <c r="I266" s="5">
        <f>G266/E266-1</f>
        <v>-0.004697592483852153</v>
      </c>
      <c r="J266" s="5">
        <v>-0.03384968445209413</v>
      </c>
      <c r="K266" s="4">
        <v>134781091024.7824</v>
      </c>
    </row>
    <row r="267" spans="1:11">
      <c r="A267" s="1" t="s">
        <v>1610</v>
      </c>
      <c r="B267" s="1" t="s">
        <v>1611</v>
      </c>
      <c r="C267" s="1" t="s">
        <v>54</v>
      </c>
      <c r="D267" s="1" t="s">
        <v>165</v>
      </c>
      <c r="E267" s="4">
        <v>8.390000000000001</v>
      </c>
      <c r="F267" s="4">
        <v>8.779999999999999</v>
      </c>
      <c r="G267" s="4">
        <v>8.890000000000001</v>
      </c>
      <c r="H267" s="5">
        <f>G267/F267-1</f>
        <v>0.01252847380410027</v>
      </c>
      <c r="I267" s="5">
        <f>G267/E267-1</f>
        <v>0.05959475566150174</v>
      </c>
      <c r="J267" s="5">
        <v>-0.009029345372460473</v>
      </c>
      <c r="K267" s="4">
        <v>470429798885.7318</v>
      </c>
    </row>
    <row r="268" spans="1:11">
      <c r="A268" s="1" t="s">
        <v>1612</v>
      </c>
      <c r="B268" s="1" t="s">
        <v>1613</v>
      </c>
      <c r="C268" s="1" t="s">
        <v>41</v>
      </c>
      <c r="D268" s="1" t="s">
        <v>42</v>
      </c>
      <c r="E268" s="4">
        <v>84.11</v>
      </c>
      <c r="F268" s="4">
        <v>84.34999999999999</v>
      </c>
      <c r="G268" s="4">
        <v>82.69</v>
      </c>
      <c r="H268" s="5">
        <f>G268/F268-1</f>
        <v>-0.01967990515708351</v>
      </c>
      <c r="I268" s="5">
        <f>G268/E268-1</f>
        <v>-0.01688265366781594</v>
      </c>
      <c r="J268" s="5">
        <v>-0.06321513538008383</v>
      </c>
      <c r="K268" s="4">
        <v>120985044178.96</v>
      </c>
    </row>
    <row r="269" spans="1:11">
      <c r="A269" s="1" t="s">
        <v>1614</v>
      </c>
      <c r="B269" s="1" t="s">
        <v>1615</v>
      </c>
      <c r="C269" s="1" t="s">
        <v>37</v>
      </c>
      <c r="D269" s="1" t="s">
        <v>38</v>
      </c>
      <c r="E269" s="4">
        <v>162.86</v>
      </c>
      <c r="F269" s="4">
        <v>156.63</v>
      </c>
      <c r="G269" s="4">
        <v>153.83</v>
      </c>
      <c r="H269" s="5">
        <f>G269/F269-1</f>
        <v>-0.017876524292919527</v>
      </c>
      <c r="I269" s="5">
        <f>G269/E269-1</f>
        <v>-0.055446395677268834</v>
      </c>
      <c r="J269" s="5">
        <v>-0.05544639567726883</v>
      </c>
      <c r="K269" s="4">
        <v>464040899263.8436</v>
      </c>
    </row>
    <row r="270" spans="1:11">
      <c r="A270" s="1" t="s">
        <v>1616</v>
      </c>
      <c r="B270" s="1" t="s">
        <v>1617</v>
      </c>
      <c r="C270" s="1" t="s">
        <v>93</v>
      </c>
      <c r="D270" s="1" t="s">
        <v>93</v>
      </c>
      <c r="E270" s="4">
        <v>35.19</v>
      </c>
      <c r="F270" s="4">
        <v>33.44</v>
      </c>
      <c r="G270" s="4">
        <v>32.89</v>
      </c>
      <c r="H270" s="5">
        <f>G270/F270-1</f>
        <v>-0.016447368421052544</v>
      </c>
      <c r="I270" s="5">
        <f>G270/E270-1</f>
        <v>-0.06535947712418289</v>
      </c>
      <c r="J270" s="5">
        <v>-0.06535947712418289</v>
      </c>
      <c r="K270" s="4">
        <v>38882786289.49</v>
      </c>
    </row>
    <row r="271" spans="1:11">
      <c r="A271" s="1" t="s">
        <v>1618</v>
      </c>
      <c r="B271" s="1" t="s">
        <v>1619</v>
      </c>
      <c r="C271" s="1" t="s">
        <v>66</v>
      </c>
      <c r="D271" s="1" t="s">
        <v>67</v>
      </c>
      <c r="E271" s="4">
        <v>35.05</v>
      </c>
      <c r="F271" s="4">
        <v>34.12</v>
      </c>
      <c r="G271" s="4">
        <v>34.4</v>
      </c>
      <c r="H271" s="5">
        <f>G271/F271-1</f>
        <v>0.008206330597889888</v>
      </c>
      <c r="I271" s="5">
        <f>G271/E271-1</f>
        <v>-0.01854493580599137</v>
      </c>
      <c r="J271" s="5">
        <v>-0.06479421579532807</v>
      </c>
      <c r="K271" s="4">
        <v>198359596260.1004</v>
      </c>
    </row>
    <row r="272" spans="1:11">
      <c r="A272" s="1" t="s">
        <v>1620</v>
      </c>
      <c r="B272" s="1" t="s">
        <v>1621</v>
      </c>
      <c r="C272" s="1" t="s">
        <v>41</v>
      </c>
      <c r="D272" s="1" t="s">
        <v>42</v>
      </c>
      <c r="E272" s="4">
        <v>78.23999999999999</v>
      </c>
      <c r="F272" s="4">
        <v>79.69</v>
      </c>
      <c r="G272" s="4">
        <v>75.98</v>
      </c>
      <c r="H272" s="5">
        <f>G272/F272-1</f>
        <v>-0.04655540218346088</v>
      </c>
      <c r="I272" s="5">
        <f>G272/E272-1</f>
        <v>-0.02888548057259699</v>
      </c>
      <c r="J272" s="5">
        <v>-0.06887254901960771</v>
      </c>
      <c r="K272" s="4">
        <v>113956974328.4742</v>
      </c>
    </row>
    <row r="273" spans="1:11">
      <c r="A273" s="1" t="s">
        <v>1622</v>
      </c>
      <c r="B273" s="1" t="s">
        <v>1623</v>
      </c>
      <c r="C273" s="1" t="s">
        <v>66</v>
      </c>
      <c r="D273" s="1" t="s">
        <v>67</v>
      </c>
      <c r="E273" s="4">
        <v>27.89</v>
      </c>
      <c r="F273" s="4">
        <v>30.06</v>
      </c>
      <c r="G273" s="4">
        <v>30.9</v>
      </c>
      <c r="H273" s="5">
        <f>G273/F273-1</f>
        <v>0.027944111776447178</v>
      </c>
      <c r="I273" s="5">
        <f>G273/E273-1</f>
        <v>0.10792398709214757</v>
      </c>
      <c r="J273" s="5">
        <v>-0.0067001801981178</v>
      </c>
      <c r="K273" s="4">
        <v>38526121143.3</v>
      </c>
    </row>
    <row r="274" spans="1:11">
      <c r="A274" s="1" t="s">
        <v>1624</v>
      </c>
      <c r="B274" s="1" t="s">
        <v>1625</v>
      </c>
      <c r="C274" s="1" t="s">
        <v>37</v>
      </c>
      <c r="D274" s="1" t="s">
        <v>38</v>
      </c>
      <c r="E274" s="4">
        <v>30.59</v>
      </c>
      <c r="F274" s="4">
        <v>28.27</v>
      </c>
      <c r="G274" s="4">
        <v>27.67</v>
      </c>
      <c r="H274" s="5">
        <f>G274/F274-1</f>
        <v>-0.021223912274495826</v>
      </c>
      <c r="I274" s="5">
        <f>G274/E274-1</f>
        <v>-0.09545603138280478</v>
      </c>
      <c r="J274" s="5">
        <v>-0.1171027440970006</v>
      </c>
      <c r="K274" s="4">
        <v>34985748886.68001</v>
      </c>
    </row>
    <row r="275" spans="1:11">
      <c r="A275" s="1" t="s">
        <v>1626</v>
      </c>
      <c r="B275" s="1" t="s">
        <v>1627</v>
      </c>
      <c r="C275" s="1" t="s">
        <v>41</v>
      </c>
      <c r="D275" s="1" t="s">
        <v>63</v>
      </c>
      <c r="E275" s="4">
        <v>85.81999999999999</v>
      </c>
      <c r="F275" s="4">
        <v>79.3</v>
      </c>
      <c r="G275" s="4">
        <v>80.25</v>
      </c>
      <c r="H275" s="5">
        <f>G275/F275-1</f>
        <v>0.011979823455233296</v>
      </c>
      <c r="I275" s="5">
        <f>G275/E275-1</f>
        <v>-0.06490328594733152</v>
      </c>
      <c r="J275" s="5">
        <v>-0.07597296667443487</v>
      </c>
      <c r="K275" s="4">
        <v>100004323983.982</v>
      </c>
    </row>
    <row r="276" spans="1:11">
      <c r="A276" s="1" t="s">
        <v>1628</v>
      </c>
      <c r="B276" s="1" t="s">
        <v>1629</v>
      </c>
      <c r="C276" s="1" t="s">
        <v>70</v>
      </c>
      <c r="D276" s="1" t="s">
        <v>100</v>
      </c>
      <c r="E276" s="4">
        <v>40.59</v>
      </c>
      <c r="F276" s="4">
        <v>38.63</v>
      </c>
      <c r="G276" s="4">
        <v>38.07</v>
      </c>
      <c r="H276" s="5">
        <f>G276/F276-1</f>
        <v>-0.014496505306756502</v>
      </c>
      <c r="I276" s="5">
        <f>G276/E276-1</f>
        <v>-0.06208425720620847</v>
      </c>
      <c r="J276" s="5">
        <v>-0.06528701650652879</v>
      </c>
      <c r="K276" s="4">
        <v>72086592572.19</v>
      </c>
    </row>
    <row r="277" spans="1:11">
      <c r="A277" s="1" t="s">
        <v>1630</v>
      </c>
      <c r="B277" s="1" t="s">
        <v>1631</v>
      </c>
      <c r="C277" s="1" t="s">
        <v>41</v>
      </c>
      <c r="D277" s="1" t="s">
        <v>63</v>
      </c>
      <c r="E277" s="4">
        <v>180.61</v>
      </c>
      <c r="F277" s="4">
        <v>193.9</v>
      </c>
      <c r="G277" s="4">
        <v>189</v>
      </c>
      <c r="H277" s="5">
        <f>G277/F277-1</f>
        <v>-0.02527075812274371</v>
      </c>
      <c r="I277" s="5">
        <f>G277/E277-1</f>
        <v>0.046453684735064504</v>
      </c>
      <c r="J277" s="5">
        <v>-0.07170926162002456</v>
      </c>
      <c r="K277" s="4">
        <v>79974130950</v>
      </c>
    </row>
    <row r="278" spans="1:11">
      <c r="A278" s="1" t="s">
        <v>1632</v>
      </c>
      <c r="B278" s="1" t="s">
        <v>1633</v>
      </c>
      <c r="C278" s="1" t="s">
        <v>41</v>
      </c>
      <c r="D278" s="1" t="s">
        <v>63</v>
      </c>
      <c r="E278" s="4">
        <v>409.06</v>
      </c>
      <c r="F278" s="4">
        <v>383.2</v>
      </c>
      <c r="G278" s="4">
        <v>371.88</v>
      </c>
      <c r="H278" s="5">
        <f>G278/F278-1</f>
        <v>-0.029540709812108545</v>
      </c>
      <c r="I278" s="5">
        <f>G278/E278-1</f>
        <v>-0.0908913117880018</v>
      </c>
      <c r="J278" s="5">
        <v>-0.09562256809338521</v>
      </c>
      <c r="K278" s="4">
        <v>262651619467.1161</v>
      </c>
    </row>
    <row r="279" spans="1:11">
      <c r="A279" s="1" t="s">
        <v>1634</v>
      </c>
      <c r="B279" s="1" t="s">
        <v>1635</v>
      </c>
      <c r="C279" s="1" t="s">
        <v>93</v>
      </c>
      <c r="D279" s="1" t="s">
        <v>93</v>
      </c>
      <c r="E279" s="4">
        <v>18.62</v>
      </c>
      <c r="F279" s="4">
        <v>18.61</v>
      </c>
      <c r="G279" s="4">
        <v>18.48</v>
      </c>
      <c r="H279" s="5">
        <f>G279/F279-1</f>
        <v>-0.006985491671144484</v>
      </c>
      <c r="I279" s="5">
        <f>G279/E279-1</f>
        <v>-0.007518796992481258</v>
      </c>
      <c r="J279" s="5">
        <v>-0.05768249106687084</v>
      </c>
      <c r="K279" s="4">
        <v>378041358970.1339</v>
      </c>
    </row>
    <row r="280" spans="1:11">
      <c r="A280" s="1" t="s">
        <v>1636</v>
      </c>
      <c r="B280" s="1" t="s">
        <v>1637</v>
      </c>
      <c r="C280" s="1" t="s">
        <v>70</v>
      </c>
      <c r="D280" s="1" t="s">
        <v>100</v>
      </c>
      <c r="E280" s="4">
        <v>96.2</v>
      </c>
      <c r="F280" s="4">
        <v>86.25</v>
      </c>
      <c r="G280" s="4">
        <v>86.42</v>
      </c>
      <c r="H280" s="5">
        <f>G280/F280-1</f>
        <v>0.001971014492753609</v>
      </c>
      <c r="I280" s="5">
        <f>G280/E280-1</f>
        <v>-0.10166320166320164</v>
      </c>
      <c r="J280" s="5">
        <v>-0.1179995803848775</v>
      </c>
      <c r="K280" s="4">
        <v>110032626131.12</v>
      </c>
    </row>
    <row r="281" spans="1:11">
      <c r="A281" s="1" t="s">
        <v>1638</v>
      </c>
      <c r="B281" s="1" t="s">
        <v>1639</v>
      </c>
      <c r="C281" s="1" t="s">
        <v>66</v>
      </c>
      <c r="D281" s="1" t="s">
        <v>67</v>
      </c>
      <c r="E281" s="4">
        <v>120.03</v>
      </c>
      <c r="F281" s="4">
        <v>118.92</v>
      </c>
      <c r="G281" s="4">
        <v>120.41</v>
      </c>
      <c r="H281" s="5">
        <f>G281/F281-1</f>
        <v>0.012529431550622139</v>
      </c>
      <c r="I281" s="5">
        <f>G281/E281-1</f>
        <v>0.0031658751978671518</v>
      </c>
      <c r="J281" s="5">
        <v>-0.03864187550525466</v>
      </c>
      <c r="K281" s="4">
        <v>86536852435.95059</v>
      </c>
    </row>
    <row r="282" spans="1:11">
      <c r="A282" s="1" t="s">
        <v>1640</v>
      </c>
      <c r="B282" s="1" t="s">
        <v>1641</v>
      </c>
      <c r="C282" s="1" t="s">
        <v>41</v>
      </c>
      <c r="D282" s="1" t="s">
        <v>63</v>
      </c>
      <c r="E282" s="4">
        <v>200.55</v>
      </c>
      <c r="F282" s="4">
        <v>190.01</v>
      </c>
      <c r="G282" s="4">
        <v>187.7</v>
      </c>
      <c r="H282" s="5">
        <f>G282/F282-1</f>
        <v>-0.012157254881322022</v>
      </c>
      <c r="I282" s="5">
        <f>G282/E282-1</f>
        <v>-0.06407379705809035</v>
      </c>
      <c r="J282" s="5">
        <v>-0.1515233704005063</v>
      </c>
      <c r="K282" s="4">
        <v>231833198235.8979</v>
      </c>
    </row>
    <row r="283" spans="1:11">
      <c r="A283" s="1" t="s">
        <v>1642</v>
      </c>
      <c r="B283" s="1" t="s">
        <v>1643</v>
      </c>
      <c r="C283" s="1" t="s">
        <v>41</v>
      </c>
      <c r="D283" s="1" t="s">
        <v>42</v>
      </c>
      <c r="E283" s="4">
        <v>4.89</v>
      </c>
      <c r="F283" s="4">
        <v>4.91</v>
      </c>
      <c r="G283" s="4">
        <v>4.96</v>
      </c>
      <c r="H283" s="5">
        <f>G283/F283-1</f>
        <v>0.010183299389002087</v>
      </c>
      <c r="I283" s="5">
        <f>G283/E283-1</f>
        <v>0.014314928425357865</v>
      </c>
      <c r="J283" s="5">
        <v>-0.02385685884691846</v>
      </c>
      <c r="K283" s="4">
        <v>48108839139.80411</v>
      </c>
    </row>
    <row r="284" spans="1:11">
      <c r="A284" s="1" t="s">
        <v>1644</v>
      </c>
      <c r="B284" s="1" t="s">
        <v>1645</v>
      </c>
      <c r="C284" s="1" t="s">
        <v>41</v>
      </c>
      <c r="D284" s="1" t="s">
        <v>63</v>
      </c>
      <c r="E284" s="4">
        <v>362.5</v>
      </c>
      <c r="F284" s="4">
        <v>341</v>
      </c>
      <c r="G284" s="4">
        <v>335.42</v>
      </c>
      <c r="H284" s="5">
        <f>G284/F284-1</f>
        <v>-0.016363636363636358</v>
      </c>
      <c r="I284" s="5">
        <f>G284/E284-1</f>
        <v>-0.07470344827586206</v>
      </c>
      <c r="J284" s="5">
        <v>-0.1079492566687056</v>
      </c>
      <c r="K284" s="4">
        <v>321279480366.16</v>
      </c>
    </row>
    <row r="285" spans="1:11">
      <c r="A285" s="1" t="s">
        <v>1646</v>
      </c>
      <c r="B285" s="1" t="s">
        <v>1647</v>
      </c>
      <c r="C285" s="1" t="s">
        <v>41</v>
      </c>
      <c r="D285" s="1" t="s">
        <v>42</v>
      </c>
      <c r="E285" s="4">
        <v>57.81</v>
      </c>
      <c r="F285" s="4">
        <v>56.46</v>
      </c>
      <c r="G285" s="4">
        <v>56.78</v>
      </c>
      <c r="H285" s="5">
        <f>G285/F285-1</f>
        <v>0.005667729365922858</v>
      </c>
      <c r="I285" s="5">
        <f>G285/E285-1</f>
        <v>-0.01781698668050513</v>
      </c>
      <c r="J285" s="5">
        <v>-0.04890016920473772</v>
      </c>
      <c r="K285" s="4">
        <v>65364258465.10001</v>
      </c>
    </row>
    <row r="286" spans="1:11">
      <c r="A286" s="1" t="s">
        <v>1648</v>
      </c>
      <c r="B286" s="1" t="s">
        <v>1649</v>
      </c>
      <c r="C286" s="1" t="s">
        <v>41</v>
      </c>
      <c r="D286" s="1" t="s">
        <v>63</v>
      </c>
      <c r="E286" s="4">
        <v>246.21</v>
      </c>
      <c r="F286" s="4">
        <v>246.2</v>
      </c>
      <c r="G286" s="4">
        <v>243.67</v>
      </c>
      <c r="H286" s="5">
        <f>G286/F286-1</f>
        <v>-0.010276198212835097</v>
      </c>
      <c r="I286" s="5">
        <f>G286/E286-1</f>
        <v>-0.010316396572032094</v>
      </c>
      <c r="J286" s="5">
        <v>-0.06254823118476105</v>
      </c>
      <c r="K286" s="4">
        <v>566371462633.97</v>
      </c>
    </row>
    <row r="287" spans="1:11">
      <c r="A287" s="1" t="s">
        <v>1650</v>
      </c>
      <c r="B287" s="1" t="s">
        <v>1651</v>
      </c>
      <c r="C287" s="1" t="s">
        <v>41</v>
      </c>
      <c r="D287" s="1" t="s">
        <v>63</v>
      </c>
      <c r="E287" s="4">
        <v>107.38</v>
      </c>
      <c r="F287" s="4">
        <v>103.25</v>
      </c>
      <c r="G287" s="4">
        <v>101.9</v>
      </c>
      <c r="H287" s="5">
        <f>G287/F287-1</f>
        <v>-0.013075060532687588</v>
      </c>
      <c r="I287" s="5">
        <f>G287/E287-1</f>
        <v>-0.051033712050661095</v>
      </c>
      <c r="J287" s="5">
        <v>-0.05648148148148147</v>
      </c>
      <c r="K287" s="4">
        <v>40861900000</v>
      </c>
    </row>
    <row r="288" spans="1:11">
      <c r="A288" s="1" t="s">
        <v>1652</v>
      </c>
      <c r="B288" s="1" t="s">
        <v>1653</v>
      </c>
      <c r="C288" s="1" t="s">
        <v>41</v>
      </c>
      <c r="D288" s="1" t="s">
        <v>63</v>
      </c>
      <c r="E288" s="4">
        <v>673.5</v>
      </c>
      <c r="F288" s="4">
        <v>641.04</v>
      </c>
      <c r="G288" s="4">
        <v>621.9299999999999</v>
      </c>
      <c r="H288" s="5">
        <f>G288/F288-1</f>
        <v>-0.029810932235117993</v>
      </c>
      <c r="I288" s="5">
        <f>G288/E288-1</f>
        <v>-0.07657015590200456</v>
      </c>
      <c r="J288" s="5">
        <v>-0.1025541125541126</v>
      </c>
      <c r="K288" s="4">
        <v>181711321811.1</v>
      </c>
    </row>
    <row r="289" spans="1:11">
      <c r="A289" s="1" t="s">
        <v>1654</v>
      </c>
      <c r="B289" s="1" t="s">
        <v>1655</v>
      </c>
      <c r="C289" s="1" t="s">
        <v>41</v>
      </c>
      <c r="D289" s="1" t="s">
        <v>63</v>
      </c>
      <c r="E289" s="4">
        <v>301.1</v>
      </c>
      <c r="F289" s="4">
        <v>281.61</v>
      </c>
      <c r="G289" s="4">
        <v>270.2</v>
      </c>
      <c r="H289" s="5">
        <f>G289/F289-1</f>
        <v>-0.04051702709420835</v>
      </c>
      <c r="I289" s="5">
        <f>G289/E289-1</f>
        <v>-0.10262371305214224</v>
      </c>
      <c r="J289" s="5">
        <v>-0.119898374645777</v>
      </c>
      <c r="K289" s="4">
        <v>130397625367.8</v>
      </c>
    </row>
    <row r="290" spans="1:11">
      <c r="A290" s="1" t="s">
        <v>1656</v>
      </c>
      <c r="B290" s="1" t="s">
        <v>1657</v>
      </c>
      <c r="C290" s="1" t="s">
        <v>41</v>
      </c>
      <c r="D290" s="1" t="s">
        <v>58</v>
      </c>
      <c r="E290" s="4">
        <v>240.5</v>
      </c>
      <c r="F290" s="4">
        <v>239.05</v>
      </c>
      <c r="G290" s="4">
        <v>242.99</v>
      </c>
      <c r="H290" s="5">
        <f>G290/F290-1</f>
        <v>0.016481907550721653</v>
      </c>
      <c r="I290" s="5">
        <f>G290/E290-1</f>
        <v>0.010353430353430282</v>
      </c>
      <c r="J290" s="5">
        <v>-0.04506308832365313</v>
      </c>
      <c r="K290" s="4">
        <v>112750624570.65</v>
      </c>
    </row>
    <row r="291" spans="1:11">
      <c r="A291" s="1" t="s">
        <v>1658</v>
      </c>
      <c r="B291" s="1" t="s">
        <v>1659</v>
      </c>
      <c r="C291" s="1" t="s">
        <v>41</v>
      </c>
      <c r="D291" s="1" t="s">
        <v>63</v>
      </c>
      <c r="E291" s="4">
        <v>24.63</v>
      </c>
      <c r="F291" s="4">
        <v>23.43</v>
      </c>
      <c r="G291" s="4">
        <v>22.59</v>
      </c>
      <c r="H291" s="5">
        <f>G291/F291-1</f>
        <v>-0.035851472471190804</v>
      </c>
      <c r="I291" s="5">
        <f>G291/E291-1</f>
        <v>-0.08282582216808765</v>
      </c>
      <c r="J291" s="5">
        <v>-0.1042823156225218</v>
      </c>
      <c r="K291" s="4">
        <v>74660478447.87</v>
      </c>
    </row>
    <row r="292" spans="1:11">
      <c r="A292" s="1" t="s">
        <v>1660</v>
      </c>
      <c r="B292" s="1" t="s">
        <v>1661</v>
      </c>
      <c r="C292" s="1" t="s">
        <v>41</v>
      </c>
      <c r="D292" s="1" t="s">
        <v>42</v>
      </c>
      <c r="E292" s="4">
        <v>107.58</v>
      </c>
      <c r="F292" s="4">
        <v>123.5</v>
      </c>
      <c r="G292" s="4">
        <v>118.43</v>
      </c>
      <c r="H292" s="5">
        <f>G292/F292-1</f>
        <v>-0.04105263157894734</v>
      </c>
      <c r="I292" s="5">
        <f>G292/E292-1</f>
        <v>0.10085517754229412</v>
      </c>
      <c r="J292" s="5">
        <v>-0.09733231707317058</v>
      </c>
      <c r="K292" s="4">
        <v>99195929842.62001</v>
      </c>
    </row>
    <row r="293" spans="1:11">
      <c r="A293" s="1" t="s">
        <v>1662</v>
      </c>
      <c r="B293" s="1" t="s">
        <v>1663</v>
      </c>
      <c r="C293" s="1" t="s">
        <v>41</v>
      </c>
      <c r="D293" s="1" t="s">
        <v>63</v>
      </c>
      <c r="E293" s="4">
        <v>4.39</v>
      </c>
      <c r="F293" s="4">
        <v>4.01</v>
      </c>
      <c r="G293" s="4">
        <v>4.06</v>
      </c>
      <c r="H293" s="5">
        <f>G293/F293-1</f>
        <v>0.012468827930174564</v>
      </c>
      <c r="I293" s="5">
        <f>G293/E293-1</f>
        <v>-0.0751708428246014</v>
      </c>
      <c r="J293" s="5">
        <v>-0.08863636363636374</v>
      </c>
      <c r="K293" s="4">
        <v>41693813142.24</v>
      </c>
    </row>
    <row r="294" spans="1:11">
      <c r="A294" s="1" t="s">
        <v>1664</v>
      </c>
      <c r="B294" s="1" t="s">
        <v>1665</v>
      </c>
      <c r="C294" s="1" t="s">
        <v>41</v>
      </c>
      <c r="D294" s="1" t="s">
        <v>63</v>
      </c>
      <c r="E294" s="4">
        <v>1035</v>
      </c>
      <c r="F294" s="4">
        <v>1099.99</v>
      </c>
      <c r="G294" s="4">
        <v>1072</v>
      </c>
      <c r="H294" s="5">
        <f>G294/F294-1</f>
        <v>-0.025445685869871504</v>
      </c>
      <c r="I294" s="5">
        <f>G294/E294-1</f>
        <v>0.03574879227053129</v>
      </c>
      <c r="J294" s="5">
        <v>-0.06371980676328504</v>
      </c>
      <c r="K294" s="4">
        <v>674131496576</v>
      </c>
    </row>
    <row r="295" spans="1:11">
      <c r="A295" s="1" t="s">
        <v>1666</v>
      </c>
      <c r="B295" s="1" t="s">
        <v>1667</v>
      </c>
      <c r="C295" s="1" t="s">
        <v>37</v>
      </c>
      <c r="D295" s="1" t="s">
        <v>51</v>
      </c>
      <c r="E295" s="4">
        <v>106</v>
      </c>
      <c r="F295" s="4">
        <v>105.08</v>
      </c>
      <c r="G295" s="4">
        <v>108.58</v>
      </c>
      <c r="H295" s="5">
        <f>G295/F295-1</f>
        <v>0.033307955843167036</v>
      </c>
      <c r="I295" s="5">
        <f>G295/E295-1</f>
        <v>0.02433962264150935</v>
      </c>
      <c r="J295" s="5">
        <v>-0.02378945396646992</v>
      </c>
      <c r="K295" s="4">
        <v>89487074337.04001</v>
      </c>
    </row>
    <row r="296" spans="1:11">
      <c r="A296" s="1" t="s">
        <v>1668</v>
      </c>
      <c r="B296" s="1" t="s">
        <v>1669</v>
      </c>
      <c r="C296" s="1" t="s">
        <v>41</v>
      </c>
      <c r="D296" s="1" t="s">
        <v>63</v>
      </c>
      <c r="E296" s="4">
        <v>18.02</v>
      </c>
      <c r="F296" s="4">
        <v>16.58</v>
      </c>
      <c r="G296" s="4">
        <v>16.76</v>
      </c>
      <c r="H296" s="5">
        <f>G296/F296-1</f>
        <v>0.010856453558504509</v>
      </c>
      <c r="I296" s="5">
        <f>G296/E296-1</f>
        <v>-0.06992230854605985</v>
      </c>
      <c r="J296" s="5">
        <v>-0.07991120976692567</v>
      </c>
      <c r="K296" s="4">
        <v>35739741545.88</v>
      </c>
    </row>
    <row r="297" spans="1:11">
      <c r="A297" s="1" t="s">
        <v>1670</v>
      </c>
      <c r="B297" s="1" t="s">
        <v>1671</v>
      </c>
      <c r="C297" s="1" t="s">
        <v>41</v>
      </c>
      <c r="D297" s="1" t="s">
        <v>63</v>
      </c>
      <c r="E297" s="4">
        <v>62.16</v>
      </c>
      <c r="F297" s="4">
        <v>57.08</v>
      </c>
      <c r="G297" s="4">
        <v>56.55</v>
      </c>
      <c r="H297" s="5">
        <f>G297/F297-1</f>
        <v>-0.0092852137351086</v>
      </c>
      <c r="I297" s="5">
        <f>G297/E297-1</f>
        <v>-0.09025096525096521</v>
      </c>
      <c r="J297" s="5">
        <v>-0.1023809523809525</v>
      </c>
      <c r="K297" s="4">
        <v>75110313954</v>
      </c>
    </row>
    <row r="298" spans="1:11">
      <c r="A298" s="1" t="s">
        <v>1672</v>
      </c>
      <c r="B298" s="1" t="s">
        <v>1673</v>
      </c>
      <c r="C298" s="1" t="s">
        <v>41</v>
      </c>
      <c r="D298" s="1" t="s">
        <v>63</v>
      </c>
      <c r="E298" s="4">
        <v>10.47</v>
      </c>
      <c r="F298" s="4">
        <v>8.710000000000001</v>
      </c>
      <c r="G298" s="4">
        <v>8.779999999999999</v>
      </c>
      <c r="H298" s="5">
        <f>G298/F298-1</f>
        <v>0.008036739380022695</v>
      </c>
      <c r="I298" s="5">
        <f>G298/E298-1</f>
        <v>-0.16141356255969452</v>
      </c>
      <c r="J298" s="5">
        <v>-0.1680993314231136</v>
      </c>
      <c r="K298" s="4">
        <v>31986770183.36</v>
      </c>
    </row>
    <row r="299" spans="1:11">
      <c r="A299" s="1" t="s">
        <v>1674</v>
      </c>
      <c r="B299" s="1" t="s">
        <v>1675</v>
      </c>
      <c r="C299" s="1" t="s">
        <v>37</v>
      </c>
      <c r="D299" s="1" t="s">
        <v>38</v>
      </c>
      <c r="E299" s="4">
        <v>282.71</v>
      </c>
      <c r="F299" s="4">
        <v>265.3</v>
      </c>
      <c r="G299" s="4">
        <v>261.5</v>
      </c>
      <c r="H299" s="5">
        <f>G299/F299-1</f>
        <v>-0.014323407463249227</v>
      </c>
      <c r="I299" s="5">
        <f>G299/E299-1</f>
        <v>-0.07502387605673655</v>
      </c>
      <c r="J299" s="5">
        <v>-0.1032153089738601</v>
      </c>
      <c r="K299" s="4">
        <v>110224372595.5</v>
      </c>
    </row>
    <row r="300" spans="1:11">
      <c r="A300" s="1" t="s">
        <v>1676</v>
      </c>
      <c r="B300" s="1" t="s">
        <v>1677</v>
      </c>
      <c r="C300" s="1" t="s">
        <v>41</v>
      </c>
      <c r="D300" s="1" t="s">
        <v>63</v>
      </c>
      <c r="E300" s="4">
        <v>178.38</v>
      </c>
      <c r="F300" s="4">
        <v>191.32</v>
      </c>
      <c r="G300" s="4">
        <v>183.77</v>
      </c>
      <c r="H300" s="5">
        <f>G300/F300-1</f>
        <v>-0.039462680326155075</v>
      </c>
      <c r="I300" s="5">
        <f>G300/E300-1</f>
        <v>0.03021639197219428</v>
      </c>
      <c r="J300" s="5">
        <v>-0.08234295415959247</v>
      </c>
      <c r="K300" s="4">
        <v>96647449719.20999</v>
      </c>
    </row>
    <row r="301" spans="1:11">
      <c r="A301" s="1" t="s">
        <v>1678</v>
      </c>
      <c r="B301" s="1" t="s">
        <v>1679</v>
      </c>
      <c r="C301" s="1" t="s">
        <v>41</v>
      </c>
      <c r="D301" s="1" t="s">
        <v>63</v>
      </c>
      <c r="E301" s="4">
        <v>124.8</v>
      </c>
      <c r="F301" s="4">
        <v>123.87</v>
      </c>
      <c r="G301" s="4">
        <v>121.14</v>
      </c>
      <c r="H301" s="5">
        <f>G301/F301-1</f>
        <v>-0.022039234681521025</v>
      </c>
      <c r="I301" s="5">
        <f>G301/E301-1</f>
        <v>-0.029326923076923084</v>
      </c>
      <c r="J301" s="5">
        <v>-0.05874125874125868</v>
      </c>
      <c r="K301" s="4">
        <v>654337216440.4205</v>
      </c>
    </row>
  </sheetData>
  <autoFilter ref="A1:K301"/>
  <conditionalFormatting sqref="H2:H301">
    <cfRule type="colorScale" priority="1">
      <colorScale>
        <cfvo type="min" val="0"/>
        <cfvo type="num" val="0"/>
        <cfvo type="max" val="0"/>
        <color rgb="FFF6C7CE"/>
        <color rgb="FFFFFFFF"/>
        <color rgb="FFB9E5D1"/>
      </colorScale>
    </cfRule>
  </conditionalFormatting>
  <conditionalFormatting sqref="I2:I301">
    <cfRule type="colorScale" priority="2">
      <colorScale>
        <cfvo type="min" val="0"/>
        <cfvo type="num" val="0"/>
        <cfvo type="max" val="0"/>
        <color rgb="FFF6C7CE"/>
        <color rgb="FFFFFFFF"/>
        <color rgb="FFB9E5D1"/>
      </colorScale>
    </cfRule>
  </conditionalFormatting>
  <conditionalFormatting sqref="J2:J301">
    <cfRule type="colorScale" priority="3">
      <colorScale>
        <cfvo type="min" val="0"/>
        <cfvo type="num" val="0"/>
        <cfvo type="max" val="0"/>
        <color rgb="FFF6C7CE"/>
        <color rgb="FFFFFFFF"/>
        <color rgb="FFB9E5D1"/>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101"/>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5.7109375" style="1" customWidth="1"/>
    <col min="2" max="2" width="22.7109375" style="1" customWidth="1"/>
    <col min="3" max="3" width="40.7109375" style="1" customWidth="1"/>
    <col min="4" max="4" width="27.7109375" style="1" customWidth="1"/>
    <col min="5" max="7" width="15.7109375" style="1" customWidth="1"/>
  </cols>
  <sheetData>
    <row r="1" spans="1:7" ht="30" customHeight="1">
      <c r="A1" s="3" t="s">
        <v>1071</v>
      </c>
      <c r="B1" s="3" t="s">
        <v>24</v>
      </c>
      <c r="C1" s="3" t="s">
        <v>25</v>
      </c>
      <c r="D1" s="3" t="s">
        <v>26</v>
      </c>
      <c r="E1" s="3" t="s">
        <v>1072</v>
      </c>
      <c r="F1" s="3" t="s">
        <v>1073</v>
      </c>
      <c r="G1" s="3" t="s">
        <v>1074</v>
      </c>
    </row>
    <row r="2" spans="1:7">
      <c r="A2" s="4">
        <v>1</v>
      </c>
      <c r="B2" s="1" t="s">
        <v>1358</v>
      </c>
      <c r="C2" s="1" t="s">
        <v>1359</v>
      </c>
      <c r="D2" s="1" t="s">
        <v>70</v>
      </c>
      <c r="E2" s="5">
        <v>0.09178321678321666</v>
      </c>
      <c r="F2" s="5">
        <v>0.1125296912114013</v>
      </c>
      <c r="G2" s="4">
        <v>37.47</v>
      </c>
    </row>
    <row r="3" spans="1:7">
      <c r="A3" s="4">
        <v>2</v>
      </c>
      <c r="B3" s="1" t="s">
        <v>1212</v>
      </c>
      <c r="C3" s="1" t="s">
        <v>1213</v>
      </c>
      <c r="D3" s="1" t="s">
        <v>138</v>
      </c>
      <c r="E3" s="5">
        <v>0.0796156485929993</v>
      </c>
      <c r="F3" s="5">
        <v>0.138205499276411</v>
      </c>
      <c r="G3" s="4">
        <v>15.73</v>
      </c>
    </row>
    <row r="4" spans="1:7">
      <c r="A4" s="4">
        <v>3</v>
      </c>
      <c r="B4" s="1" t="s">
        <v>1270</v>
      </c>
      <c r="C4" s="1" t="s">
        <v>1271</v>
      </c>
      <c r="D4" s="1" t="s">
        <v>66</v>
      </c>
      <c r="E4" s="5">
        <v>0.06150656530753285</v>
      </c>
      <c r="F4" s="5">
        <v>0.130242825607064</v>
      </c>
      <c r="G4" s="4">
        <v>15.36</v>
      </c>
    </row>
    <row r="5" spans="1:7">
      <c r="A5" s="4">
        <v>4</v>
      </c>
      <c r="B5" s="1" t="s">
        <v>1258</v>
      </c>
      <c r="C5" s="1" t="s">
        <v>1259</v>
      </c>
      <c r="D5" s="1" t="s">
        <v>138</v>
      </c>
      <c r="E5" s="5">
        <v>0.05459057071960305</v>
      </c>
      <c r="F5" s="5">
        <v>0.4138389886892881</v>
      </c>
      <c r="G5" s="4">
        <v>21.25</v>
      </c>
    </row>
    <row r="6" spans="1:7">
      <c r="A6" s="4">
        <v>5</v>
      </c>
      <c r="B6" s="1" t="s">
        <v>1104</v>
      </c>
      <c r="C6" s="1" t="s">
        <v>1105</v>
      </c>
      <c r="D6" s="1" t="s">
        <v>66</v>
      </c>
      <c r="E6" s="5">
        <v>0.05157894736842117</v>
      </c>
      <c r="F6" s="5">
        <v>-0.06197183098591552</v>
      </c>
      <c r="G6" s="4">
        <v>79.92</v>
      </c>
    </row>
    <row r="7" spans="1:7">
      <c r="A7" s="4">
        <v>6</v>
      </c>
      <c r="B7" s="1" t="s">
        <v>1436</v>
      </c>
      <c r="C7" s="1" t="s">
        <v>1437</v>
      </c>
      <c r="D7" s="1" t="s">
        <v>66</v>
      </c>
      <c r="E7" s="5">
        <v>0.04787961696306442</v>
      </c>
      <c r="F7" s="5">
        <v>0.05156585156585169</v>
      </c>
      <c r="G7" s="4">
        <v>122.56</v>
      </c>
    </row>
    <row r="8" spans="1:7">
      <c r="A8" s="4">
        <v>7</v>
      </c>
      <c r="B8" s="1" t="s">
        <v>1106</v>
      </c>
      <c r="C8" s="1" t="s">
        <v>1107</v>
      </c>
      <c r="D8" s="1" t="s">
        <v>66</v>
      </c>
      <c r="E8" s="5">
        <v>0.04557668458040509</v>
      </c>
      <c r="F8" s="5">
        <v>0.1160507446221732</v>
      </c>
      <c r="G8" s="4">
        <v>101.17</v>
      </c>
    </row>
    <row r="9" spans="1:7">
      <c r="A9" s="4">
        <v>8</v>
      </c>
      <c r="B9" s="1" t="s">
        <v>1220</v>
      </c>
      <c r="C9" s="1" t="s">
        <v>1221</v>
      </c>
      <c r="D9" s="1" t="s">
        <v>66</v>
      </c>
      <c r="E9" s="5">
        <v>0.04491444866920147</v>
      </c>
      <c r="F9" s="5">
        <v>0.1254159201433325</v>
      </c>
      <c r="G9" s="4">
        <v>43.97</v>
      </c>
    </row>
    <row r="10" spans="1:7">
      <c r="A10" s="4">
        <v>9</v>
      </c>
      <c r="B10" s="1" t="s">
        <v>1666</v>
      </c>
      <c r="C10" s="1" t="s">
        <v>1667</v>
      </c>
      <c r="D10" s="1" t="s">
        <v>37</v>
      </c>
      <c r="E10" s="5">
        <v>0.03330795584316704</v>
      </c>
      <c r="F10" s="5">
        <v>0.02433962264150935</v>
      </c>
      <c r="G10" s="4">
        <v>108.58</v>
      </c>
    </row>
    <row r="11" spans="1:7">
      <c r="A11" s="4">
        <v>10</v>
      </c>
      <c r="B11" s="1" t="s">
        <v>1082</v>
      </c>
      <c r="C11" s="1" t="s">
        <v>1083</v>
      </c>
      <c r="D11" s="1" t="s">
        <v>116</v>
      </c>
      <c r="E11" s="5">
        <v>0.03184713375796178</v>
      </c>
      <c r="F11" s="5">
        <v>0.05194805194805197</v>
      </c>
      <c r="G11" s="4">
        <v>3.24</v>
      </c>
    </row>
    <row r="12" spans="1:7">
      <c r="A12" s="4">
        <v>11</v>
      </c>
      <c r="B12" s="1" t="s">
        <v>1338</v>
      </c>
      <c r="C12" s="1" t="s">
        <v>1339</v>
      </c>
      <c r="D12" s="1" t="s">
        <v>116</v>
      </c>
      <c r="E12" s="5">
        <v>0.03143418467583503</v>
      </c>
      <c r="F12" s="5">
        <v>0.01156069364161838</v>
      </c>
      <c r="G12" s="4">
        <v>5.25</v>
      </c>
    </row>
    <row r="13" spans="1:7">
      <c r="A13" s="4">
        <v>12</v>
      </c>
      <c r="B13" s="1" t="s">
        <v>1584</v>
      </c>
      <c r="C13" s="1" t="s">
        <v>1585</v>
      </c>
      <c r="D13" s="1" t="s">
        <v>70</v>
      </c>
      <c r="E13" s="5">
        <v>0.03108808290155451</v>
      </c>
      <c r="F13" s="5">
        <v>0.00193648334624319</v>
      </c>
      <c r="G13" s="4">
        <v>25.87</v>
      </c>
    </row>
    <row r="14" spans="1:7">
      <c r="A14" s="4">
        <v>13</v>
      </c>
      <c r="B14" s="1" t="s">
        <v>1122</v>
      </c>
      <c r="C14" s="1" t="s">
        <v>1123</v>
      </c>
      <c r="D14" s="1" t="s">
        <v>70</v>
      </c>
      <c r="E14" s="5">
        <v>0.02864583333333326</v>
      </c>
      <c r="F14" s="5">
        <v>0.1307251908396945</v>
      </c>
      <c r="G14" s="4">
        <v>23.7</v>
      </c>
    </row>
    <row r="15" spans="1:7">
      <c r="A15" s="4">
        <v>14</v>
      </c>
      <c r="B15" s="1" t="s">
        <v>1282</v>
      </c>
      <c r="C15" s="1" t="s">
        <v>1283</v>
      </c>
      <c r="D15" s="1" t="s">
        <v>54</v>
      </c>
      <c r="E15" s="5">
        <v>0.02836796637870664</v>
      </c>
      <c r="F15" s="5">
        <v>0.07584269662921361</v>
      </c>
      <c r="G15" s="4">
        <v>88.09</v>
      </c>
    </row>
    <row r="16" spans="1:7">
      <c r="A16" s="4">
        <v>15</v>
      </c>
      <c r="B16" s="1" t="s">
        <v>1622</v>
      </c>
      <c r="C16" s="1" t="s">
        <v>1623</v>
      </c>
      <c r="D16" s="1" t="s">
        <v>66</v>
      </c>
      <c r="E16" s="5">
        <v>0.02794411177644718</v>
      </c>
      <c r="F16" s="5">
        <v>0.1079239870921476</v>
      </c>
      <c r="G16" s="4">
        <v>30.9</v>
      </c>
    </row>
    <row r="17" spans="1:7">
      <c r="A17" s="4">
        <v>16</v>
      </c>
      <c r="B17" s="1" t="s">
        <v>1206</v>
      </c>
      <c r="C17" s="1" t="s">
        <v>1207</v>
      </c>
      <c r="D17" s="1" t="s">
        <v>138</v>
      </c>
      <c r="E17" s="5">
        <v>0.02786032689450213</v>
      </c>
      <c r="F17" s="5">
        <v>0.05893608878683509</v>
      </c>
      <c r="G17" s="4">
        <v>27.67</v>
      </c>
    </row>
    <row r="18" spans="1:7">
      <c r="A18" s="4">
        <v>17</v>
      </c>
      <c r="B18" s="1" t="s">
        <v>1418</v>
      </c>
      <c r="C18" s="1" t="s">
        <v>1419</v>
      </c>
      <c r="D18" s="1" t="s">
        <v>41</v>
      </c>
      <c r="E18" s="5">
        <v>0.02721774193548376</v>
      </c>
      <c r="F18" s="5">
        <v>-0.052093023255814</v>
      </c>
      <c r="G18" s="4">
        <v>10.19</v>
      </c>
    </row>
    <row r="19" spans="1:7">
      <c r="A19" s="4">
        <v>18</v>
      </c>
      <c r="B19" s="1" t="s">
        <v>1290</v>
      </c>
      <c r="C19" s="1" t="s">
        <v>1291</v>
      </c>
      <c r="D19" s="1" t="s">
        <v>66</v>
      </c>
      <c r="E19" s="5">
        <v>0.02691272587466353</v>
      </c>
      <c r="F19" s="5">
        <v>0.06797281087564966</v>
      </c>
      <c r="G19" s="4">
        <v>26.71</v>
      </c>
    </row>
    <row r="20" spans="1:7">
      <c r="A20" s="4">
        <v>19</v>
      </c>
      <c r="B20" s="1" t="s">
        <v>1100</v>
      </c>
      <c r="C20" s="1" t="s">
        <v>1101</v>
      </c>
      <c r="D20" s="1" t="s">
        <v>70</v>
      </c>
      <c r="E20" s="5">
        <v>0.02648171500630525</v>
      </c>
      <c r="F20" s="5">
        <v>0.01622971285892638</v>
      </c>
      <c r="G20" s="4">
        <v>8.140000000000001</v>
      </c>
    </row>
    <row r="21" spans="1:7">
      <c r="A21" s="4">
        <v>20</v>
      </c>
      <c r="B21" s="1" t="s">
        <v>1246</v>
      </c>
      <c r="C21" s="1" t="s">
        <v>1247</v>
      </c>
      <c r="D21" s="1" t="s">
        <v>138</v>
      </c>
      <c r="E21" s="5">
        <v>0.02645502645502651</v>
      </c>
      <c r="F21" s="5">
        <v>0.06010928961748641</v>
      </c>
      <c r="G21" s="4">
        <v>11.64</v>
      </c>
    </row>
    <row r="22" spans="1:7">
      <c r="A22" s="4">
        <v>21</v>
      </c>
      <c r="B22" s="1" t="s">
        <v>1260</v>
      </c>
      <c r="C22" s="1" t="s">
        <v>1261</v>
      </c>
      <c r="D22" s="1" t="s">
        <v>138</v>
      </c>
      <c r="E22" s="5">
        <v>0.02643470402169013</v>
      </c>
      <c r="F22" s="5">
        <v>0.03674121405750808</v>
      </c>
      <c r="G22" s="4">
        <v>45.43</v>
      </c>
    </row>
    <row r="23" spans="1:7">
      <c r="A23" s="4">
        <v>22</v>
      </c>
      <c r="B23" s="1" t="s">
        <v>1498</v>
      </c>
      <c r="C23" s="1" t="s">
        <v>1499</v>
      </c>
      <c r="D23" s="1" t="s">
        <v>54</v>
      </c>
      <c r="E23" s="5">
        <v>0.02642007926023759</v>
      </c>
      <c r="F23" s="5">
        <v>0.1318281136198105</v>
      </c>
      <c r="G23" s="4">
        <v>15.54</v>
      </c>
    </row>
    <row r="24" spans="1:7">
      <c r="A24" s="4">
        <v>23</v>
      </c>
      <c r="B24" s="1" t="s">
        <v>1096</v>
      </c>
      <c r="C24" s="1" t="s">
        <v>1097</v>
      </c>
      <c r="D24" s="1" t="s">
        <v>70</v>
      </c>
      <c r="E24" s="5">
        <v>0.02559205500381978</v>
      </c>
      <c r="F24" s="5">
        <v>-0.07921810699588472</v>
      </c>
      <c r="G24" s="4">
        <v>26.85</v>
      </c>
    </row>
    <row r="25" spans="1:7">
      <c r="A25" s="4">
        <v>24</v>
      </c>
      <c r="B25" s="1" t="s">
        <v>1402</v>
      </c>
      <c r="C25" s="1" t="s">
        <v>1403</v>
      </c>
      <c r="D25" s="1" t="s">
        <v>116</v>
      </c>
      <c r="E25" s="5">
        <v>0.02554744525547448</v>
      </c>
      <c r="F25" s="5">
        <v>0</v>
      </c>
      <c r="G25" s="4">
        <v>2.81</v>
      </c>
    </row>
    <row r="26" spans="1:7">
      <c r="A26" s="4">
        <v>25</v>
      </c>
      <c r="B26" s="1" t="s">
        <v>1288</v>
      </c>
      <c r="C26" s="1" t="s">
        <v>1289</v>
      </c>
      <c r="D26" s="1" t="s">
        <v>37</v>
      </c>
      <c r="E26" s="5">
        <v>0.02465753424657535</v>
      </c>
      <c r="F26" s="5">
        <v>0.01234300563014301</v>
      </c>
      <c r="G26" s="4">
        <v>93.5</v>
      </c>
    </row>
    <row r="27" spans="1:7">
      <c r="A27" s="4">
        <v>26</v>
      </c>
      <c r="B27" s="1" t="s">
        <v>1412</v>
      </c>
      <c r="C27" s="1" t="s">
        <v>1413</v>
      </c>
      <c r="D27" s="1" t="s">
        <v>41</v>
      </c>
      <c r="E27" s="5">
        <v>0.02465116279069779</v>
      </c>
      <c r="F27" s="5">
        <v>0.03378695448146418</v>
      </c>
      <c r="G27" s="4">
        <v>22.03</v>
      </c>
    </row>
    <row r="28" spans="1:7">
      <c r="A28" s="4">
        <v>27</v>
      </c>
      <c r="B28" s="1" t="s">
        <v>1404</v>
      </c>
      <c r="C28" s="1" t="s">
        <v>1405</v>
      </c>
      <c r="D28" s="1" t="s">
        <v>66</v>
      </c>
      <c r="E28" s="5">
        <v>0.02395910322739581</v>
      </c>
      <c r="F28" s="5">
        <v>0.04491566037884098</v>
      </c>
      <c r="G28" s="4">
        <v>1330</v>
      </c>
    </row>
    <row r="29" spans="1:7">
      <c r="A29" s="4">
        <v>28</v>
      </c>
      <c r="B29" s="1" t="s">
        <v>1284</v>
      </c>
      <c r="C29" s="1" t="s">
        <v>1285</v>
      </c>
      <c r="D29" s="1" t="s">
        <v>37</v>
      </c>
      <c r="E29" s="5">
        <v>0.02344992050874395</v>
      </c>
      <c r="F29" s="5">
        <v>-0.007133217659533453</v>
      </c>
      <c r="G29" s="4">
        <v>51.5</v>
      </c>
    </row>
    <row r="30" spans="1:7">
      <c r="A30" s="4">
        <v>29</v>
      </c>
      <c r="B30" s="1" t="s">
        <v>1446</v>
      </c>
      <c r="C30" s="1" t="s">
        <v>1447</v>
      </c>
      <c r="D30" s="1" t="s">
        <v>70</v>
      </c>
      <c r="E30" s="5">
        <v>0.02247191011235961</v>
      </c>
      <c r="F30" s="5">
        <v>0.1024229074889869</v>
      </c>
      <c r="G30" s="4">
        <v>40.04</v>
      </c>
    </row>
    <row r="31" spans="1:7">
      <c r="A31" s="4">
        <v>30</v>
      </c>
      <c r="B31" s="1" t="s">
        <v>1158</v>
      </c>
      <c r="C31" s="1" t="s">
        <v>1159</v>
      </c>
      <c r="D31" s="1" t="s">
        <v>70</v>
      </c>
      <c r="E31" s="5">
        <v>0.02236421725239612</v>
      </c>
      <c r="F31" s="5">
        <v>-0.1669024845775087</v>
      </c>
      <c r="G31" s="4">
        <v>147.2</v>
      </c>
    </row>
    <row r="32" spans="1:7">
      <c r="A32" s="4">
        <v>31</v>
      </c>
      <c r="B32" s="1" t="s">
        <v>1178</v>
      </c>
      <c r="C32" s="1" t="s">
        <v>1179</v>
      </c>
      <c r="D32" s="1" t="s">
        <v>66</v>
      </c>
      <c r="E32" s="5">
        <v>0.0216774193548388</v>
      </c>
      <c r="F32" s="5">
        <v>0.01957249549317552</v>
      </c>
      <c r="G32" s="4">
        <v>39.59</v>
      </c>
    </row>
    <row r="33" spans="1:7">
      <c r="A33" s="4">
        <v>32</v>
      </c>
      <c r="B33" s="1" t="s">
        <v>1132</v>
      </c>
      <c r="C33" s="1" t="s">
        <v>1133</v>
      </c>
      <c r="D33" s="1" t="s">
        <v>66</v>
      </c>
      <c r="E33" s="5">
        <v>0.0211237853823405</v>
      </c>
      <c r="F33" s="5">
        <v>-0.02931726907630505</v>
      </c>
      <c r="G33" s="4">
        <v>24.17</v>
      </c>
    </row>
    <row r="34" spans="1:7">
      <c r="A34" s="4">
        <v>33</v>
      </c>
      <c r="B34" s="1" t="s">
        <v>1388</v>
      </c>
      <c r="C34" s="1" t="s">
        <v>1389</v>
      </c>
      <c r="D34" s="1" t="s">
        <v>47</v>
      </c>
      <c r="E34" s="5">
        <v>0.0210116731517509</v>
      </c>
      <c r="F34" s="5">
        <v>0.0512820512820511</v>
      </c>
      <c r="G34" s="4">
        <v>13.12</v>
      </c>
    </row>
    <row r="35" spans="1:7">
      <c r="A35" s="4">
        <v>34</v>
      </c>
      <c r="B35" s="1" t="s">
        <v>1108</v>
      </c>
      <c r="C35" s="1" t="s">
        <v>1109</v>
      </c>
      <c r="D35" s="1" t="s">
        <v>54</v>
      </c>
      <c r="E35" s="5">
        <v>0.02086230876216955</v>
      </c>
      <c r="F35" s="5">
        <v>0.05157593123209159</v>
      </c>
      <c r="G35" s="4">
        <v>7.34</v>
      </c>
    </row>
    <row r="36" spans="1:7">
      <c r="A36" s="4">
        <v>35</v>
      </c>
      <c r="B36" s="1" t="s">
        <v>1152</v>
      </c>
      <c r="C36" s="1" t="s">
        <v>1153</v>
      </c>
      <c r="D36" s="1" t="s">
        <v>116</v>
      </c>
      <c r="E36" s="5">
        <v>0.02049780380673494</v>
      </c>
      <c r="F36" s="5">
        <v>-0.06568364611260058</v>
      </c>
      <c r="G36" s="4">
        <v>6.97</v>
      </c>
    </row>
    <row r="37" spans="1:7">
      <c r="A37" s="4">
        <v>36</v>
      </c>
      <c r="B37" s="1" t="s">
        <v>1440</v>
      </c>
      <c r="C37" s="1" t="s">
        <v>1441</v>
      </c>
      <c r="D37" s="1" t="s">
        <v>70</v>
      </c>
      <c r="E37" s="5">
        <v>0.01993490642799034</v>
      </c>
      <c r="F37" s="5">
        <v>-0.04422417079679752</v>
      </c>
      <c r="G37" s="4">
        <v>25.07</v>
      </c>
    </row>
    <row r="38" spans="1:7">
      <c r="A38" s="4">
        <v>37</v>
      </c>
      <c r="B38" s="1" t="s">
        <v>1130</v>
      </c>
      <c r="C38" s="1" t="s">
        <v>1131</v>
      </c>
      <c r="D38" s="1" t="s">
        <v>66</v>
      </c>
      <c r="E38" s="5">
        <v>0.01839275608375779</v>
      </c>
      <c r="F38" s="5">
        <v>0.01109706419440948</v>
      </c>
      <c r="G38" s="4">
        <v>71.98</v>
      </c>
    </row>
    <row r="39" spans="1:7">
      <c r="A39" s="4">
        <v>38</v>
      </c>
      <c r="B39" s="1" t="s">
        <v>1592</v>
      </c>
      <c r="C39" s="1" t="s">
        <v>1593</v>
      </c>
      <c r="D39" s="1" t="s">
        <v>129</v>
      </c>
      <c r="E39" s="5">
        <v>0.01810865191146882</v>
      </c>
      <c r="F39" s="5">
        <v>0.06153846153846154</v>
      </c>
      <c r="G39" s="4">
        <v>15.18</v>
      </c>
    </row>
    <row r="40" spans="1:7">
      <c r="A40" s="4">
        <v>39</v>
      </c>
      <c r="B40" s="1" t="s">
        <v>1354</v>
      </c>
      <c r="C40" s="1" t="s">
        <v>1355</v>
      </c>
      <c r="D40" s="1" t="s">
        <v>70</v>
      </c>
      <c r="E40" s="5">
        <v>0.01749271137026231</v>
      </c>
      <c r="F40" s="5">
        <v>0.01453488372093026</v>
      </c>
      <c r="G40" s="4">
        <v>3.49</v>
      </c>
    </row>
    <row r="41" spans="1:7">
      <c r="A41" s="4">
        <v>40</v>
      </c>
      <c r="B41" s="1" t="s">
        <v>1492</v>
      </c>
      <c r="C41" s="1" t="s">
        <v>1493</v>
      </c>
      <c r="D41" s="1" t="s">
        <v>70</v>
      </c>
      <c r="E41" s="5">
        <v>0.01736111111111116</v>
      </c>
      <c r="F41" s="5">
        <v>0.01034482758620703</v>
      </c>
      <c r="G41" s="4">
        <v>5.86</v>
      </c>
    </row>
    <row r="42" spans="1:7">
      <c r="A42" s="4">
        <v>41</v>
      </c>
      <c r="B42" s="1" t="s">
        <v>1302</v>
      </c>
      <c r="C42" s="1" t="s">
        <v>1303</v>
      </c>
      <c r="D42" s="1" t="s">
        <v>54</v>
      </c>
      <c r="E42" s="5">
        <v>0.01725997842502691</v>
      </c>
      <c r="F42" s="5">
        <v>0.04198895027624294</v>
      </c>
      <c r="G42" s="4">
        <v>9.43</v>
      </c>
    </row>
    <row r="43" spans="1:7">
      <c r="A43" s="4">
        <v>42</v>
      </c>
      <c r="B43" s="1" t="s">
        <v>1656</v>
      </c>
      <c r="C43" s="1" t="s">
        <v>1657</v>
      </c>
      <c r="D43" s="1" t="s">
        <v>41</v>
      </c>
      <c r="E43" s="5">
        <v>0.01648190755072165</v>
      </c>
      <c r="F43" s="5">
        <v>0.01035343035343028</v>
      </c>
      <c r="G43" s="4">
        <v>242.99</v>
      </c>
    </row>
    <row r="44" spans="1:7">
      <c r="A44" s="4">
        <v>43</v>
      </c>
      <c r="B44" s="1" t="s">
        <v>1590</v>
      </c>
      <c r="C44" s="1" t="s">
        <v>1591</v>
      </c>
      <c r="D44" s="1" t="s">
        <v>47</v>
      </c>
      <c r="E44" s="5">
        <v>0.01638123603871944</v>
      </c>
      <c r="F44" s="5">
        <v>0.04417670682730934</v>
      </c>
      <c r="G44" s="4">
        <v>54.6</v>
      </c>
    </row>
    <row r="45" spans="1:7">
      <c r="A45" s="4">
        <v>44</v>
      </c>
      <c r="B45" s="1" t="s">
        <v>1502</v>
      </c>
      <c r="C45" s="1" t="s">
        <v>1503</v>
      </c>
      <c r="D45" s="1" t="s">
        <v>54</v>
      </c>
      <c r="E45" s="5">
        <v>0.01617401003904062</v>
      </c>
      <c r="F45" s="5">
        <v>0.006629834254143541</v>
      </c>
      <c r="G45" s="4">
        <v>18.22</v>
      </c>
    </row>
    <row r="46" spans="1:7">
      <c r="A46" s="4">
        <v>45</v>
      </c>
      <c r="B46" s="1" t="s">
        <v>1214</v>
      </c>
      <c r="C46" s="1" t="s">
        <v>1215</v>
      </c>
      <c r="D46" s="1" t="s">
        <v>70</v>
      </c>
      <c r="E46" s="5">
        <v>0.01574239713774594</v>
      </c>
      <c r="F46" s="5">
        <v>0.009960868018498825</v>
      </c>
      <c r="G46" s="4">
        <v>28.39</v>
      </c>
    </row>
    <row r="47" spans="1:7">
      <c r="A47" s="4">
        <v>46</v>
      </c>
      <c r="B47" s="1" t="s">
        <v>1248</v>
      </c>
      <c r="C47" s="1" t="s">
        <v>1249</v>
      </c>
      <c r="D47" s="1" t="s">
        <v>70</v>
      </c>
      <c r="E47" s="5">
        <v>0.01550298576022069</v>
      </c>
      <c r="F47" s="5">
        <v>-0.2179872656526353</v>
      </c>
      <c r="G47" s="4">
        <v>88.43000000000001</v>
      </c>
    </row>
    <row r="48" spans="1:7">
      <c r="A48" s="4">
        <v>47</v>
      </c>
      <c r="B48" s="1" t="s">
        <v>1560</v>
      </c>
      <c r="C48" s="1" t="s">
        <v>1561</v>
      </c>
      <c r="D48" s="1" t="s">
        <v>70</v>
      </c>
      <c r="E48" s="5">
        <v>0.01531393568146999</v>
      </c>
      <c r="F48" s="5">
        <v>0.01531393568146999</v>
      </c>
      <c r="G48" s="4">
        <v>6.63</v>
      </c>
    </row>
    <row r="49" spans="1:7">
      <c r="A49" s="4">
        <v>48</v>
      </c>
      <c r="B49" s="1" t="s">
        <v>1334</v>
      </c>
      <c r="C49" s="1" t="s">
        <v>1335</v>
      </c>
      <c r="D49" s="1" t="s">
        <v>54</v>
      </c>
      <c r="E49" s="5">
        <v>0.01509617725833934</v>
      </c>
      <c r="F49" s="5">
        <v>0.07172236503856033</v>
      </c>
      <c r="G49" s="4">
        <v>41.69</v>
      </c>
    </row>
    <row r="50" spans="1:7">
      <c r="A50" s="4">
        <v>49</v>
      </c>
      <c r="B50" s="1" t="s">
        <v>1420</v>
      </c>
      <c r="C50" s="1" t="s">
        <v>1421</v>
      </c>
      <c r="D50" s="1" t="s">
        <v>66</v>
      </c>
      <c r="E50" s="5">
        <v>0.014781237682302</v>
      </c>
      <c r="F50" s="5">
        <v>0.01318378591105862</v>
      </c>
      <c r="G50" s="4">
        <v>51.49</v>
      </c>
    </row>
    <row r="51" spans="1:7">
      <c r="A51" s="4">
        <v>50</v>
      </c>
      <c r="B51" s="1" t="s">
        <v>1236</v>
      </c>
      <c r="C51" s="1" t="s">
        <v>1237</v>
      </c>
      <c r="D51" s="1" t="s">
        <v>37</v>
      </c>
      <c r="E51" s="5">
        <v>0.0145102781136639</v>
      </c>
      <c r="F51" s="5">
        <v>0.007202881152461149</v>
      </c>
      <c r="G51" s="4">
        <v>8.390000000000001</v>
      </c>
    </row>
    <row r="52" spans="1:7">
      <c r="A52" s="4">
        <v>51</v>
      </c>
      <c r="B52" s="1" t="s">
        <v>1522</v>
      </c>
      <c r="C52" s="1" t="s">
        <v>1523</v>
      </c>
      <c r="D52" s="1" t="s">
        <v>54</v>
      </c>
      <c r="E52" s="5">
        <v>0.01366120218579225</v>
      </c>
      <c r="F52" s="5">
        <v>0.0421348314606742</v>
      </c>
      <c r="G52" s="4">
        <v>7.42</v>
      </c>
    </row>
    <row r="53" spans="1:7">
      <c r="A53" s="4">
        <v>52</v>
      </c>
      <c r="B53" s="1" t="s">
        <v>1280</v>
      </c>
      <c r="C53" s="1" t="s">
        <v>1281</v>
      </c>
      <c r="D53" s="1" t="s">
        <v>37</v>
      </c>
      <c r="E53" s="5">
        <v>0.0133595753563549</v>
      </c>
      <c r="F53" s="5">
        <v>0.1000971188086761</v>
      </c>
      <c r="G53" s="4">
        <v>169.91</v>
      </c>
    </row>
    <row r="54" spans="1:7">
      <c r="A54" s="4">
        <v>53</v>
      </c>
      <c r="B54" s="1" t="s">
        <v>1454</v>
      </c>
      <c r="C54" s="1" t="s">
        <v>1455</v>
      </c>
      <c r="D54" s="1" t="s">
        <v>54</v>
      </c>
      <c r="E54" s="5">
        <v>0.01320132013201314</v>
      </c>
      <c r="F54" s="5">
        <v>0.02847571189279741</v>
      </c>
      <c r="G54" s="4">
        <v>12.28</v>
      </c>
    </row>
    <row r="55" spans="1:7">
      <c r="A55" s="4">
        <v>54</v>
      </c>
      <c r="B55" s="1" t="s">
        <v>1564</v>
      </c>
      <c r="C55" s="1" t="s">
        <v>1565</v>
      </c>
      <c r="D55" s="1" t="s">
        <v>70</v>
      </c>
      <c r="E55" s="5">
        <v>0.01296596434359798</v>
      </c>
      <c r="F55" s="5">
        <v>0.0347682119205297</v>
      </c>
      <c r="G55" s="4">
        <v>6.25</v>
      </c>
    </row>
    <row r="56" spans="1:7">
      <c r="A56" s="4">
        <v>55</v>
      </c>
      <c r="B56" s="1" t="s">
        <v>1496</v>
      </c>
      <c r="C56" s="1" t="s">
        <v>1497</v>
      </c>
      <c r="D56" s="1" t="s">
        <v>47</v>
      </c>
      <c r="E56" s="5">
        <v>0.01267893660531705</v>
      </c>
      <c r="F56" s="5">
        <v>-0.01940594059405931</v>
      </c>
      <c r="G56" s="4">
        <v>49.52</v>
      </c>
    </row>
    <row r="57" spans="1:7">
      <c r="A57" s="4">
        <v>56</v>
      </c>
      <c r="B57" s="1" t="s">
        <v>1350</v>
      </c>
      <c r="C57" s="1" t="s">
        <v>1351</v>
      </c>
      <c r="D57" s="1" t="s">
        <v>47</v>
      </c>
      <c r="E57" s="5">
        <v>0.0125725338491296</v>
      </c>
      <c r="F57" s="5">
        <v>0.03254437869822491</v>
      </c>
      <c r="G57" s="4">
        <v>10.47</v>
      </c>
    </row>
    <row r="58" spans="1:7">
      <c r="A58" s="4">
        <v>57</v>
      </c>
      <c r="B58" s="1" t="s">
        <v>1638</v>
      </c>
      <c r="C58" s="1" t="s">
        <v>1639</v>
      </c>
      <c r="D58" s="1" t="s">
        <v>66</v>
      </c>
      <c r="E58" s="5">
        <v>0.01252943155062214</v>
      </c>
      <c r="F58" s="5">
        <v>0.003165875197867152</v>
      </c>
      <c r="G58" s="4">
        <v>120.41</v>
      </c>
    </row>
    <row r="59" spans="1:7">
      <c r="A59" s="4">
        <v>58</v>
      </c>
      <c r="B59" s="1" t="s">
        <v>1610</v>
      </c>
      <c r="C59" s="1" t="s">
        <v>1611</v>
      </c>
      <c r="D59" s="1" t="s">
        <v>54</v>
      </c>
      <c r="E59" s="5">
        <v>0.01252847380410027</v>
      </c>
      <c r="F59" s="5">
        <v>0.05959475566150174</v>
      </c>
      <c r="G59" s="4">
        <v>8.890000000000001</v>
      </c>
    </row>
    <row r="60" spans="1:7">
      <c r="A60" s="4">
        <v>59</v>
      </c>
      <c r="B60" s="1" t="s">
        <v>1662</v>
      </c>
      <c r="C60" s="1" t="s">
        <v>1663</v>
      </c>
      <c r="D60" s="1" t="s">
        <v>41</v>
      </c>
      <c r="E60" s="5">
        <v>0.01246882793017456</v>
      </c>
      <c r="F60" s="5">
        <v>-0.0751708428246014</v>
      </c>
      <c r="G60" s="4">
        <v>4.06</v>
      </c>
    </row>
    <row r="61" spans="1:7">
      <c r="A61" s="4">
        <v>60</v>
      </c>
      <c r="B61" s="1" t="s">
        <v>1156</v>
      </c>
      <c r="C61" s="1" t="s">
        <v>1157</v>
      </c>
      <c r="D61" s="1" t="s">
        <v>138</v>
      </c>
      <c r="E61" s="5">
        <v>0.01244813278008294</v>
      </c>
      <c r="F61" s="5">
        <v>-0.004081632653061273</v>
      </c>
      <c r="G61" s="4">
        <v>4.88</v>
      </c>
    </row>
    <row r="62" spans="1:7">
      <c r="A62" s="4">
        <v>61</v>
      </c>
      <c r="B62" s="1" t="s">
        <v>1148</v>
      </c>
      <c r="C62" s="1" t="s">
        <v>1149</v>
      </c>
      <c r="D62" s="1" t="s">
        <v>70</v>
      </c>
      <c r="E62" s="5">
        <v>0.01234567901234573</v>
      </c>
      <c r="F62" s="5">
        <v>0.007371007371007154</v>
      </c>
      <c r="G62" s="4">
        <v>4.1</v>
      </c>
    </row>
    <row r="63" spans="1:7">
      <c r="A63" s="4">
        <v>62</v>
      </c>
      <c r="B63" s="1" t="s">
        <v>1180</v>
      </c>
      <c r="C63" s="1" t="s">
        <v>1181</v>
      </c>
      <c r="D63" s="1" t="s">
        <v>66</v>
      </c>
      <c r="E63" s="5">
        <v>0.01202086640961664</v>
      </c>
      <c r="F63" s="5">
        <v>-0.0255514304433283</v>
      </c>
      <c r="G63" s="4">
        <v>44.62</v>
      </c>
    </row>
    <row r="64" spans="1:7">
      <c r="A64" s="4">
        <v>63</v>
      </c>
      <c r="B64" s="1" t="s">
        <v>1626</v>
      </c>
      <c r="C64" s="1" t="s">
        <v>1627</v>
      </c>
      <c r="D64" s="1" t="s">
        <v>41</v>
      </c>
      <c r="E64" s="5">
        <v>0.0119798234552333</v>
      </c>
      <c r="F64" s="5">
        <v>-0.06490328594733152</v>
      </c>
      <c r="G64" s="4">
        <v>80.25</v>
      </c>
    </row>
    <row r="65" spans="1:7">
      <c r="A65" s="4">
        <v>64</v>
      </c>
      <c r="B65" s="1" t="s">
        <v>1184</v>
      </c>
      <c r="C65" s="1" t="s">
        <v>1185</v>
      </c>
      <c r="D65" s="1" t="s">
        <v>129</v>
      </c>
      <c r="E65" s="5">
        <v>0.01194126190091982</v>
      </c>
      <c r="F65" s="5">
        <v>-0.1775737704918032</v>
      </c>
      <c r="G65" s="4">
        <v>125.42</v>
      </c>
    </row>
    <row r="66" spans="1:7">
      <c r="A66" s="4">
        <v>65</v>
      </c>
      <c r="B66" s="1" t="s">
        <v>1346</v>
      </c>
      <c r="C66" s="1" t="s">
        <v>1347</v>
      </c>
      <c r="D66" s="1" t="s">
        <v>37</v>
      </c>
      <c r="E66" s="5">
        <v>0.01173512154233025</v>
      </c>
      <c r="F66" s="5">
        <v>0.01556583929322675</v>
      </c>
      <c r="G66" s="4">
        <v>24.14</v>
      </c>
    </row>
    <row r="67" spans="1:7">
      <c r="A67" s="4">
        <v>66</v>
      </c>
      <c r="B67" s="1" t="s">
        <v>1238</v>
      </c>
      <c r="C67" s="1" t="s">
        <v>1239</v>
      </c>
      <c r="D67" s="1" t="s">
        <v>54</v>
      </c>
      <c r="E67" s="5">
        <v>0.01138952164009122</v>
      </c>
      <c r="F67" s="5">
        <v>-0.0005852428757934236</v>
      </c>
      <c r="G67" s="4">
        <v>222</v>
      </c>
    </row>
    <row r="68" spans="1:7">
      <c r="A68" s="4">
        <v>67</v>
      </c>
      <c r="B68" s="1" t="s">
        <v>1444</v>
      </c>
      <c r="C68" s="1" t="s">
        <v>1445</v>
      </c>
      <c r="D68" s="1" t="s">
        <v>66</v>
      </c>
      <c r="E68" s="5">
        <v>0.0112951807228916</v>
      </c>
      <c r="F68" s="5">
        <v>0.05748031496063</v>
      </c>
      <c r="G68" s="4">
        <v>26.86</v>
      </c>
    </row>
    <row r="69" spans="1:7">
      <c r="A69" s="4">
        <v>68</v>
      </c>
      <c r="B69" s="1" t="s">
        <v>1484</v>
      </c>
      <c r="C69" s="1" t="s">
        <v>1485</v>
      </c>
      <c r="D69" s="1" t="s">
        <v>54</v>
      </c>
      <c r="E69" s="5">
        <v>0.0112000000000001</v>
      </c>
      <c r="F69" s="5">
        <v>0.02017756255044389</v>
      </c>
      <c r="G69" s="4">
        <v>25.28</v>
      </c>
    </row>
    <row r="70" spans="1:7">
      <c r="A70" s="4">
        <v>69</v>
      </c>
      <c r="B70" s="1" t="s">
        <v>1090</v>
      </c>
      <c r="C70" s="1" t="s">
        <v>1091</v>
      </c>
      <c r="D70" s="1" t="s">
        <v>54</v>
      </c>
      <c r="E70" s="5">
        <v>0.01101321585903081</v>
      </c>
      <c r="F70" s="5">
        <v>0.04081632653061207</v>
      </c>
      <c r="G70" s="4">
        <v>4.59</v>
      </c>
    </row>
    <row r="71" spans="1:7">
      <c r="A71" s="4">
        <v>70</v>
      </c>
      <c r="B71" s="1" t="s">
        <v>1472</v>
      </c>
      <c r="C71" s="1" t="s">
        <v>1473</v>
      </c>
      <c r="D71" s="1" t="s">
        <v>54</v>
      </c>
      <c r="E71" s="5">
        <v>0.01097046413502123</v>
      </c>
      <c r="F71" s="5">
        <v>0.01697792869269965</v>
      </c>
      <c r="G71" s="4">
        <v>11.98</v>
      </c>
    </row>
    <row r="72" spans="1:7">
      <c r="A72" s="4">
        <v>71</v>
      </c>
      <c r="B72" s="1" t="s">
        <v>1540</v>
      </c>
      <c r="C72" s="1" t="s">
        <v>1541</v>
      </c>
      <c r="D72" s="1" t="s">
        <v>37</v>
      </c>
      <c r="E72" s="5">
        <v>0.01094890510948909</v>
      </c>
      <c r="F72" s="5">
        <v>0.02655960469425578</v>
      </c>
      <c r="G72" s="4">
        <v>16.62</v>
      </c>
    </row>
    <row r="73" spans="1:7">
      <c r="A73" s="4">
        <v>72</v>
      </c>
      <c r="B73" s="1" t="s">
        <v>1668</v>
      </c>
      <c r="C73" s="1" t="s">
        <v>1669</v>
      </c>
      <c r="D73" s="1" t="s">
        <v>41</v>
      </c>
      <c r="E73" s="5">
        <v>0.01085645355850451</v>
      </c>
      <c r="F73" s="5">
        <v>-0.06992230854605985</v>
      </c>
      <c r="G73" s="4">
        <v>16.76</v>
      </c>
    </row>
    <row r="74" spans="1:7">
      <c r="A74" s="4">
        <v>73</v>
      </c>
      <c r="B74" s="1" t="s">
        <v>1504</v>
      </c>
      <c r="C74" s="1" t="s">
        <v>1505</v>
      </c>
      <c r="D74" s="1" t="s">
        <v>54</v>
      </c>
      <c r="E74" s="5">
        <v>0.01083032490974722</v>
      </c>
      <c r="F74" s="5">
        <v>0.1001964636542239</v>
      </c>
      <c r="G74" s="4">
        <v>5.6</v>
      </c>
    </row>
    <row r="75" spans="1:7">
      <c r="A75" s="4">
        <v>74</v>
      </c>
      <c r="B75" s="1" t="s">
        <v>1408</v>
      </c>
      <c r="C75" s="1" t="s">
        <v>1409</v>
      </c>
      <c r="D75" s="1" t="s">
        <v>93</v>
      </c>
      <c r="E75" s="5">
        <v>0.0106666666666666</v>
      </c>
      <c r="F75" s="5">
        <v>0.02294197031039147</v>
      </c>
      <c r="G75" s="4">
        <v>37.9</v>
      </c>
    </row>
    <row r="76" spans="1:7">
      <c r="A76" s="4">
        <v>75</v>
      </c>
      <c r="B76" s="1" t="s">
        <v>1392</v>
      </c>
      <c r="C76" s="1" t="s">
        <v>1393</v>
      </c>
      <c r="D76" s="1" t="s">
        <v>37</v>
      </c>
      <c r="E76" s="5">
        <v>0.01053405193532586</v>
      </c>
      <c r="F76" s="5">
        <v>-0.002820306204673551</v>
      </c>
      <c r="G76" s="4">
        <v>123.75</v>
      </c>
    </row>
    <row r="77" spans="1:7">
      <c r="A77" s="4">
        <v>76</v>
      </c>
      <c r="B77" s="1" t="s">
        <v>1324</v>
      </c>
      <c r="C77" s="1" t="s">
        <v>1325</v>
      </c>
      <c r="D77" s="1" t="s">
        <v>76</v>
      </c>
      <c r="E77" s="5">
        <v>0.01043841336116902</v>
      </c>
      <c r="F77" s="5">
        <v>0.08520179372197312</v>
      </c>
      <c r="G77" s="4">
        <v>4.84</v>
      </c>
    </row>
    <row r="78" spans="1:7">
      <c r="A78" s="4">
        <v>77</v>
      </c>
      <c r="B78" s="1" t="s">
        <v>1642</v>
      </c>
      <c r="C78" s="1" t="s">
        <v>1643</v>
      </c>
      <c r="D78" s="1" t="s">
        <v>41</v>
      </c>
      <c r="E78" s="5">
        <v>0.01018329938900209</v>
      </c>
      <c r="F78" s="5">
        <v>0.01431492842535786</v>
      </c>
      <c r="G78" s="4">
        <v>4.96</v>
      </c>
    </row>
    <row r="79" spans="1:7">
      <c r="A79" s="4">
        <v>78</v>
      </c>
      <c r="B79" s="1" t="s">
        <v>1508</v>
      </c>
      <c r="C79" s="1" t="s">
        <v>1509</v>
      </c>
      <c r="D79" s="1" t="s">
        <v>54</v>
      </c>
      <c r="E79" s="5">
        <v>0.01017524024872807</v>
      </c>
      <c r="F79" s="5">
        <v>0.0281933256616802</v>
      </c>
      <c r="G79" s="4">
        <v>17.87</v>
      </c>
    </row>
    <row r="80" spans="1:7">
      <c r="A80" s="4">
        <v>79</v>
      </c>
      <c r="B80" s="1" t="s">
        <v>1516</v>
      </c>
      <c r="C80" s="1" t="s">
        <v>1517</v>
      </c>
      <c r="D80" s="1" t="s">
        <v>54</v>
      </c>
      <c r="E80" s="5">
        <v>0.01015965166908561</v>
      </c>
      <c r="F80" s="5">
        <v>0.02654867256637172</v>
      </c>
      <c r="G80" s="4">
        <v>6.96</v>
      </c>
    </row>
    <row r="81" spans="1:7">
      <c r="A81" s="4">
        <v>80</v>
      </c>
      <c r="B81" s="1" t="s">
        <v>1478</v>
      </c>
      <c r="C81" s="1" t="s">
        <v>1479</v>
      </c>
      <c r="D81" s="1" t="s">
        <v>70</v>
      </c>
      <c r="E81" s="5">
        <v>0.01012658227848107</v>
      </c>
      <c r="F81" s="5">
        <v>0.006882312456985451</v>
      </c>
      <c r="G81" s="4">
        <v>43.89</v>
      </c>
    </row>
    <row r="82" spans="1:7">
      <c r="A82" s="4">
        <v>81</v>
      </c>
      <c r="B82" s="1" t="s">
        <v>1526</v>
      </c>
      <c r="C82" s="1" t="s">
        <v>1527</v>
      </c>
      <c r="D82" s="1" t="s">
        <v>41</v>
      </c>
      <c r="E82" s="5">
        <v>0.01012373453318327</v>
      </c>
      <c r="F82" s="5">
        <v>0.02511415525114158</v>
      </c>
      <c r="G82" s="4">
        <v>8.98</v>
      </c>
    </row>
    <row r="83" spans="1:7">
      <c r="A83" s="4">
        <v>82</v>
      </c>
      <c r="B83" s="1" t="s">
        <v>1344</v>
      </c>
      <c r="C83" s="1" t="s">
        <v>1345</v>
      </c>
      <c r="D83" s="1" t="s">
        <v>70</v>
      </c>
      <c r="E83" s="5">
        <v>0.009859154929577452</v>
      </c>
      <c r="F83" s="5">
        <v>-0.02746693794506605</v>
      </c>
      <c r="G83" s="4">
        <v>28.68</v>
      </c>
    </row>
    <row r="84" spans="1:7">
      <c r="A84" s="4">
        <v>83</v>
      </c>
      <c r="B84" s="1" t="s">
        <v>1514</v>
      </c>
      <c r="C84" s="1" t="s">
        <v>1515</v>
      </c>
      <c r="D84" s="1" t="s">
        <v>47</v>
      </c>
      <c r="E84" s="5">
        <v>0.009765625</v>
      </c>
      <c r="F84" s="5">
        <v>0.01174168297455958</v>
      </c>
      <c r="G84" s="4">
        <v>5.17</v>
      </c>
    </row>
    <row r="85" spans="1:7">
      <c r="A85" s="4">
        <v>84</v>
      </c>
      <c r="B85" s="1" t="s">
        <v>1394</v>
      </c>
      <c r="C85" s="1" t="s">
        <v>1395</v>
      </c>
      <c r="D85" s="1" t="s">
        <v>41</v>
      </c>
      <c r="E85" s="5">
        <v>0.009751773049645474</v>
      </c>
      <c r="F85" s="5">
        <v>-0.0836685438455349</v>
      </c>
      <c r="G85" s="4">
        <v>11.39</v>
      </c>
    </row>
    <row r="86" spans="1:7">
      <c r="A86" s="4">
        <v>85</v>
      </c>
      <c r="B86" s="1" t="s">
        <v>1384</v>
      </c>
      <c r="C86" s="1" t="s">
        <v>1385</v>
      </c>
      <c r="D86" s="1" t="s">
        <v>70</v>
      </c>
      <c r="E86" s="5">
        <v>0.00970017636684295</v>
      </c>
      <c r="F86" s="5">
        <v>0.05920444033302497</v>
      </c>
      <c r="G86" s="4">
        <v>11.45</v>
      </c>
    </row>
    <row r="87" spans="1:7">
      <c r="A87" s="4">
        <v>86</v>
      </c>
      <c r="B87" s="1" t="s">
        <v>1118</v>
      </c>
      <c r="C87" s="1" t="s">
        <v>1119</v>
      </c>
      <c r="D87" s="1" t="s">
        <v>93</v>
      </c>
      <c r="E87" s="5">
        <v>0.009658246656760738</v>
      </c>
      <c r="F87" s="5">
        <v>-0.003665689149560114</v>
      </c>
      <c r="G87" s="4">
        <v>13.59</v>
      </c>
    </row>
    <row r="88" spans="1:7">
      <c r="A88" s="4">
        <v>87</v>
      </c>
      <c r="B88" s="1" t="s">
        <v>1416</v>
      </c>
      <c r="C88" s="1" t="s">
        <v>1417</v>
      </c>
      <c r="D88" s="1" t="s">
        <v>93</v>
      </c>
      <c r="E88" s="5">
        <v>0.009599096555618081</v>
      </c>
      <c r="F88" s="5">
        <v>0.02699597932222852</v>
      </c>
      <c r="G88" s="4">
        <v>17.88</v>
      </c>
    </row>
    <row r="89" spans="1:7">
      <c r="A89" s="4">
        <v>88</v>
      </c>
      <c r="B89" s="1" t="s">
        <v>1304</v>
      </c>
      <c r="C89" s="1" t="s">
        <v>1305</v>
      </c>
      <c r="D89" s="1" t="s">
        <v>70</v>
      </c>
      <c r="E89" s="5">
        <v>0.009302325581395543</v>
      </c>
      <c r="F89" s="5">
        <v>0.04144851657940651</v>
      </c>
      <c r="G89" s="4">
        <v>23.87</v>
      </c>
    </row>
    <row r="90" spans="1:7">
      <c r="A90" s="4">
        <v>89</v>
      </c>
      <c r="B90" s="1" t="s">
        <v>1342</v>
      </c>
      <c r="C90" s="1" t="s">
        <v>1343</v>
      </c>
      <c r="D90" s="1" t="s">
        <v>54</v>
      </c>
      <c r="E90" s="5">
        <v>0.009273570324574987</v>
      </c>
      <c r="F90" s="5">
        <v>0.04479999999999995</v>
      </c>
      <c r="G90" s="4">
        <v>6.53</v>
      </c>
    </row>
    <row r="91" spans="1:7">
      <c r="A91" s="4">
        <v>90</v>
      </c>
      <c r="B91" s="1" t="s">
        <v>1398</v>
      </c>
      <c r="C91" s="1" t="s">
        <v>1399</v>
      </c>
      <c r="D91" s="1" t="s">
        <v>70</v>
      </c>
      <c r="E91" s="5">
        <v>0.009179926560587415</v>
      </c>
      <c r="F91" s="5">
        <v>0.03288443470090807</v>
      </c>
      <c r="G91" s="4">
        <v>32.98</v>
      </c>
    </row>
    <row r="92" spans="1:7">
      <c r="A92" s="4">
        <v>91</v>
      </c>
      <c r="B92" s="1" t="s">
        <v>1110</v>
      </c>
      <c r="C92" s="1" t="s">
        <v>1111</v>
      </c>
      <c r="D92" s="1" t="s">
        <v>47</v>
      </c>
      <c r="E92" s="5">
        <v>0.008498583569405138</v>
      </c>
      <c r="F92" s="5">
        <v>0.007072135785006983</v>
      </c>
      <c r="G92" s="4">
        <v>7.12</v>
      </c>
    </row>
    <row r="93" spans="1:7">
      <c r="A93" s="4">
        <v>92</v>
      </c>
      <c r="B93" s="1" t="s">
        <v>1426</v>
      </c>
      <c r="C93" s="1" t="s">
        <v>1427</v>
      </c>
      <c r="D93" s="1" t="s">
        <v>47</v>
      </c>
      <c r="E93" s="5">
        <v>0.008249312557286892</v>
      </c>
      <c r="F93" s="5">
        <v>0.05465004793863848</v>
      </c>
      <c r="G93" s="4">
        <v>22</v>
      </c>
    </row>
    <row r="94" spans="1:7">
      <c r="A94" s="4">
        <v>93</v>
      </c>
      <c r="B94" s="1" t="s">
        <v>1618</v>
      </c>
      <c r="C94" s="1" t="s">
        <v>1619</v>
      </c>
      <c r="D94" s="1" t="s">
        <v>66</v>
      </c>
      <c r="E94" s="5">
        <v>0.008206330597889888</v>
      </c>
      <c r="F94" s="5">
        <v>-0.01854493580599137</v>
      </c>
      <c r="G94" s="4">
        <v>34.4</v>
      </c>
    </row>
    <row r="95" spans="1:7">
      <c r="A95" s="4">
        <v>94</v>
      </c>
      <c r="B95" s="1" t="s">
        <v>1438</v>
      </c>
      <c r="C95" s="1" t="s">
        <v>1439</v>
      </c>
      <c r="D95" s="1" t="s">
        <v>41</v>
      </c>
      <c r="E95" s="5">
        <v>0.00810654313839021</v>
      </c>
      <c r="F95" s="5">
        <v>0.003458213256483988</v>
      </c>
      <c r="G95" s="4">
        <v>17.41</v>
      </c>
    </row>
    <row r="96" spans="1:7">
      <c r="A96" s="4">
        <v>95</v>
      </c>
      <c r="B96" s="1" t="s">
        <v>1672</v>
      </c>
      <c r="C96" s="1" t="s">
        <v>1673</v>
      </c>
      <c r="D96" s="1" t="s">
        <v>41</v>
      </c>
      <c r="E96" s="5">
        <v>0.008036739380022695</v>
      </c>
      <c r="F96" s="5">
        <v>-0.1614135625596945</v>
      </c>
      <c r="G96" s="4">
        <v>8.779999999999999</v>
      </c>
    </row>
    <row r="97" spans="1:7">
      <c r="A97" s="4">
        <v>96</v>
      </c>
      <c r="B97" s="1" t="s">
        <v>1328</v>
      </c>
      <c r="C97" s="1" t="s">
        <v>1329</v>
      </c>
      <c r="D97" s="1" t="s">
        <v>70</v>
      </c>
      <c r="E97" s="5">
        <v>0.008016032064128265</v>
      </c>
      <c r="F97" s="5">
        <v>0.008016032064128265</v>
      </c>
      <c r="G97" s="4">
        <v>5.03</v>
      </c>
    </row>
    <row r="98" spans="1:7">
      <c r="A98" s="4">
        <v>97</v>
      </c>
      <c r="B98" s="1" t="s">
        <v>1310</v>
      </c>
      <c r="C98" s="1" t="s">
        <v>1311</v>
      </c>
      <c r="D98" s="1" t="s">
        <v>54</v>
      </c>
      <c r="E98" s="5">
        <v>0.00797448165869219</v>
      </c>
      <c r="F98" s="5">
        <v>-0.05812220566318926</v>
      </c>
      <c r="G98" s="4">
        <v>6.32</v>
      </c>
    </row>
    <row r="99" spans="1:7">
      <c r="A99" s="4">
        <v>98</v>
      </c>
      <c r="B99" s="1" t="s">
        <v>1500</v>
      </c>
      <c r="C99" s="1" t="s">
        <v>1501</v>
      </c>
      <c r="D99" s="1" t="s">
        <v>41</v>
      </c>
      <c r="E99" s="5">
        <v>0.007753164556961956</v>
      </c>
      <c r="F99" s="5">
        <v>0.01352641629535323</v>
      </c>
      <c r="G99" s="4">
        <v>63.69</v>
      </c>
    </row>
    <row r="100" spans="1:7">
      <c r="A100" s="4">
        <v>99</v>
      </c>
      <c r="B100" s="1" t="s">
        <v>1172</v>
      </c>
      <c r="C100" s="1" t="s">
        <v>1173</v>
      </c>
      <c r="D100" s="1" t="s">
        <v>41</v>
      </c>
      <c r="E100" s="5">
        <v>0.007653061224489832</v>
      </c>
      <c r="F100" s="5">
        <v>0.007910181168665487</v>
      </c>
      <c r="G100" s="4">
        <v>39.5</v>
      </c>
    </row>
    <row r="101" spans="1:7">
      <c r="A101" s="4">
        <v>100</v>
      </c>
      <c r="B101" s="1" t="s">
        <v>1240</v>
      </c>
      <c r="C101" s="1" t="s">
        <v>1241</v>
      </c>
      <c r="D101" s="1" t="s">
        <v>54</v>
      </c>
      <c r="E101" s="5">
        <v>0.007364544976327991</v>
      </c>
      <c r="F101" s="5">
        <v>0.01269169751454258</v>
      </c>
      <c r="G101" s="4">
        <v>19.15</v>
      </c>
    </row>
  </sheetData>
  <autoFilter ref="A1:G101"/>
  <conditionalFormatting sqref="E2:E101">
    <cfRule type="colorScale" priority="1">
      <colorScale>
        <cfvo type="min" val="0"/>
        <cfvo type="num" val="0"/>
        <cfvo type="max" val="0"/>
        <color rgb="FFF6C7CE"/>
        <color rgb="FFFFFFFF"/>
        <color rgb="FFB9E5D1"/>
      </colorScale>
    </cfRule>
  </conditionalFormatting>
  <conditionalFormatting sqref="F2:F101">
    <cfRule type="colorScale" priority="2">
      <colorScale>
        <cfvo type="min" val="0"/>
        <cfvo type="num" val="0"/>
        <cfvo type="max" val="0"/>
        <color rgb="FFF6C7CE"/>
        <color rgb="FFFFFFFF"/>
        <color rgb="FFB9E5D1"/>
      </colorScale>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101"/>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5.7109375" style="1" customWidth="1"/>
    <col min="2" max="2" width="22.7109375" style="1" customWidth="1"/>
    <col min="3" max="3" width="40.7109375" style="1" customWidth="1"/>
    <col min="4" max="4" width="27.7109375" style="1" customWidth="1"/>
    <col min="5" max="7" width="15.7109375" style="1" customWidth="1"/>
  </cols>
  <sheetData>
    <row r="1" spans="1:7" ht="30" customHeight="1">
      <c r="A1" s="3" t="s">
        <v>1071</v>
      </c>
      <c r="B1" s="3" t="s">
        <v>24</v>
      </c>
      <c r="C1" s="3" t="s">
        <v>25</v>
      </c>
      <c r="D1" s="3" t="s">
        <v>26</v>
      </c>
      <c r="E1" s="3" t="s">
        <v>1072</v>
      </c>
      <c r="F1" s="3" t="s">
        <v>1073</v>
      </c>
      <c r="G1" s="3" t="s">
        <v>1074</v>
      </c>
    </row>
    <row r="2" spans="1:7">
      <c r="A2" s="4">
        <v>1</v>
      </c>
      <c r="B2" s="1" t="s">
        <v>1140</v>
      </c>
      <c r="C2" s="1" t="s">
        <v>1141</v>
      </c>
      <c r="D2" s="1" t="s">
        <v>41</v>
      </c>
      <c r="E2" s="5">
        <v>-0.09994209612044003</v>
      </c>
      <c r="F2" s="5">
        <v>0.01794368041912242</v>
      </c>
      <c r="G2" s="4">
        <v>77.72</v>
      </c>
    </row>
    <row r="3" spans="1:7">
      <c r="A3" s="4">
        <v>2</v>
      </c>
      <c r="B3" s="1" t="s">
        <v>1134</v>
      </c>
      <c r="C3" s="1" t="s">
        <v>1135</v>
      </c>
      <c r="D3" s="1" t="s">
        <v>41</v>
      </c>
      <c r="E3" s="5">
        <v>-0.07500655651717802</v>
      </c>
      <c r="F3" s="5">
        <v>-0.03210757409440157</v>
      </c>
      <c r="G3" s="4">
        <v>35.27</v>
      </c>
    </row>
    <row r="4" spans="1:7">
      <c r="A4" s="4">
        <v>3</v>
      </c>
      <c r="B4" s="1" t="s">
        <v>1224</v>
      </c>
      <c r="C4" s="1" t="s">
        <v>1225</v>
      </c>
      <c r="D4" s="1" t="s">
        <v>70</v>
      </c>
      <c r="E4" s="5">
        <v>-0.06687107606949916</v>
      </c>
      <c r="F4" s="5">
        <v>0.1808943089430894</v>
      </c>
      <c r="G4" s="4">
        <v>63.91</v>
      </c>
    </row>
    <row r="5" spans="1:7">
      <c r="A5" s="4">
        <v>4</v>
      </c>
      <c r="B5" s="1" t="s">
        <v>1292</v>
      </c>
      <c r="C5" s="1" t="s">
        <v>1293</v>
      </c>
      <c r="D5" s="1" t="s">
        <v>41</v>
      </c>
      <c r="E5" s="5">
        <v>-0.06327384510289469</v>
      </c>
      <c r="F5" s="5">
        <v>-0.1360163818224778</v>
      </c>
      <c r="G5" s="4">
        <v>109.7</v>
      </c>
    </row>
    <row r="6" spans="1:7">
      <c r="A6" s="4">
        <v>5</v>
      </c>
      <c r="B6" s="1" t="s">
        <v>1362</v>
      </c>
      <c r="C6" s="1" t="s">
        <v>1363</v>
      </c>
      <c r="D6" s="1" t="s">
        <v>93</v>
      </c>
      <c r="E6" s="5">
        <v>-0.05747126436781613</v>
      </c>
      <c r="F6" s="5">
        <v>-0.04424357754519503</v>
      </c>
      <c r="G6" s="4">
        <v>40.18</v>
      </c>
    </row>
    <row r="7" spans="1:7">
      <c r="A7" s="4">
        <v>6</v>
      </c>
      <c r="B7" s="1" t="s">
        <v>1414</v>
      </c>
      <c r="C7" s="1" t="s">
        <v>1415</v>
      </c>
      <c r="D7" s="1" t="s">
        <v>41</v>
      </c>
      <c r="E7" s="5">
        <v>-0.05486179318086148</v>
      </c>
      <c r="F7" s="5">
        <v>-0.1426753213694794</v>
      </c>
      <c r="G7" s="4">
        <v>67.36</v>
      </c>
    </row>
    <row r="8" spans="1:7">
      <c r="A8" s="4">
        <v>7</v>
      </c>
      <c r="B8" s="1" t="s">
        <v>1620</v>
      </c>
      <c r="C8" s="1" t="s">
        <v>1621</v>
      </c>
      <c r="D8" s="1" t="s">
        <v>41</v>
      </c>
      <c r="E8" s="5">
        <v>-0.04655540218346088</v>
      </c>
      <c r="F8" s="5">
        <v>-0.02888548057259699</v>
      </c>
      <c r="G8" s="4">
        <v>75.98</v>
      </c>
    </row>
    <row r="9" spans="1:7">
      <c r="A9" s="4">
        <v>8</v>
      </c>
      <c r="B9" s="1" t="s">
        <v>1196</v>
      </c>
      <c r="C9" s="1" t="s">
        <v>1197</v>
      </c>
      <c r="D9" s="1" t="s">
        <v>41</v>
      </c>
      <c r="E9" s="5">
        <v>-0.04226077993471911</v>
      </c>
      <c r="F9" s="5">
        <v>-0.08010890190578335</v>
      </c>
      <c r="G9" s="4">
        <v>111.5</v>
      </c>
    </row>
    <row r="10" spans="1:7">
      <c r="A10" s="4">
        <v>9</v>
      </c>
      <c r="B10" s="1" t="s">
        <v>1556</v>
      </c>
      <c r="C10" s="1" t="s">
        <v>1557</v>
      </c>
      <c r="D10" s="1" t="s">
        <v>47</v>
      </c>
      <c r="E10" s="5">
        <v>-0.04202383441354796</v>
      </c>
      <c r="F10" s="5">
        <v>-0.02344416027280483</v>
      </c>
      <c r="G10" s="4">
        <v>45.82</v>
      </c>
    </row>
    <row r="11" spans="1:7">
      <c r="A11" s="4">
        <v>10</v>
      </c>
      <c r="B11" s="1" t="s">
        <v>1660</v>
      </c>
      <c r="C11" s="1" t="s">
        <v>1661</v>
      </c>
      <c r="D11" s="1" t="s">
        <v>41</v>
      </c>
      <c r="E11" s="5">
        <v>-0.04105263157894734</v>
      </c>
      <c r="F11" s="5">
        <v>0.1008551775422941</v>
      </c>
      <c r="G11" s="4">
        <v>118.43</v>
      </c>
    </row>
    <row r="12" spans="1:7">
      <c r="A12" s="4">
        <v>11</v>
      </c>
      <c r="B12" s="1" t="s">
        <v>1654</v>
      </c>
      <c r="C12" s="1" t="s">
        <v>1655</v>
      </c>
      <c r="D12" s="1" t="s">
        <v>41</v>
      </c>
      <c r="E12" s="5">
        <v>-0.04051702709420835</v>
      </c>
      <c r="F12" s="5">
        <v>-0.1026237130521422</v>
      </c>
      <c r="G12" s="4">
        <v>270.2</v>
      </c>
    </row>
    <row r="13" spans="1:7">
      <c r="A13" s="4">
        <v>12</v>
      </c>
      <c r="B13" s="1" t="s">
        <v>1364</v>
      </c>
      <c r="C13" s="1" t="s">
        <v>1365</v>
      </c>
      <c r="D13" s="1" t="s">
        <v>41</v>
      </c>
      <c r="E13" s="5">
        <v>-0.03973741183043511</v>
      </c>
      <c r="F13" s="5">
        <v>0.03539156626506013</v>
      </c>
      <c r="G13" s="4">
        <v>137.5</v>
      </c>
    </row>
    <row r="14" spans="1:7">
      <c r="A14" s="4">
        <v>13</v>
      </c>
      <c r="B14" s="1" t="s">
        <v>1116</v>
      </c>
      <c r="C14" s="1" t="s">
        <v>1117</v>
      </c>
      <c r="D14" s="1" t="s">
        <v>93</v>
      </c>
      <c r="E14" s="5">
        <v>-0.03965344885038324</v>
      </c>
      <c r="F14" s="5">
        <v>-0.1540945113002642</v>
      </c>
      <c r="G14" s="4">
        <v>57.64</v>
      </c>
    </row>
    <row r="15" spans="1:7">
      <c r="A15" s="4">
        <v>14</v>
      </c>
      <c r="B15" s="1" t="s">
        <v>1676</v>
      </c>
      <c r="C15" s="1" t="s">
        <v>1677</v>
      </c>
      <c r="D15" s="1" t="s">
        <v>41</v>
      </c>
      <c r="E15" s="5">
        <v>-0.03946268032615508</v>
      </c>
      <c r="F15" s="5">
        <v>0.03021639197219428</v>
      </c>
      <c r="G15" s="4">
        <v>183.77</v>
      </c>
    </row>
    <row r="16" spans="1:7">
      <c r="A16" s="4">
        <v>15</v>
      </c>
      <c r="B16" s="1" t="s">
        <v>1406</v>
      </c>
      <c r="C16" s="1" t="s">
        <v>1407</v>
      </c>
      <c r="D16" s="1" t="s">
        <v>70</v>
      </c>
      <c r="E16" s="5">
        <v>-0.03676694013977511</v>
      </c>
      <c r="F16" s="5">
        <v>-0.05174992521687105</v>
      </c>
      <c r="G16" s="4">
        <v>31.7</v>
      </c>
    </row>
    <row r="17" spans="1:7">
      <c r="A17" s="4">
        <v>16</v>
      </c>
      <c r="B17" s="1" t="s">
        <v>1410</v>
      </c>
      <c r="C17" s="1" t="s">
        <v>1411</v>
      </c>
      <c r="D17" s="1" t="s">
        <v>93</v>
      </c>
      <c r="E17" s="5">
        <v>-0.03634208967015606</v>
      </c>
      <c r="F17" s="5">
        <v>-0.1221662468513853</v>
      </c>
      <c r="G17" s="4">
        <v>48.79</v>
      </c>
    </row>
    <row r="18" spans="1:7">
      <c r="A18" s="4">
        <v>17</v>
      </c>
      <c r="B18" s="1" t="s">
        <v>1658</v>
      </c>
      <c r="C18" s="1" t="s">
        <v>1659</v>
      </c>
      <c r="D18" s="1" t="s">
        <v>41</v>
      </c>
      <c r="E18" s="5">
        <v>-0.0358514724711908</v>
      </c>
      <c r="F18" s="5">
        <v>-0.08282582216808765</v>
      </c>
      <c r="G18" s="4">
        <v>22.59</v>
      </c>
    </row>
    <row r="19" spans="1:7">
      <c r="A19" s="4">
        <v>18</v>
      </c>
      <c r="B19" s="1" t="s">
        <v>1298</v>
      </c>
      <c r="C19" s="1" t="s">
        <v>1299</v>
      </c>
      <c r="D19" s="1" t="s">
        <v>41</v>
      </c>
      <c r="E19" s="5">
        <v>-0.03511942830130965</v>
      </c>
      <c r="F19" s="5">
        <v>-0.08842536646876487</v>
      </c>
      <c r="G19" s="4">
        <v>347</v>
      </c>
    </row>
    <row r="20" spans="1:7">
      <c r="A20" s="4">
        <v>19</v>
      </c>
      <c r="B20" s="1" t="s">
        <v>1242</v>
      </c>
      <c r="C20" s="1" t="s">
        <v>1243</v>
      </c>
      <c r="D20" s="1" t="s">
        <v>37</v>
      </c>
      <c r="E20" s="5">
        <v>-0.03495994173343042</v>
      </c>
      <c r="F20" s="5">
        <v>-0.0467625899280576</v>
      </c>
      <c r="G20" s="4">
        <v>13.25</v>
      </c>
    </row>
    <row r="21" spans="1:7">
      <c r="A21" s="4">
        <v>20</v>
      </c>
      <c r="B21" s="1" t="s">
        <v>1142</v>
      </c>
      <c r="C21" s="1" t="s">
        <v>1143</v>
      </c>
      <c r="D21" s="1" t="s">
        <v>41</v>
      </c>
      <c r="E21" s="5">
        <v>-0.03414831279046282</v>
      </c>
      <c r="F21" s="5">
        <v>-0.1047012549166512</v>
      </c>
      <c r="G21" s="4">
        <v>95.59999999999999</v>
      </c>
    </row>
    <row r="22" spans="1:7">
      <c r="A22" s="4">
        <v>21</v>
      </c>
      <c r="B22" s="1" t="s">
        <v>1198</v>
      </c>
      <c r="C22" s="1" t="s">
        <v>1199</v>
      </c>
      <c r="D22" s="1" t="s">
        <v>93</v>
      </c>
      <c r="E22" s="5">
        <v>-0.03346121057118501</v>
      </c>
      <c r="F22" s="5">
        <v>-0.06262918561389008</v>
      </c>
      <c r="G22" s="4">
        <v>45.35</v>
      </c>
    </row>
    <row r="23" spans="1:7">
      <c r="A23" s="4">
        <v>22</v>
      </c>
      <c r="B23" s="1" t="s">
        <v>1200</v>
      </c>
      <c r="C23" s="1" t="s">
        <v>1201</v>
      </c>
      <c r="D23" s="1" t="s">
        <v>41</v>
      </c>
      <c r="E23" s="5">
        <v>-0.03329179277194239</v>
      </c>
      <c r="F23" s="5">
        <v>-0.006404391582799707</v>
      </c>
      <c r="G23" s="4">
        <v>54.3</v>
      </c>
    </row>
    <row r="24" spans="1:7">
      <c r="A24" s="4">
        <v>23</v>
      </c>
      <c r="B24" s="1" t="s">
        <v>1600</v>
      </c>
      <c r="C24" s="1" t="s">
        <v>1601</v>
      </c>
      <c r="D24" s="1" t="s">
        <v>70</v>
      </c>
      <c r="E24" s="5">
        <v>-0.0307785153892578</v>
      </c>
      <c r="F24" s="5">
        <v>-0.05584950029394486</v>
      </c>
      <c r="G24" s="4">
        <v>16.06</v>
      </c>
    </row>
    <row r="25" spans="1:7">
      <c r="A25" s="4">
        <v>24</v>
      </c>
      <c r="B25" s="1" t="s">
        <v>1296</v>
      </c>
      <c r="C25" s="1" t="s">
        <v>1297</v>
      </c>
      <c r="D25" s="1" t="s">
        <v>41</v>
      </c>
      <c r="E25" s="5">
        <v>-0.02995566129555527</v>
      </c>
      <c r="F25" s="5">
        <v>-0.0577731092436975</v>
      </c>
      <c r="G25" s="4">
        <v>89.7</v>
      </c>
    </row>
    <row r="26" spans="1:7">
      <c r="A26" s="4">
        <v>25</v>
      </c>
      <c r="B26" s="1" t="s">
        <v>1652</v>
      </c>
      <c r="C26" s="1" t="s">
        <v>1653</v>
      </c>
      <c r="D26" s="1" t="s">
        <v>41</v>
      </c>
      <c r="E26" s="5">
        <v>-0.02981093223511799</v>
      </c>
      <c r="F26" s="5">
        <v>-0.07657015590200456</v>
      </c>
      <c r="G26" s="4">
        <v>621.9299999999999</v>
      </c>
    </row>
    <row r="27" spans="1:7">
      <c r="A27" s="4">
        <v>26</v>
      </c>
      <c r="B27" s="1" t="s">
        <v>1632</v>
      </c>
      <c r="C27" s="1" t="s">
        <v>1633</v>
      </c>
      <c r="D27" s="1" t="s">
        <v>41</v>
      </c>
      <c r="E27" s="5">
        <v>-0.02954070981210855</v>
      </c>
      <c r="F27" s="5">
        <v>-0.09089131178800181</v>
      </c>
      <c r="G27" s="4">
        <v>371.88</v>
      </c>
    </row>
    <row r="28" spans="1:7">
      <c r="A28" s="4">
        <v>27</v>
      </c>
      <c r="B28" s="1" t="s">
        <v>1226</v>
      </c>
      <c r="C28" s="1" t="s">
        <v>1227</v>
      </c>
      <c r="D28" s="1" t="s">
        <v>41</v>
      </c>
      <c r="E28" s="5">
        <v>-0.0285178895590561</v>
      </c>
      <c r="F28" s="5">
        <v>-0.07383112351709697</v>
      </c>
      <c r="G28" s="4">
        <v>331.8</v>
      </c>
    </row>
    <row r="29" spans="1:7">
      <c r="A29" s="4">
        <v>28</v>
      </c>
      <c r="B29" s="1" t="s">
        <v>1396</v>
      </c>
      <c r="C29" s="1" t="s">
        <v>1397</v>
      </c>
      <c r="D29" s="1" t="s">
        <v>41</v>
      </c>
      <c r="E29" s="5">
        <v>-0.02849823887287861</v>
      </c>
      <c r="F29" s="5">
        <v>-0.154639175257732</v>
      </c>
      <c r="G29" s="4">
        <v>30.34</v>
      </c>
    </row>
    <row r="30" spans="1:7">
      <c r="A30" s="4">
        <v>29</v>
      </c>
      <c r="B30" s="1" t="s">
        <v>1194</v>
      </c>
      <c r="C30" s="1" t="s">
        <v>1195</v>
      </c>
      <c r="D30" s="1" t="s">
        <v>93</v>
      </c>
      <c r="E30" s="5">
        <v>-0.02830562153602534</v>
      </c>
      <c r="F30" s="5">
        <v>-0.09294161123429401</v>
      </c>
      <c r="G30" s="4">
        <v>49.09</v>
      </c>
    </row>
    <row r="31" spans="1:7">
      <c r="A31" s="4">
        <v>30</v>
      </c>
      <c r="B31" s="1" t="s">
        <v>1186</v>
      </c>
      <c r="C31" s="1" t="s">
        <v>1187</v>
      </c>
      <c r="D31" s="1" t="s">
        <v>41</v>
      </c>
      <c r="E31" s="5">
        <v>-0.02694254696267395</v>
      </c>
      <c r="F31" s="5">
        <v>-0.1067424380275185</v>
      </c>
      <c r="G31" s="4">
        <v>638.17</v>
      </c>
    </row>
    <row r="32" spans="1:7">
      <c r="A32" s="4">
        <v>31</v>
      </c>
      <c r="B32" s="1" t="s">
        <v>1276</v>
      </c>
      <c r="C32" s="1" t="s">
        <v>1277</v>
      </c>
      <c r="D32" s="1" t="s">
        <v>41</v>
      </c>
      <c r="E32" s="5">
        <v>-0.0258746355685131</v>
      </c>
      <c r="F32" s="5">
        <v>-0.08301886792452828</v>
      </c>
      <c r="G32" s="4">
        <v>106.92</v>
      </c>
    </row>
    <row r="33" spans="1:7">
      <c r="A33" s="4">
        <v>32</v>
      </c>
      <c r="B33" s="1" t="s">
        <v>1228</v>
      </c>
      <c r="C33" s="1" t="s">
        <v>1229</v>
      </c>
      <c r="D33" s="1" t="s">
        <v>47</v>
      </c>
      <c r="E33" s="5">
        <v>-0.02568644818423371</v>
      </c>
      <c r="F33" s="5">
        <v>0.01828280490627177</v>
      </c>
      <c r="G33" s="4">
        <v>88</v>
      </c>
    </row>
    <row r="34" spans="1:7">
      <c r="A34" s="4">
        <v>33</v>
      </c>
      <c r="B34" s="1" t="s">
        <v>1664</v>
      </c>
      <c r="C34" s="1" t="s">
        <v>1665</v>
      </c>
      <c r="D34" s="1" t="s">
        <v>41</v>
      </c>
      <c r="E34" s="5">
        <v>-0.0254456858698715</v>
      </c>
      <c r="F34" s="5">
        <v>0.03574879227053129</v>
      </c>
      <c r="G34" s="4">
        <v>1072</v>
      </c>
    </row>
    <row r="35" spans="1:7">
      <c r="A35" s="4">
        <v>34</v>
      </c>
      <c r="B35" s="1" t="s">
        <v>1630</v>
      </c>
      <c r="C35" s="1" t="s">
        <v>1631</v>
      </c>
      <c r="D35" s="1" t="s">
        <v>41</v>
      </c>
      <c r="E35" s="5">
        <v>-0.02527075812274371</v>
      </c>
      <c r="F35" s="5">
        <v>0.0464536847350645</v>
      </c>
      <c r="G35" s="4">
        <v>189</v>
      </c>
    </row>
    <row r="36" spans="1:7">
      <c r="A36" s="4">
        <v>35</v>
      </c>
      <c r="B36" s="1" t="s">
        <v>1162</v>
      </c>
      <c r="C36" s="1" t="s">
        <v>1163</v>
      </c>
      <c r="D36" s="1" t="s">
        <v>70</v>
      </c>
      <c r="E36" s="5">
        <v>-0.02314049586776845</v>
      </c>
      <c r="F36" s="5">
        <v>-0.03405066739308094</v>
      </c>
      <c r="G36" s="4">
        <v>35.46</v>
      </c>
    </row>
    <row r="37" spans="1:7">
      <c r="A37" s="4">
        <v>36</v>
      </c>
      <c r="B37" s="1" t="s">
        <v>1264</v>
      </c>
      <c r="C37" s="1" t="s">
        <v>1265</v>
      </c>
      <c r="D37" s="1" t="s">
        <v>41</v>
      </c>
      <c r="E37" s="5">
        <v>-0.02297779847849712</v>
      </c>
      <c r="F37" s="5">
        <v>-0.0225225225225224</v>
      </c>
      <c r="G37" s="4">
        <v>62.93</v>
      </c>
    </row>
    <row r="38" spans="1:7">
      <c r="A38" s="4">
        <v>37</v>
      </c>
      <c r="B38" s="1" t="s">
        <v>1256</v>
      </c>
      <c r="C38" s="1" t="s">
        <v>1257</v>
      </c>
      <c r="D38" s="1" t="s">
        <v>41</v>
      </c>
      <c r="E38" s="5">
        <v>-0.02263096204129467</v>
      </c>
      <c r="F38" s="5">
        <v>-0.04828797190517997</v>
      </c>
      <c r="G38" s="4">
        <v>108.4</v>
      </c>
    </row>
    <row r="39" spans="1:7">
      <c r="A39" s="4">
        <v>38</v>
      </c>
      <c r="B39" s="1" t="s">
        <v>1218</v>
      </c>
      <c r="C39" s="1" t="s">
        <v>1219</v>
      </c>
      <c r="D39" s="1" t="s">
        <v>93</v>
      </c>
      <c r="E39" s="5">
        <v>-0.02225433526011567</v>
      </c>
      <c r="F39" s="5">
        <v>-0.1087987355110643</v>
      </c>
      <c r="G39" s="4">
        <v>33.83</v>
      </c>
    </row>
    <row r="40" spans="1:7">
      <c r="A40" s="4">
        <v>39</v>
      </c>
      <c r="B40" s="1" t="s">
        <v>1678</v>
      </c>
      <c r="C40" s="1" t="s">
        <v>1679</v>
      </c>
      <c r="D40" s="1" t="s">
        <v>41</v>
      </c>
      <c r="E40" s="5">
        <v>-0.02203923468152102</v>
      </c>
      <c r="F40" s="5">
        <v>-0.02932692307692308</v>
      </c>
      <c r="G40" s="4">
        <v>121.14</v>
      </c>
    </row>
    <row r="41" spans="1:7">
      <c r="A41" s="4">
        <v>40</v>
      </c>
      <c r="B41" s="1" t="s">
        <v>1382</v>
      </c>
      <c r="C41" s="1" t="s">
        <v>1383</v>
      </c>
      <c r="D41" s="1" t="s">
        <v>93</v>
      </c>
      <c r="E41" s="5">
        <v>-0.02175767918088745</v>
      </c>
      <c r="F41" s="5">
        <v>0</v>
      </c>
      <c r="G41" s="4">
        <v>45.86</v>
      </c>
    </row>
    <row r="42" spans="1:7">
      <c r="A42" s="4">
        <v>41</v>
      </c>
      <c r="B42" s="1" t="s">
        <v>1624</v>
      </c>
      <c r="C42" s="1" t="s">
        <v>1625</v>
      </c>
      <c r="D42" s="1" t="s">
        <v>37</v>
      </c>
      <c r="E42" s="5">
        <v>-0.02122391227449583</v>
      </c>
      <c r="F42" s="5">
        <v>-0.09545603138280478</v>
      </c>
      <c r="G42" s="4">
        <v>27.67</v>
      </c>
    </row>
    <row r="43" spans="1:7">
      <c r="A43" s="4">
        <v>42</v>
      </c>
      <c r="B43" s="1" t="s">
        <v>1210</v>
      </c>
      <c r="C43" s="1" t="s">
        <v>1211</v>
      </c>
      <c r="D43" s="1" t="s">
        <v>41</v>
      </c>
      <c r="E43" s="5">
        <v>-0.02093023255813953</v>
      </c>
      <c r="F43" s="5">
        <v>0.03186274509803932</v>
      </c>
      <c r="G43" s="4">
        <v>12.63</v>
      </c>
    </row>
    <row r="44" spans="1:7">
      <c r="A44" s="4">
        <v>43</v>
      </c>
      <c r="B44" s="1" t="s">
        <v>1262</v>
      </c>
      <c r="C44" s="1" t="s">
        <v>1263</v>
      </c>
      <c r="D44" s="1" t="s">
        <v>41</v>
      </c>
      <c r="E44" s="5">
        <v>-0.02035126846947299</v>
      </c>
      <c r="F44" s="5">
        <v>-0.05512234471632149</v>
      </c>
      <c r="G44" s="4">
        <v>35.14</v>
      </c>
    </row>
    <row r="45" spans="1:7">
      <c r="A45" s="4">
        <v>44</v>
      </c>
      <c r="B45" s="1" t="s">
        <v>1252</v>
      </c>
      <c r="C45" s="1" t="s">
        <v>1253</v>
      </c>
      <c r="D45" s="1" t="s">
        <v>41</v>
      </c>
      <c r="E45" s="5">
        <v>-0.02016412661195777</v>
      </c>
      <c r="F45" s="5">
        <v>-0.01739948271808145</v>
      </c>
      <c r="G45" s="4">
        <v>41.79</v>
      </c>
    </row>
    <row r="46" spans="1:7">
      <c r="A46" s="4">
        <v>45</v>
      </c>
      <c r="B46" s="1" t="s">
        <v>1612</v>
      </c>
      <c r="C46" s="1" t="s">
        <v>1613</v>
      </c>
      <c r="D46" s="1" t="s">
        <v>41</v>
      </c>
      <c r="E46" s="5">
        <v>-0.01967990515708351</v>
      </c>
      <c r="F46" s="5">
        <v>-0.01688265366781594</v>
      </c>
      <c r="G46" s="4">
        <v>82.69</v>
      </c>
    </row>
    <row r="47" spans="1:7">
      <c r="A47" s="4">
        <v>46</v>
      </c>
      <c r="B47" s="1" t="s">
        <v>1614</v>
      </c>
      <c r="C47" s="1" t="s">
        <v>1615</v>
      </c>
      <c r="D47" s="1" t="s">
        <v>37</v>
      </c>
      <c r="E47" s="5">
        <v>-0.01787652429291953</v>
      </c>
      <c r="F47" s="5">
        <v>-0.05544639567726883</v>
      </c>
      <c r="G47" s="4">
        <v>153.83</v>
      </c>
    </row>
    <row r="48" spans="1:7">
      <c r="A48" s="4">
        <v>47</v>
      </c>
      <c r="B48" s="1" t="s">
        <v>1202</v>
      </c>
      <c r="C48" s="1" t="s">
        <v>1203</v>
      </c>
      <c r="D48" s="1" t="s">
        <v>93</v>
      </c>
      <c r="E48" s="5">
        <v>-0.01775956284153002</v>
      </c>
      <c r="F48" s="5">
        <v>0.04505813953488369</v>
      </c>
      <c r="G48" s="4">
        <v>14.38</v>
      </c>
    </row>
    <row r="49" spans="1:7">
      <c r="A49" s="4">
        <v>48</v>
      </c>
      <c r="B49" s="1" t="s">
        <v>1120</v>
      </c>
      <c r="C49" s="1" t="s">
        <v>1121</v>
      </c>
      <c r="D49" s="1" t="s">
        <v>41</v>
      </c>
      <c r="E49" s="5">
        <v>-0.01751313485113826</v>
      </c>
      <c r="F49" s="5">
        <v>-0.06499999999999995</v>
      </c>
      <c r="G49" s="4">
        <v>5.61</v>
      </c>
    </row>
    <row r="50" spans="1:7">
      <c r="A50" s="4">
        <v>49</v>
      </c>
      <c r="B50" s="1" t="s">
        <v>1616</v>
      </c>
      <c r="C50" s="1" t="s">
        <v>1617</v>
      </c>
      <c r="D50" s="1" t="s">
        <v>93</v>
      </c>
      <c r="E50" s="5">
        <v>-0.01644736842105254</v>
      </c>
      <c r="F50" s="5">
        <v>-0.06535947712418289</v>
      </c>
      <c r="G50" s="4">
        <v>32.89</v>
      </c>
    </row>
    <row r="51" spans="1:7">
      <c r="A51" s="4">
        <v>50</v>
      </c>
      <c r="B51" s="1" t="s">
        <v>1086</v>
      </c>
      <c r="C51" s="1" t="s">
        <v>1087</v>
      </c>
      <c r="D51" s="1" t="s">
        <v>41</v>
      </c>
      <c r="E51" s="5">
        <v>-0.01639344262295084</v>
      </c>
      <c r="F51" s="5">
        <v>-0.04572564612326047</v>
      </c>
      <c r="G51" s="4">
        <v>4.8</v>
      </c>
    </row>
    <row r="52" spans="1:7">
      <c r="A52" s="4">
        <v>51</v>
      </c>
      <c r="B52" s="1" t="s">
        <v>1644</v>
      </c>
      <c r="C52" s="1" t="s">
        <v>1645</v>
      </c>
      <c r="D52" s="1" t="s">
        <v>41</v>
      </c>
      <c r="E52" s="5">
        <v>-0.01636363636363636</v>
      </c>
      <c r="F52" s="5">
        <v>-0.07470344827586206</v>
      </c>
      <c r="G52" s="4">
        <v>335.42</v>
      </c>
    </row>
    <row r="53" spans="1:7">
      <c r="A53" s="4">
        <v>52</v>
      </c>
      <c r="B53" s="1" t="s">
        <v>1360</v>
      </c>
      <c r="C53" s="1" t="s">
        <v>1361</v>
      </c>
      <c r="D53" s="1" t="s">
        <v>93</v>
      </c>
      <c r="E53" s="5">
        <v>-0.0163424124513617</v>
      </c>
      <c r="F53" s="5">
        <v>-0.02015503875968994</v>
      </c>
      <c r="G53" s="4">
        <v>37.92</v>
      </c>
    </row>
    <row r="54" spans="1:7">
      <c r="A54" s="4">
        <v>53</v>
      </c>
      <c r="B54" s="1" t="s">
        <v>1314</v>
      </c>
      <c r="C54" s="1" t="s">
        <v>1315</v>
      </c>
      <c r="D54" s="1" t="s">
        <v>70</v>
      </c>
      <c r="E54" s="5">
        <v>-0.01630434782608692</v>
      </c>
      <c r="F54" s="5">
        <v>0.04826254826254828</v>
      </c>
      <c r="G54" s="4">
        <v>5.43</v>
      </c>
    </row>
    <row r="55" spans="1:7">
      <c r="A55" s="4">
        <v>54</v>
      </c>
      <c r="B55" s="1" t="s">
        <v>1266</v>
      </c>
      <c r="C55" s="1" t="s">
        <v>1267</v>
      </c>
      <c r="D55" s="1" t="s">
        <v>70</v>
      </c>
      <c r="E55" s="5">
        <v>-0.01620442505453423</v>
      </c>
      <c r="F55" s="5">
        <v>-0.06900619286346199</v>
      </c>
      <c r="G55" s="4">
        <v>31.57</v>
      </c>
    </row>
    <row r="56" spans="1:7">
      <c r="A56" s="4">
        <v>55</v>
      </c>
      <c r="B56" s="1" t="s">
        <v>1098</v>
      </c>
      <c r="C56" s="1" t="s">
        <v>1099</v>
      </c>
      <c r="D56" s="1" t="s">
        <v>93</v>
      </c>
      <c r="E56" s="5">
        <v>-0.01613322924798333</v>
      </c>
      <c r="F56" s="5">
        <v>-0.03286865328047062</v>
      </c>
      <c r="G56" s="4">
        <v>75.62</v>
      </c>
    </row>
    <row r="57" spans="1:7">
      <c r="A57" s="4">
        <v>56</v>
      </c>
      <c r="B57" s="1" t="s">
        <v>1128</v>
      </c>
      <c r="C57" s="1" t="s">
        <v>1129</v>
      </c>
      <c r="D57" s="1" t="s">
        <v>93</v>
      </c>
      <c r="E57" s="5">
        <v>-0.01570489408327247</v>
      </c>
      <c r="F57" s="5">
        <v>0.04134466769706346</v>
      </c>
      <c r="G57" s="4">
        <v>26.95</v>
      </c>
    </row>
    <row r="58" spans="1:7">
      <c r="A58" s="4">
        <v>57</v>
      </c>
      <c r="B58" s="1" t="s">
        <v>1176</v>
      </c>
      <c r="C58" s="1" t="s">
        <v>1177</v>
      </c>
      <c r="D58" s="1" t="s">
        <v>41</v>
      </c>
      <c r="E58" s="5">
        <v>-0.01555929352396979</v>
      </c>
      <c r="F58" s="5">
        <v>0.0004273504273504258</v>
      </c>
      <c r="G58" s="4">
        <v>23.41</v>
      </c>
    </row>
    <row r="59" spans="1:7">
      <c r="A59" s="4">
        <v>58</v>
      </c>
      <c r="B59" s="1" t="s">
        <v>1126</v>
      </c>
      <c r="C59" s="1" t="s">
        <v>1127</v>
      </c>
      <c r="D59" s="1" t="s">
        <v>93</v>
      </c>
      <c r="E59" s="5">
        <v>-0.01551533062430743</v>
      </c>
      <c r="F59" s="5">
        <v>-0.07497396737244011</v>
      </c>
      <c r="G59" s="4">
        <v>26.65</v>
      </c>
    </row>
    <row r="60" spans="1:7">
      <c r="A60" s="4">
        <v>59</v>
      </c>
      <c r="B60" s="1" t="s">
        <v>1230</v>
      </c>
      <c r="C60" s="1" t="s">
        <v>1231</v>
      </c>
      <c r="D60" s="1" t="s">
        <v>41</v>
      </c>
      <c r="E60" s="5">
        <v>-0.01466934816041632</v>
      </c>
      <c r="F60" s="5">
        <v>-0.06625560538116593</v>
      </c>
      <c r="G60" s="4">
        <v>83.29000000000001</v>
      </c>
    </row>
    <row r="61" spans="1:7">
      <c r="A61" s="4">
        <v>60</v>
      </c>
      <c r="B61" s="1" t="s">
        <v>1138</v>
      </c>
      <c r="C61" s="1" t="s">
        <v>1139</v>
      </c>
      <c r="D61" s="1" t="s">
        <v>93</v>
      </c>
      <c r="E61" s="5">
        <v>-0.01463963963963966</v>
      </c>
      <c r="F61" s="5">
        <v>-0.08152554233729881</v>
      </c>
      <c r="G61" s="4">
        <v>26.25</v>
      </c>
    </row>
    <row r="62" spans="1:7">
      <c r="A62" s="4">
        <v>61</v>
      </c>
      <c r="B62" s="1" t="s">
        <v>1628</v>
      </c>
      <c r="C62" s="1" t="s">
        <v>1629</v>
      </c>
      <c r="D62" s="1" t="s">
        <v>70</v>
      </c>
      <c r="E62" s="5">
        <v>-0.0144965053067565</v>
      </c>
      <c r="F62" s="5">
        <v>-0.06208425720620847</v>
      </c>
      <c r="G62" s="4">
        <v>38.07</v>
      </c>
    </row>
    <row r="63" spans="1:7">
      <c r="A63" s="4">
        <v>62</v>
      </c>
      <c r="B63" s="1" t="s">
        <v>1674</v>
      </c>
      <c r="C63" s="1" t="s">
        <v>1675</v>
      </c>
      <c r="D63" s="1" t="s">
        <v>37</v>
      </c>
      <c r="E63" s="5">
        <v>-0.01432340746324923</v>
      </c>
      <c r="F63" s="5">
        <v>-0.07502387605673655</v>
      </c>
      <c r="G63" s="4">
        <v>261.5</v>
      </c>
    </row>
    <row r="64" spans="1:7">
      <c r="A64" s="4">
        <v>63</v>
      </c>
      <c r="B64" s="1" t="s">
        <v>1536</v>
      </c>
      <c r="C64" s="1" t="s">
        <v>1537</v>
      </c>
      <c r="D64" s="1" t="s">
        <v>93</v>
      </c>
      <c r="E64" s="5">
        <v>-0.01427115188583084</v>
      </c>
      <c r="F64" s="5">
        <v>0.02653927813163492</v>
      </c>
      <c r="G64" s="4">
        <v>9.67</v>
      </c>
    </row>
    <row r="65" spans="1:7">
      <c r="A65" s="4">
        <v>64</v>
      </c>
      <c r="B65" s="1" t="s">
        <v>1244</v>
      </c>
      <c r="C65" s="1" t="s">
        <v>1245</v>
      </c>
      <c r="D65" s="1" t="s">
        <v>70</v>
      </c>
      <c r="E65" s="5">
        <v>-0.01396508728179546</v>
      </c>
      <c r="F65" s="5">
        <v>0.004743350838556593</v>
      </c>
      <c r="G65" s="4">
        <v>59.31</v>
      </c>
    </row>
    <row r="66" spans="1:7">
      <c r="A66" s="4">
        <v>65</v>
      </c>
      <c r="B66" s="1" t="s">
        <v>1112</v>
      </c>
      <c r="C66" s="1" t="s">
        <v>1113</v>
      </c>
      <c r="D66" s="1" t="s">
        <v>93</v>
      </c>
      <c r="E66" s="5">
        <v>-0.01388888888888895</v>
      </c>
      <c r="F66" s="5">
        <v>-0.03034901365705622</v>
      </c>
      <c r="G66" s="4">
        <v>6.39</v>
      </c>
    </row>
    <row r="67" spans="1:7">
      <c r="A67" s="4">
        <v>66</v>
      </c>
      <c r="B67" s="1" t="s">
        <v>1204</v>
      </c>
      <c r="C67" s="1" t="s">
        <v>1205</v>
      </c>
      <c r="D67" s="1" t="s">
        <v>93</v>
      </c>
      <c r="E67" s="5">
        <v>-0.01352366641622837</v>
      </c>
      <c r="F67" s="5">
        <v>0.03630623520126286</v>
      </c>
      <c r="G67" s="4">
        <v>13.13</v>
      </c>
    </row>
    <row r="68" spans="1:7">
      <c r="A68" s="4">
        <v>67</v>
      </c>
      <c r="B68" s="1" t="s">
        <v>1268</v>
      </c>
      <c r="C68" s="1" t="s">
        <v>1269</v>
      </c>
      <c r="D68" s="1" t="s">
        <v>41</v>
      </c>
      <c r="E68" s="5">
        <v>-0.01348314606741574</v>
      </c>
      <c r="F68" s="5">
        <v>-0.1349412784740286</v>
      </c>
      <c r="G68" s="4">
        <v>219.5</v>
      </c>
    </row>
    <row r="69" spans="1:7">
      <c r="A69" s="4">
        <v>68</v>
      </c>
      <c r="B69" s="1" t="s">
        <v>1650</v>
      </c>
      <c r="C69" s="1" t="s">
        <v>1651</v>
      </c>
      <c r="D69" s="1" t="s">
        <v>41</v>
      </c>
      <c r="E69" s="5">
        <v>-0.01307506053268759</v>
      </c>
      <c r="F69" s="5">
        <v>-0.0510337120506611</v>
      </c>
      <c r="G69" s="4">
        <v>101.9</v>
      </c>
    </row>
    <row r="70" spans="1:7">
      <c r="A70" s="4">
        <v>69</v>
      </c>
      <c r="B70" s="1" t="s">
        <v>1640</v>
      </c>
      <c r="C70" s="1" t="s">
        <v>1641</v>
      </c>
      <c r="D70" s="1" t="s">
        <v>41</v>
      </c>
      <c r="E70" s="5">
        <v>-0.01215725488132202</v>
      </c>
      <c r="F70" s="5">
        <v>-0.06407379705809035</v>
      </c>
      <c r="G70" s="4">
        <v>187.7</v>
      </c>
    </row>
    <row r="71" spans="1:7">
      <c r="A71" s="4">
        <v>70</v>
      </c>
      <c r="B71" s="1" t="s">
        <v>1168</v>
      </c>
      <c r="C71" s="1" t="s">
        <v>1169</v>
      </c>
      <c r="D71" s="1" t="s">
        <v>41</v>
      </c>
      <c r="E71" s="5">
        <v>-0.01212471131639725</v>
      </c>
      <c r="F71" s="5">
        <v>-0.005810575246949501</v>
      </c>
      <c r="G71" s="4">
        <v>34.22</v>
      </c>
    </row>
    <row r="72" spans="1:7">
      <c r="A72" s="4">
        <v>71</v>
      </c>
      <c r="B72" s="1" t="s">
        <v>1336</v>
      </c>
      <c r="C72" s="1" t="s">
        <v>1337</v>
      </c>
      <c r="D72" s="1" t="s">
        <v>70</v>
      </c>
      <c r="E72" s="5">
        <v>-0.01186623516720597</v>
      </c>
      <c r="F72" s="5">
        <v>0.09832134292565953</v>
      </c>
      <c r="G72" s="4">
        <v>9.16</v>
      </c>
    </row>
    <row r="73" spans="1:7">
      <c r="A73" s="4">
        <v>72</v>
      </c>
      <c r="B73" s="1" t="s">
        <v>1170</v>
      </c>
      <c r="C73" s="1" t="s">
        <v>1171</v>
      </c>
      <c r="D73" s="1" t="s">
        <v>70</v>
      </c>
      <c r="E73" s="5">
        <v>-0.01186440677966105</v>
      </c>
      <c r="F73" s="5">
        <v>-0.08858780614903605</v>
      </c>
      <c r="G73" s="4">
        <v>17.49</v>
      </c>
    </row>
    <row r="74" spans="1:7">
      <c r="A74" s="4">
        <v>73</v>
      </c>
      <c r="B74" s="1" t="s">
        <v>1490</v>
      </c>
      <c r="C74" s="1" t="s">
        <v>1491</v>
      </c>
      <c r="D74" s="1" t="s">
        <v>70</v>
      </c>
      <c r="E74" s="5">
        <v>-0.01128194888178913</v>
      </c>
      <c r="F74" s="5">
        <v>-0.06390017960109651</v>
      </c>
      <c r="G74" s="4">
        <v>99.03</v>
      </c>
    </row>
    <row r="75" spans="1:7">
      <c r="A75" s="4">
        <v>74</v>
      </c>
      <c r="B75" s="1" t="s">
        <v>1160</v>
      </c>
      <c r="C75" s="1" t="s">
        <v>1161</v>
      </c>
      <c r="D75" s="1" t="s">
        <v>41</v>
      </c>
      <c r="E75" s="5">
        <v>-0.0108349267049076</v>
      </c>
      <c r="F75" s="5">
        <v>-0.009098164405426989</v>
      </c>
      <c r="G75" s="4">
        <v>62.08</v>
      </c>
    </row>
    <row r="76" spans="1:7">
      <c r="A76" s="4">
        <v>75</v>
      </c>
      <c r="B76" s="1" t="s">
        <v>1648</v>
      </c>
      <c r="C76" s="1" t="s">
        <v>1649</v>
      </c>
      <c r="D76" s="1" t="s">
        <v>41</v>
      </c>
      <c r="E76" s="5">
        <v>-0.0102761982128351</v>
      </c>
      <c r="F76" s="5">
        <v>-0.01031639657203209</v>
      </c>
      <c r="G76" s="4">
        <v>243.67</v>
      </c>
    </row>
    <row r="77" spans="1:7">
      <c r="A77" s="4">
        <v>76</v>
      </c>
      <c r="B77" s="1" t="s">
        <v>1318</v>
      </c>
      <c r="C77" s="1" t="s">
        <v>1319</v>
      </c>
      <c r="D77" s="1" t="s">
        <v>76</v>
      </c>
      <c r="E77" s="5">
        <v>-0.01014198782961462</v>
      </c>
      <c r="F77" s="5">
        <v>0.00411522633744843</v>
      </c>
      <c r="G77" s="4">
        <v>4.88</v>
      </c>
    </row>
    <row r="78" spans="1:7">
      <c r="A78" s="4">
        <v>77</v>
      </c>
      <c r="B78" s="1" t="s">
        <v>1670</v>
      </c>
      <c r="C78" s="1" t="s">
        <v>1671</v>
      </c>
      <c r="D78" s="1" t="s">
        <v>41</v>
      </c>
      <c r="E78" s="5">
        <v>-0.009285213735108599</v>
      </c>
      <c r="F78" s="5">
        <v>-0.09025096525096521</v>
      </c>
      <c r="G78" s="4">
        <v>56.55</v>
      </c>
    </row>
    <row r="79" spans="1:7">
      <c r="A79" s="4">
        <v>78</v>
      </c>
      <c r="B79" s="1" t="s">
        <v>1286</v>
      </c>
      <c r="C79" s="1" t="s">
        <v>1287</v>
      </c>
      <c r="D79" s="1" t="s">
        <v>41</v>
      </c>
      <c r="E79" s="5">
        <v>-0.009113444152814232</v>
      </c>
      <c r="F79" s="5">
        <v>0.1469198312236286</v>
      </c>
      <c r="G79" s="4">
        <v>135.91</v>
      </c>
    </row>
    <row r="80" spans="1:7">
      <c r="A80" s="4">
        <v>79</v>
      </c>
      <c r="B80" s="1" t="s">
        <v>1352</v>
      </c>
      <c r="C80" s="1" t="s">
        <v>1353</v>
      </c>
      <c r="D80" s="1" t="s">
        <v>93</v>
      </c>
      <c r="E80" s="5">
        <v>-0.008969759097898544</v>
      </c>
      <c r="F80" s="5">
        <v>-0.03734129947722176</v>
      </c>
      <c r="G80" s="4">
        <v>38.67</v>
      </c>
    </row>
    <row r="81" spans="1:7">
      <c r="A81" s="4">
        <v>80</v>
      </c>
      <c r="B81" s="1" t="s">
        <v>1366</v>
      </c>
      <c r="C81" s="1" t="s">
        <v>1367</v>
      </c>
      <c r="D81" s="1" t="s">
        <v>129</v>
      </c>
      <c r="E81" s="5">
        <v>-0.00873563218390816</v>
      </c>
      <c r="F81" s="5">
        <v>0.007006071929005042</v>
      </c>
      <c r="G81" s="4">
        <v>21.56</v>
      </c>
    </row>
    <row r="82" spans="1:7">
      <c r="A82" s="4">
        <v>81</v>
      </c>
      <c r="B82" s="1" t="s">
        <v>1092</v>
      </c>
      <c r="C82" s="1" t="s">
        <v>1093</v>
      </c>
      <c r="D82" s="1" t="s">
        <v>93</v>
      </c>
      <c r="E82" s="5">
        <v>-0.007467752885268242</v>
      </c>
      <c r="F82" s="5">
        <v>0.07027818448023426</v>
      </c>
      <c r="G82" s="4">
        <v>14.62</v>
      </c>
    </row>
    <row r="83" spans="1:7">
      <c r="A83" s="4">
        <v>82</v>
      </c>
      <c r="B83" s="1" t="s">
        <v>1380</v>
      </c>
      <c r="C83" s="1" t="s">
        <v>1381</v>
      </c>
      <c r="D83" s="1" t="s">
        <v>93</v>
      </c>
      <c r="E83" s="5">
        <v>-0.007306889352818424</v>
      </c>
      <c r="F83" s="5">
        <v>0.007949125596184325</v>
      </c>
      <c r="G83" s="4">
        <v>19.02</v>
      </c>
    </row>
    <row r="84" spans="1:7">
      <c r="A84" s="4">
        <v>83</v>
      </c>
      <c r="B84" s="1" t="s">
        <v>1164</v>
      </c>
      <c r="C84" s="1" t="s">
        <v>1165</v>
      </c>
      <c r="D84" s="1" t="s">
        <v>70</v>
      </c>
      <c r="E84" s="5">
        <v>-0.007268553940321443</v>
      </c>
      <c r="F84" s="5">
        <v>-0.03387937453462397</v>
      </c>
      <c r="G84" s="4">
        <v>25.95</v>
      </c>
    </row>
    <row r="85" spans="1:7">
      <c r="A85" s="4">
        <v>84</v>
      </c>
      <c r="B85" s="1" t="s">
        <v>1300</v>
      </c>
      <c r="C85" s="1" t="s">
        <v>1301</v>
      </c>
      <c r="D85" s="1" t="s">
        <v>41</v>
      </c>
      <c r="E85" s="5">
        <v>-0.007058823529411784</v>
      </c>
      <c r="F85" s="5">
        <v>0.1136523574947219</v>
      </c>
      <c r="G85" s="4">
        <v>63.3</v>
      </c>
    </row>
    <row r="86" spans="1:7">
      <c r="A86" s="4">
        <v>85</v>
      </c>
      <c r="B86" s="1" t="s">
        <v>1634</v>
      </c>
      <c r="C86" s="1" t="s">
        <v>1635</v>
      </c>
      <c r="D86" s="1" t="s">
        <v>93</v>
      </c>
      <c r="E86" s="5">
        <v>-0.006985491671144484</v>
      </c>
      <c r="F86" s="5">
        <v>-0.007518796992481258</v>
      </c>
      <c r="G86" s="4">
        <v>18.48</v>
      </c>
    </row>
    <row r="87" spans="1:7">
      <c r="A87" s="4">
        <v>86</v>
      </c>
      <c r="B87" s="1" t="s">
        <v>1084</v>
      </c>
      <c r="C87" s="1" t="s">
        <v>1085</v>
      </c>
      <c r="D87" s="1" t="s">
        <v>41</v>
      </c>
      <c r="E87" s="5">
        <v>-0.006906906906906762</v>
      </c>
      <c r="F87" s="5">
        <v>-0.02101835405565422</v>
      </c>
      <c r="G87" s="4">
        <v>33.07</v>
      </c>
    </row>
    <row r="88" spans="1:7">
      <c r="A88" s="4">
        <v>87</v>
      </c>
      <c r="B88" s="1" t="s">
        <v>1232</v>
      </c>
      <c r="C88" s="1" t="s">
        <v>1233</v>
      </c>
      <c r="D88" s="1" t="s">
        <v>76</v>
      </c>
      <c r="E88" s="5">
        <v>-0.006818181818181834</v>
      </c>
      <c r="F88" s="5">
        <v>0.1380208333333335</v>
      </c>
      <c r="G88" s="4">
        <v>4.37</v>
      </c>
    </row>
    <row r="89" spans="1:7">
      <c r="A89" s="4">
        <v>88</v>
      </c>
      <c r="B89" s="1" t="s">
        <v>1520</v>
      </c>
      <c r="C89" s="1" t="s">
        <v>1521</v>
      </c>
      <c r="D89" s="1" t="s">
        <v>54</v>
      </c>
      <c r="E89" s="5">
        <v>-0.006218905472636704</v>
      </c>
      <c r="F89" s="5">
        <v>0.1496402877697842</v>
      </c>
      <c r="G89" s="4">
        <v>7.99</v>
      </c>
    </row>
    <row r="90" spans="1:7">
      <c r="A90" s="4">
        <v>89</v>
      </c>
      <c r="B90" s="1" t="s">
        <v>1320</v>
      </c>
      <c r="C90" s="1" t="s">
        <v>1321</v>
      </c>
      <c r="D90" s="1" t="s">
        <v>76</v>
      </c>
      <c r="E90" s="5">
        <v>-0.006109979633401319</v>
      </c>
      <c r="F90" s="5">
        <v>0.01878914405010446</v>
      </c>
      <c r="G90" s="4">
        <v>9.76</v>
      </c>
    </row>
    <row r="91" spans="1:7">
      <c r="A91" s="4">
        <v>90</v>
      </c>
      <c r="B91" s="1" t="s">
        <v>1150</v>
      </c>
      <c r="C91" s="1" t="s">
        <v>1151</v>
      </c>
      <c r="D91" s="1" t="s">
        <v>70</v>
      </c>
      <c r="E91" s="5">
        <v>-0.006085192697768638</v>
      </c>
      <c r="F91" s="5">
        <v>0.06870229007633588</v>
      </c>
      <c r="G91" s="4">
        <v>9.800000000000001</v>
      </c>
    </row>
    <row r="92" spans="1:7">
      <c r="A92" s="4">
        <v>91</v>
      </c>
      <c r="B92" s="1" t="s">
        <v>1480</v>
      </c>
      <c r="C92" s="1" t="s">
        <v>1481</v>
      </c>
      <c r="D92" s="1" t="s">
        <v>47</v>
      </c>
      <c r="E92" s="5">
        <v>-0.005825242718446644</v>
      </c>
      <c r="F92" s="5">
        <v>0.1114327062228653</v>
      </c>
      <c r="G92" s="4">
        <v>15.36</v>
      </c>
    </row>
    <row r="93" spans="1:7">
      <c r="A93" s="4">
        <v>92</v>
      </c>
      <c r="B93" s="1" t="s">
        <v>1432</v>
      </c>
      <c r="C93" s="1" t="s">
        <v>1433</v>
      </c>
      <c r="D93" s="1" t="s">
        <v>76</v>
      </c>
      <c r="E93" s="5">
        <v>-0.005555555555555647</v>
      </c>
      <c r="F93" s="5">
        <v>0.05088062622309186</v>
      </c>
      <c r="G93" s="4">
        <v>5.37</v>
      </c>
    </row>
    <row r="94" spans="1:7">
      <c r="A94" s="4">
        <v>93</v>
      </c>
      <c r="B94" s="1" t="s">
        <v>1548</v>
      </c>
      <c r="C94" s="1" t="s">
        <v>1549</v>
      </c>
      <c r="D94" s="1" t="s">
        <v>54</v>
      </c>
      <c r="E94" s="5">
        <v>-0.005504587155963359</v>
      </c>
      <c r="F94" s="5">
        <v>0.08835341365461846</v>
      </c>
      <c r="G94" s="4">
        <v>5.42</v>
      </c>
    </row>
    <row r="95" spans="1:7">
      <c r="A95" s="4">
        <v>94</v>
      </c>
      <c r="B95" s="1" t="s">
        <v>1582</v>
      </c>
      <c r="C95" s="1" t="s">
        <v>1583</v>
      </c>
      <c r="D95" s="1" t="s">
        <v>129</v>
      </c>
      <c r="E95" s="5">
        <v>-0.005181347150259086</v>
      </c>
      <c r="F95" s="5">
        <v>-0.02932254802831147</v>
      </c>
      <c r="G95" s="4">
        <v>19.2</v>
      </c>
    </row>
    <row r="96" spans="1:7">
      <c r="A96" s="4">
        <v>95</v>
      </c>
      <c r="B96" s="1" t="s">
        <v>1356</v>
      </c>
      <c r="C96" s="1" t="s">
        <v>1357</v>
      </c>
      <c r="D96" s="1" t="s">
        <v>70</v>
      </c>
      <c r="E96" s="5">
        <v>-0.004835924006908465</v>
      </c>
      <c r="F96" s="5">
        <v>-0.07214170692431565</v>
      </c>
      <c r="G96" s="4">
        <v>57.62</v>
      </c>
    </row>
    <row r="97" spans="1:7">
      <c r="A97" s="4">
        <v>96</v>
      </c>
      <c r="B97" s="1" t="s">
        <v>1306</v>
      </c>
      <c r="C97" s="1" t="s">
        <v>1307</v>
      </c>
      <c r="D97" s="1" t="s">
        <v>93</v>
      </c>
      <c r="E97" s="5">
        <v>-0.00450450450450457</v>
      </c>
      <c r="F97" s="5">
        <v>0.009132420091324311</v>
      </c>
      <c r="G97" s="4">
        <v>2.21</v>
      </c>
    </row>
    <row r="98" spans="1:7">
      <c r="A98" s="4">
        <v>97</v>
      </c>
      <c r="B98" s="1" t="s">
        <v>1604</v>
      </c>
      <c r="C98" s="1" t="s">
        <v>1605</v>
      </c>
      <c r="D98" s="1" t="s">
        <v>76</v>
      </c>
      <c r="E98" s="5">
        <v>-0.004385964912280604</v>
      </c>
      <c r="F98" s="5">
        <v>0.04247990815154989</v>
      </c>
      <c r="G98" s="4">
        <v>9.08</v>
      </c>
    </row>
    <row r="99" spans="1:7">
      <c r="A99" s="4">
        <v>98</v>
      </c>
      <c r="B99" s="1" t="s">
        <v>1216</v>
      </c>
      <c r="C99" s="1" t="s">
        <v>1217</v>
      </c>
      <c r="D99" s="1" t="s">
        <v>93</v>
      </c>
      <c r="E99" s="5">
        <v>-0.003978300180831784</v>
      </c>
      <c r="F99" s="5">
        <v>0.02000000000000002</v>
      </c>
      <c r="G99" s="4">
        <v>27.54</v>
      </c>
    </row>
    <row r="100" spans="1:7">
      <c r="A100" s="4">
        <v>99</v>
      </c>
      <c r="B100" s="1" t="s">
        <v>1578</v>
      </c>
      <c r="C100" s="1" t="s">
        <v>1579</v>
      </c>
      <c r="D100" s="1" t="s">
        <v>129</v>
      </c>
      <c r="E100" s="5">
        <v>-0.003568242640499597</v>
      </c>
      <c r="F100" s="5">
        <v>-0.002678571428571419</v>
      </c>
      <c r="G100" s="4">
        <v>11.17</v>
      </c>
    </row>
    <row r="101" spans="1:7">
      <c r="A101" s="4">
        <v>100</v>
      </c>
      <c r="B101" s="1" t="s">
        <v>1488</v>
      </c>
      <c r="C101" s="1" t="s">
        <v>1489</v>
      </c>
      <c r="D101" s="1" t="s">
        <v>129</v>
      </c>
      <c r="E101" s="5">
        <v>-0.003557974047718737</v>
      </c>
      <c r="F101" s="5">
        <v>0.02585649644473187</v>
      </c>
      <c r="G101" s="4">
        <v>47.61</v>
      </c>
    </row>
  </sheetData>
  <autoFilter ref="A1:G101"/>
  <conditionalFormatting sqref="E2:E101">
    <cfRule type="colorScale" priority="1">
      <colorScale>
        <cfvo type="min" val="0"/>
        <cfvo type="num" val="0"/>
        <cfvo type="max" val="0"/>
        <color rgb="FFF6C7CE"/>
        <color rgb="FFFFFFFF"/>
        <color rgb="FFB9E5D1"/>
      </colorScale>
    </cfRule>
  </conditionalFormatting>
  <conditionalFormatting sqref="F2:F101">
    <cfRule type="colorScale" priority="2">
      <colorScale>
        <cfvo type="min" val="0"/>
        <cfvo type="num" val="0"/>
        <cfvo type="max" val="0"/>
        <color rgb="FFF6C7CE"/>
        <color rgb="FFFFFFFF"/>
        <color rgb="FFB9E5D1"/>
      </colorScale>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101"/>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5.7109375" style="1" customWidth="1"/>
    <col min="2" max="2" width="22.7109375" style="1" customWidth="1"/>
    <col min="3" max="3" width="40.7109375" style="1" customWidth="1"/>
    <col min="4" max="4" width="27.7109375" style="1" customWidth="1"/>
    <col min="5" max="7" width="15.7109375" style="1" customWidth="1"/>
  </cols>
  <sheetData>
    <row r="1" spans="1:7" ht="30" customHeight="1">
      <c r="A1" s="3" t="s">
        <v>1071</v>
      </c>
      <c r="B1" s="3" t="s">
        <v>24</v>
      </c>
      <c r="C1" s="3" t="s">
        <v>25</v>
      </c>
      <c r="D1" s="3" t="s">
        <v>26</v>
      </c>
      <c r="E1" s="3" t="s">
        <v>1072</v>
      </c>
      <c r="F1" s="3" t="s">
        <v>1073</v>
      </c>
      <c r="G1" s="3" t="s">
        <v>1074</v>
      </c>
    </row>
    <row r="2" spans="1:7">
      <c r="A2" s="4">
        <v>1</v>
      </c>
      <c r="B2" s="1" t="s">
        <v>1258</v>
      </c>
      <c r="C2" s="1" t="s">
        <v>1259</v>
      </c>
      <c r="D2" s="1" t="s">
        <v>138</v>
      </c>
      <c r="E2" s="5">
        <v>0.05459057071960305</v>
      </c>
      <c r="F2" s="5">
        <v>0.4138389886892881</v>
      </c>
      <c r="G2" s="4">
        <v>21.25</v>
      </c>
    </row>
    <row r="3" spans="1:7">
      <c r="A3" s="4">
        <v>2</v>
      </c>
      <c r="B3" s="1" t="s">
        <v>1224</v>
      </c>
      <c r="C3" s="1" t="s">
        <v>1225</v>
      </c>
      <c r="D3" s="1" t="s">
        <v>70</v>
      </c>
      <c r="E3" s="5">
        <v>-0.06687107606949916</v>
      </c>
      <c r="F3" s="5">
        <v>0.1808943089430894</v>
      </c>
      <c r="G3" s="4">
        <v>63.91</v>
      </c>
    </row>
    <row r="4" spans="1:7">
      <c r="A4" s="4">
        <v>3</v>
      </c>
      <c r="B4" s="1" t="s">
        <v>1520</v>
      </c>
      <c r="C4" s="1" t="s">
        <v>1521</v>
      </c>
      <c r="D4" s="1" t="s">
        <v>54</v>
      </c>
      <c r="E4" s="5">
        <v>-0.006218905472636704</v>
      </c>
      <c r="F4" s="5">
        <v>0.1496402877697842</v>
      </c>
      <c r="G4" s="4">
        <v>7.99</v>
      </c>
    </row>
    <row r="5" spans="1:7">
      <c r="A5" s="4">
        <v>4</v>
      </c>
      <c r="B5" s="1" t="s">
        <v>1286</v>
      </c>
      <c r="C5" s="1" t="s">
        <v>1287</v>
      </c>
      <c r="D5" s="1" t="s">
        <v>41</v>
      </c>
      <c r="E5" s="5">
        <v>-0.009113444152814232</v>
      </c>
      <c r="F5" s="5">
        <v>0.1469198312236286</v>
      </c>
      <c r="G5" s="4">
        <v>135.91</v>
      </c>
    </row>
    <row r="6" spans="1:7">
      <c r="A6" s="4">
        <v>5</v>
      </c>
      <c r="B6" s="1" t="s">
        <v>1212</v>
      </c>
      <c r="C6" s="1" t="s">
        <v>1213</v>
      </c>
      <c r="D6" s="1" t="s">
        <v>138</v>
      </c>
      <c r="E6" s="5">
        <v>0.0796156485929993</v>
      </c>
      <c r="F6" s="5">
        <v>0.138205499276411</v>
      </c>
      <c r="G6" s="4">
        <v>15.73</v>
      </c>
    </row>
    <row r="7" spans="1:7">
      <c r="A7" s="4">
        <v>6</v>
      </c>
      <c r="B7" s="1" t="s">
        <v>1232</v>
      </c>
      <c r="C7" s="1" t="s">
        <v>1233</v>
      </c>
      <c r="D7" s="1" t="s">
        <v>76</v>
      </c>
      <c r="E7" s="5">
        <v>-0.006818181818181834</v>
      </c>
      <c r="F7" s="5">
        <v>0.1380208333333335</v>
      </c>
      <c r="G7" s="4">
        <v>4.37</v>
      </c>
    </row>
    <row r="8" spans="1:7">
      <c r="A8" s="4">
        <v>7</v>
      </c>
      <c r="B8" s="1" t="s">
        <v>1498</v>
      </c>
      <c r="C8" s="1" t="s">
        <v>1499</v>
      </c>
      <c r="D8" s="1" t="s">
        <v>54</v>
      </c>
      <c r="E8" s="5">
        <v>0.02642007926023759</v>
      </c>
      <c r="F8" s="5">
        <v>0.1318281136198105</v>
      </c>
      <c r="G8" s="4">
        <v>15.54</v>
      </c>
    </row>
    <row r="9" spans="1:7">
      <c r="A9" s="4">
        <v>8</v>
      </c>
      <c r="B9" s="1" t="s">
        <v>1122</v>
      </c>
      <c r="C9" s="1" t="s">
        <v>1123</v>
      </c>
      <c r="D9" s="1" t="s">
        <v>70</v>
      </c>
      <c r="E9" s="5">
        <v>0.02864583333333326</v>
      </c>
      <c r="F9" s="5">
        <v>0.1307251908396945</v>
      </c>
      <c r="G9" s="4">
        <v>23.7</v>
      </c>
    </row>
    <row r="10" spans="1:7">
      <c r="A10" s="4">
        <v>9</v>
      </c>
      <c r="B10" s="1" t="s">
        <v>1270</v>
      </c>
      <c r="C10" s="1" t="s">
        <v>1271</v>
      </c>
      <c r="D10" s="1" t="s">
        <v>66</v>
      </c>
      <c r="E10" s="5">
        <v>0.06150656530753285</v>
      </c>
      <c r="F10" s="5">
        <v>0.130242825607064</v>
      </c>
      <c r="G10" s="4">
        <v>15.36</v>
      </c>
    </row>
    <row r="11" spans="1:7">
      <c r="A11" s="4">
        <v>10</v>
      </c>
      <c r="B11" s="1" t="s">
        <v>1220</v>
      </c>
      <c r="C11" s="1" t="s">
        <v>1221</v>
      </c>
      <c r="D11" s="1" t="s">
        <v>66</v>
      </c>
      <c r="E11" s="5">
        <v>0.04491444866920147</v>
      </c>
      <c r="F11" s="5">
        <v>0.1254159201433325</v>
      </c>
      <c r="G11" s="4">
        <v>43.97</v>
      </c>
    </row>
    <row r="12" spans="1:7">
      <c r="A12" s="4">
        <v>11</v>
      </c>
      <c r="B12" s="1" t="s">
        <v>1538</v>
      </c>
      <c r="C12" s="1" t="s">
        <v>1539</v>
      </c>
      <c r="D12" s="1" t="s">
        <v>54</v>
      </c>
      <c r="E12" s="5">
        <v>0.004994124559341895</v>
      </c>
      <c r="F12" s="5">
        <v>0.1245890861275476</v>
      </c>
      <c r="G12" s="4">
        <v>34.21</v>
      </c>
    </row>
    <row r="13" spans="1:7">
      <c r="A13" s="4">
        <v>12</v>
      </c>
      <c r="B13" s="1" t="s">
        <v>1106</v>
      </c>
      <c r="C13" s="1" t="s">
        <v>1107</v>
      </c>
      <c r="D13" s="1" t="s">
        <v>66</v>
      </c>
      <c r="E13" s="5">
        <v>0.04557668458040509</v>
      </c>
      <c r="F13" s="5">
        <v>0.1160507446221732</v>
      </c>
      <c r="G13" s="4">
        <v>101.17</v>
      </c>
    </row>
    <row r="14" spans="1:7">
      <c r="A14" s="4">
        <v>13</v>
      </c>
      <c r="B14" s="1" t="s">
        <v>1300</v>
      </c>
      <c r="C14" s="1" t="s">
        <v>1301</v>
      </c>
      <c r="D14" s="1" t="s">
        <v>41</v>
      </c>
      <c r="E14" s="5">
        <v>-0.007058823529411784</v>
      </c>
      <c r="F14" s="5">
        <v>0.1136523574947219</v>
      </c>
      <c r="G14" s="4">
        <v>63.3</v>
      </c>
    </row>
    <row r="15" spans="1:7">
      <c r="A15" s="4">
        <v>14</v>
      </c>
      <c r="B15" s="1" t="s">
        <v>1358</v>
      </c>
      <c r="C15" s="1" t="s">
        <v>1359</v>
      </c>
      <c r="D15" s="1" t="s">
        <v>70</v>
      </c>
      <c r="E15" s="5">
        <v>0.09178321678321666</v>
      </c>
      <c r="F15" s="5">
        <v>0.1125296912114013</v>
      </c>
      <c r="G15" s="4">
        <v>37.47</v>
      </c>
    </row>
    <row r="16" spans="1:7">
      <c r="A16" s="4">
        <v>15</v>
      </c>
      <c r="B16" s="1" t="s">
        <v>1480</v>
      </c>
      <c r="C16" s="1" t="s">
        <v>1481</v>
      </c>
      <c r="D16" s="1" t="s">
        <v>47</v>
      </c>
      <c r="E16" s="5">
        <v>-0.005825242718446644</v>
      </c>
      <c r="F16" s="5">
        <v>0.1114327062228653</v>
      </c>
      <c r="G16" s="4">
        <v>15.36</v>
      </c>
    </row>
    <row r="17" spans="1:7">
      <c r="A17" s="4">
        <v>16</v>
      </c>
      <c r="B17" s="1" t="s">
        <v>1622</v>
      </c>
      <c r="C17" s="1" t="s">
        <v>1623</v>
      </c>
      <c r="D17" s="1" t="s">
        <v>66</v>
      </c>
      <c r="E17" s="5">
        <v>0.02794411177644718</v>
      </c>
      <c r="F17" s="5">
        <v>0.1079239870921476</v>
      </c>
      <c r="G17" s="4">
        <v>30.9</v>
      </c>
    </row>
    <row r="18" spans="1:7">
      <c r="A18" s="4">
        <v>17</v>
      </c>
      <c r="B18" s="1" t="s">
        <v>1446</v>
      </c>
      <c r="C18" s="1" t="s">
        <v>1447</v>
      </c>
      <c r="D18" s="1" t="s">
        <v>70</v>
      </c>
      <c r="E18" s="5">
        <v>0.02247191011235961</v>
      </c>
      <c r="F18" s="5">
        <v>0.1024229074889869</v>
      </c>
      <c r="G18" s="4">
        <v>40.04</v>
      </c>
    </row>
    <row r="19" spans="1:7">
      <c r="A19" s="4">
        <v>18</v>
      </c>
      <c r="B19" s="1" t="s">
        <v>1660</v>
      </c>
      <c r="C19" s="1" t="s">
        <v>1661</v>
      </c>
      <c r="D19" s="1" t="s">
        <v>41</v>
      </c>
      <c r="E19" s="5">
        <v>-0.04105263157894734</v>
      </c>
      <c r="F19" s="5">
        <v>0.1008551775422941</v>
      </c>
      <c r="G19" s="4">
        <v>118.43</v>
      </c>
    </row>
    <row r="20" spans="1:7">
      <c r="A20" s="4">
        <v>19</v>
      </c>
      <c r="B20" s="1" t="s">
        <v>1504</v>
      </c>
      <c r="C20" s="1" t="s">
        <v>1505</v>
      </c>
      <c r="D20" s="1" t="s">
        <v>54</v>
      </c>
      <c r="E20" s="5">
        <v>0.01083032490974722</v>
      </c>
      <c r="F20" s="5">
        <v>0.1001964636542239</v>
      </c>
      <c r="G20" s="4">
        <v>5.6</v>
      </c>
    </row>
    <row r="21" spans="1:7">
      <c r="A21" s="4">
        <v>20</v>
      </c>
      <c r="B21" s="1" t="s">
        <v>1280</v>
      </c>
      <c r="C21" s="1" t="s">
        <v>1281</v>
      </c>
      <c r="D21" s="1" t="s">
        <v>37</v>
      </c>
      <c r="E21" s="5">
        <v>0.0133595753563549</v>
      </c>
      <c r="F21" s="5">
        <v>0.1000971188086761</v>
      </c>
      <c r="G21" s="4">
        <v>169.91</v>
      </c>
    </row>
    <row r="22" spans="1:7">
      <c r="A22" s="4">
        <v>21</v>
      </c>
      <c r="B22" s="1" t="s">
        <v>1434</v>
      </c>
      <c r="C22" s="1" t="s">
        <v>1435</v>
      </c>
      <c r="D22" s="1" t="s">
        <v>76</v>
      </c>
      <c r="E22" s="5">
        <v>0.00364773319437206</v>
      </c>
      <c r="F22" s="5">
        <v>0.09994288977727006</v>
      </c>
      <c r="G22" s="4">
        <v>19.26</v>
      </c>
    </row>
    <row r="23" spans="1:7">
      <c r="A23" s="4">
        <v>22</v>
      </c>
      <c r="B23" s="1" t="s">
        <v>1336</v>
      </c>
      <c r="C23" s="1" t="s">
        <v>1337</v>
      </c>
      <c r="D23" s="1" t="s">
        <v>70</v>
      </c>
      <c r="E23" s="5">
        <v>-0.01186623516720597</v>
      </c>
      <c r="F23" s="5">
        <v>0.09832134292565953</v>
      </c>
      <c r="G23" s="4">
        <v>9.16</v>
      </c>
    </row>
    <row r="24" spans="1:7">
      <c r="A24" s="4">
        <v>23</v>
      </c>
      <c r="B24" s="1" t="s">
        <v>1430</v>
      </c>
      <c r="C24" s="1" t="s">
        <v>1431</v>
      </c>
      <c r="D24" s="1" t="s">
        <v>70</v>
      </c>
      <c r="E24" s="5">
        <v>0.00499791753436063</v>
      </c>
      <c r="F24" s="5">
        <v>0.09557321225879689</v>
      </c>
      <c r="G24" s="4">
        <v>48.26</v>
      </c>
    </row>
    <row r="25" spans="1:7">
      <c r="A25" s="4">
        <v>24</v>
      </c>
      <c r="B25" s="1" t="s">
        <v>1518</v>
      </c>
      <c r="C25" s="1" t="s">
        <v>1519</v>
      </c>
      <c r="D25" s="1" t="s">
        <v>54</v>
      </c>
      <c r="E25" s="5">
        <v>0.0041379310344829</v>
      </c>
      <c r="F25" s="5">
        <v>0.09165885660731021</v>
      </c>
      <c r="G25" s="4">
        <v>58.24</v>
      </c>
    </row>
    <row r="26" spans="1:7">
      <c r="A26" s="4">
        <v>25</v>
      </c>
      <c r="B26" s="1" t="s">
        <v>1548</v>
      </c>
      <c r="C26" s="1" t="s">
        <v>1549</v>
      </c>
      <c r="D26" s="1" t="s">
        <v>54</v>
      </c>
      <c r="E26" s="5">
        <v>-0.005504587155963359</v>
      </c>
      <c r="F26" s="5">
        <v>0.08835341365461846</v>
      </c>
      <c r="G26" s="4">
        <v>5.42</v>
      </c>
    </row>
    <row r="27" spans="1:7">
      <c r="A27" s="4">
        <v>26</v>
      </c>
      <c r="B27" s="1" t="s">
        <v>1606</v>
      </c>
      <c r="C27" s="1" t="s">
        <v>1607</v>
      </c>
      <c r="D27" s="1" t="s">
        <v>54</v>
      </c>
      <c r="E27" s="5">
        <v>0.004587155963302836</v>
      </c>
      <c r="F27" s="5">
        <v>0.08595041322314056</v>
      </c>
      <c r="G27" s="4">
        <v>6.57</v>
      </c>
    </row>
    <row r="28" spans="1:7">
      <c r="A28" s="4">
        <v>27</v>
      </c>
      <c r="B28" s="1" t="s">
        <v>1324</v>
      </c>
      <c r="C28" s="1" t="s">
        <v>1325</v>
      </c>
      <c r="D28" s="1" t="s">
        <v>76</v>
      </c>
      <c r="E28" s="5">
        <v>0.01043841336116902</v>
      </c>
      <c r="F28" s="5">
        <v>0.08520179372197312</v>
      </c>
      <c r="G28" s="4">
        <v>4.84</v>
      </c>
    </row>
    <row r="29" spans="1:7">
      <c r="A29" s="4">
        <v>28</v>
      </c>
      <c r="B29" s="1" t="s">
        <v>1124</v>
      </c>
      <c r="C29" s="1" t="s">
        <v>1125</v>
      </c>
      <c r="D29" s="1" t="s">
        <v>54</v>
      </c>
      <c r="E29" s="5">
        <v>0.002257336343115091</v>
      </c>
      <c r="F29" s="5">
        <v>0.07976653696498048</v>
      </c>
      <c r="G29" s="4">
        <v>22.2</v>
      </c>
    </row>
    <row r="30" spans="1:7">
      <c r="A30" s="4">
        <v>29</v>
      </c>
      <c r="B30" s="1" t="s">
        <v>1282</v>
      </c>
      <c r="C30" s="1" t="s">
        <v>1283</v>
      </c>
      <c r="D30" s="1" t="s">
        <v>54</v>
      </c>
      <c r="E30" s="5">
        <v>0.02836796637870664</v>
      </c>
      <c r="F30" s="5">
        <v>0.07584269662921361</v>
      </c>
      <c r="G30" s="4">
        <v>88.09</v>
      </c>
    </row>
    <row r="31" spans="1:7">
      <c r="A31" s="4">
        <v>30</v>
      </c>
      <c r="B31" s="1" t="s">
        <v>1326</v>
      </c>
      <c r="C31" s="1" t="s">
        <v>1327</v>
      </c>
      <c r="D31" s="1" t="s">
        <v>129</v>
      </c>
      <c r="E31" s="5">
        <v>0.005504587155963359</v>
      </c>
      <c r="F31" s="5">
        <v>0.07450980392156881</v>
      </c>
      <c r="G31" s="4">
        <v>5.48</v>
      </c>
    </row>
    <row r="32" spans="1:7">
      <c r="A32" s="4">
        <v>31</v>
      </c>
      <c r="B32" s="1" t="s">
        <v>1334</v>
      </c>
      <c r="C32" s="1" t="s">
        <v>1335</v>
      </c>
      <c r="D32" s="1" t="s">
        <v>54</v>
      </c>
      <c r="E32" s="5">
        <v>0.01509617725833934</v>
      </c>
      <c r="F32" s="5">
        <v>0.07172236503856033</v>
      </c>
      <c r="G32" s="4">
        <v>41.69</v>
      </c>
    </row>
    <row r="33" spans="1:7">
      <c r="A33" s="4">
        <v>32</v>
      </c>
      <c r="B33" s="1" t="s">
        <v>1092</v>
      </c>
      <c r="C33" s="1" t="s">
        <v>1093</v>
      </c>
      <c r="D33" s="1" t="s">
        <v>93</v>
      </c>
      <c r="E33" s="5">
        <v>-0.007467752885268242</v>
      </c>
      <c r="F33" s="5">
        <v>0.07027818448023426</v>
      </c>
      <c r="G33" s="4">
        <v>14.62</v>
      </c>
    </row>
    <row r="34" spans="1:7">
      <c r="A34" s="4">
        <v>33</v>
      </c>
      <c r="B34" s="1" t="s">
        <v>1150</v>
      </c>
      <c r="C34" s="1" t="s">
        <v>1151</v>
      </c>
      <c r="D34" s="1" t="s">
        <v>70</v>
      </c>
      <c r="E34" s="5">
        <v>-0.006085192697768638</v>
      </c>
      <c r="F34" s="5">
        <v>0.06870229007633588</v>
      </c>
      <c r="G34" s="4">
        <v>9.800000000000001</v>
      </c>
    </row>
    <row r="35" spans="1:7">
      <c r="A35" s="4">
        <v>34</v>
      </c>
      <c r="B35" s="1" t="s">
        <v>1290</v>
      </c>
      <c r="C35" s="1" t="s">
        <v>1291</v>
      </c>
      <c r="D35" s="1" t="s">
        <v>66</v>
      </c>
      <c r="E35" s="5">
        <v>0.02691272587466353</v>
      </c>
      <c r="F35" s="5">
        <v>0.06797281087564966</v>
      </c>
      <c r="G35" s="4">
        <v>26.71</v>
      </c>
    </row>
    <row r="36" spans="1:7">
      <c r="A36" s="4">
        <v>35</v>
      </c>
      <c r="B36" s="1" t="s">
        <v>1332</v>
      </c>
      <c r="C36" s="1" t="s">
        <v>1333</v>
      </c>
      <c r="D36" s="1" t="s">
        <v>70</v>
      </c>
      <c r="E36" s="5">
        <v>0.003009027081243731</v>
      </c>
      <c r="F36" s="5">
        <v>0.06382978723404253</v>
      </c>
      <c r="G36" s="4">
        <v>20</v>
      </c>
    </row>
    <row r="37" spans="1:7">
      <c r="A37" s="4">
        <v>36</v>
      </c>
      <c r="B37" s="1" t="s">
        <v>1592</v>
      </c>
      <c r="C37" s="1" t="s">
        <v>1593</v>
      </c>
      <c r="D37" s="1" t="s">
        <v>129</v>
      </c>
      <c r="E37" s="5">
        <v>0.01810865191146882</v>
      </c>
      <c r="F37" s="5">
        <v>0.06153846153846154</v>
      </c>
      <c r="G37" s="4">
        <v>15.18</v>
      </c>
    </row>
    <row r="38" spans="1:7">
      <c r="A38" s="4">
        <v>37</v>
      </c>
      <c r="B38" s="1" t="s">
        <v>1246</v>
      </c>
      <c r="C38" s="1" t="s">
        <v>1247</v>
      </c>
      <c r="D38" s="1" t="s">
        <v>138</v>
      </c>
      <c r="E38" s="5">
        <v>0.02645502645502651</v>
      </c>
      <c r="F38" s="5">
        <v>0.06010928961748641</v>
      </c>
      <c r="G38" s="4">
        <v>11.64</v>
      </c>
    </row>
    <row r="39" spans="1:7">
      <c r="A39" s="4">
        <v>38</v>
      </c>
      <c r="B39" s="1" t="s">
        <v>1610</v>
      </c>
      <c r="C39" s="1" t="s">
        <v>1611</v>
      </c>
      <c r="D39" s="1" t="s">
        <v>54</v>
      </c>
      <c r="E39" s="5">
        <v>0.01252847380410027</v>
      </c>
      <c r="F39" s="5">
        <v>0.05959475566150174</v>
      </c>
      <c r="G39" s="4">
        <v>8.890000000000001</v>
      </c>
    </row>
    <row r="40" spans="1:7">
      <c r="A40" s="4">
        <v>39</v>
      </c>
      <c r="B40" s="1" t="s">
        <v>1384</v>
      </c>
      <c r="C40" s="1" t="s">
        <v>1385</v>
      </c>
      <c r="D40" s="1" t="s">
        <v>70</v>
      </c>
      <c r="E40" s="5">
        <v>0.00970017636684295</v>
      </c>
      <c r="F40" s="5">
        <v>0.05920444033302497</v>
      </c>
      <c r="G40" s="4">
        <v>11.45</v>
      </c>
    </row>
    <row r="41" spans="1:7">
      <c r="A41" s="4">
        <v>40</v>
      </c>
      <c r="B41" s="1" t="s">
        <v>1206</v>
      </c>
      <c r="C41" s="1" t="s">
        <v>1207</v>
      </c>
      <c r="D41" s="1" t="s">
        <v>138</v>
      </c>
      <c r="E41" s="5">
        <v>0.02786032689450213</v>
      </c>
      <c r="F41" s="5">
        <v>0.05893608878683509</v>
      </c>
      <c r="G41" s="4">
        <v>27.67</v>
      </c>
    </row>
    <row r="42" spans="1:7">
      <c r="A42" s="4">
        <v>41</v>
      </c>
      <c r="B42" s="1" t="s">
        <v>1524</v>
      </c>
      <c r="C42" s="1" t="s">
        <v>1525</v>
      </c>
      <c r="D42" s="1" t="s">
        <v>54</v>
      </c>
      <c r="E42" s="5">
        <v>0.005329457364340984</v>
      </c>
      <c r="F42" s="5">
        <v>0.0588535465215172</v>
      </c>
      <c r="G42" s="4">
        <v>62.25</v>
      </c>
    </row>
    <row r="43" spans="1:7">
      <c r="A43" s="4">
        <v>42</v>
      </c>
      <c r="B43" s="1" t="s">
        <v>1544</v>
      </c>
      <c r="C43" s="1" t="s">
        <v>1545</v>
      </c>
      <c r="D43" s="1" t="s">
        <v>54</v>
      </c>
      <c r="E43" s="5">
        <v>-0.00254647313470846</v>
      </c>
      <c r="F43" s="5">
        <v>0.0577909802862544</v>
      </c>
      <c r="G43" s="4">
        <v>39.17</v>
      </c>
    </row>
    <row r="44" spans="1:7">
      <c r="A44" s="4">
        <v>43</v>
      </c>
      <c r="B44" s="1" t="s">
        <v>1444</v>
      </c>
      <c r="C44" s="1" t="s">
        <v>1445</v>
      </c>
      <c r="D44" s="1" t="s">
        <v>66</v>
      </c>
      <c r="E44" s="5">
        <v>0.0112951807228916</v>
      </c>
      <c r="F44" s="5">
        <v>0.05748031496063</v>
      </c>
      <c r="G44" s="4">
        <v>26.86</v>
      </c>
    </row>
    <row r="45" spans="1:7">
      <c r="A45" s="4">
        <v>44</v>
      </c>
      <c r="B45" s="1" t="s">
        <v>1426</v>
      </c>
      <c r="C45" s="1" t="s">
        <v>1427</v>
      </c>
      <c r="D45" s="1" t="s">
        <v>47</v>
      </c>
      <c r="E45" s="5">
        <v>0.008249312557286892</v>
      </c>
      <c r="F45" s="5">
        <v>0.05465004793863848</v>
      </c>
      <c r="G45" s="4">
        <v>22</v>
      </c>
    </row>
    <row r="46" spans="1:7">
      <c r="A46" s="4">
        <v>45</v>
      </c>
      <c r="B46" s="1" t="s">
        <v>1082</v>
      </c>
      <c r="C46" s="1" t="s">
        <v>1083</v>
      </c>
      <c r="D46" s="1" t="s">
        <v>116</v>
      </c>
      <c r="E46" s="5">
        <v>0.03184713375796178</v>
      </c>
      <c r="F46" s="5">
        <v>0.05194805194805197</v>
      </c>
      <c r="G46" s="4">
        <v>3.24</v>
      </c>
    </row>
    <row r="47" spans="1:7">
      <c r="A47" s="4">
        <v>46</v>
      </c>
      <c r="B47" s="1" t="s">
        <v>1554</v>
      </c>
      <c r="C47" s="1" t="s">
        <v>1555</v>
      </c>
      <c r="D47" s="1" t="s">
        <v>54</v>
      </c>
      <c r="E47" s="5">
        <v>0.003076923076922977</v>
      </c>
      <c r="F47" s="5">
        <v>0.05161290322580636</v>
      </c>
      <c r="G47" s="4">
        <v>19.56</v>
      </c>
    </row>
    <row r="48" spans="1:7">
      <c r="A48" s="4">
        <v>47</v>
      </c>
      <c r="B48" s="1" t="s">
        <v>1108</v>
      </c>
      <c r="C48" s="1" t="s">
        <v>1109</v>
      </c>
      <c r="D48" s="1" t="s">
        <v>54</v>
      </c>
      <c r="E48" s="5">
        <v>0.02086230876216955</v>
      </c>
      <c r="F48" s="5">
        <v>0.05157593123209159</v>
      </c>
      <c r="G48" s="4">
        <v>7.34</v>
      </c>
    </row>
    <row r="49" spans="1:7">
      <c r="A49" s="4">
        <v>48</v>
      </c>
      <c r="B49" s="1" t="s">
        <v>1436</v>
      </c>
      <c r="C49" s="1" t="s">
        <v>1437</v>
      </c>
      <c r="D49" s="1" t="s">
        <v>66</v>
      </c>
      <c r="E49" s="5">
        <v>0.04787961696306442</v>
      </c>
      <c r="F49" s="5">
        <v>0.05156585156585169</v>
      </c>
      <c r="G49" s="4">
        <v>122.56</v>
      </c>
    </row>
    <row r="50" spans="1:7">
      <c r="A50" s="4">
        <v>49</v>
      </c>
      <c r="B50" s="1" t="s">
        <v>1388</v>
      </c>
      <c r="C50" s="1" t="s">
        <v>1389</v>
      </c>
      <c r="D50" s="1" t="s">
        <v>47</v>
      </c>
      <c r="E50" s="5">
        <v>0.0210116731517509</v>
      </c>
      <c r="F50" s="5">
        <v>0.0512820512820511</v>
      </c>
      <c r="G50" s="4">
        <v>13.12</v>
      </c>
    </row>
    <row r="51" spans="1:7">
      <c r="A51" s="4">
        <v>50</v>
      </c>
      <c r="B51" s="1" t="s">
        <v>1432</v>
      </c>
      <c r="C51" s="1" t="s">
        <v>1433</v>
      </c>
      <c r="D51" s="1" t="s">
        <v>76</v>
      </c>
      <c r="E51" s="5">
        <v>-0.005555555555555647</v>
      </c>
      <c r="F51" s="5">
        <v>0.05088062622309186</v>
      </c>
      <c r="G51" s="4">
        <v>5.37</v>
      </c>
    </row>
    <row r="52" spans="1:7">
      <c r="A52" s="4">
        <v>51</v>
      </c>
      <c r="B52" s="1" t="s">
        <v>1378</v>
      </c>
      <c r="C52" s="1" t="s">
        <v>1379</v>
      </c>
      <c r="D52" s="1" t="s">
        <v>93</v>
      </c>
      <c r="E52" s="5">
        <v>0.003618506073920891</v>
      </c>
      <c r="F52" s="5">
        <v>0.04974317383076499</v>
      </c>
      <c r="G52" s="4">
        <v>77.66</v>
      </c>
    </row>
    <row r="53" spans="1:7">
      <c r="A53" s="4">
        <v>52</v>
      </c>
      <c r="B53" s="1" t="s">
        <v>1314</v>
      </c>
      <c r="C53" s="1" t="s">
        <v>1315</v>
      </c>
      <c r="D53" s="1" t="s">
        <v>70</v>
      </c>
      <c r="E53" s="5">
        <v>-0.01630434782608692</v>
      </c>
      <c r="F53" s="5">
        <v>0.04826254826254828</v>
      </c>
      <c r="G53" s="4">
        <v>5.43</v>
      </c>
    </row>
    <row r="54" spans="1:7">
      <c r="A54" s="4">
        <v>53</v>
      </c>
      <c r="B54" s="1" t="s">
        <v>1630</v>
      </c>
      <c r="C54" s="1" t="s">
        <v>1631</v>
      </c>
      <c r="D54" s="1" t="s">
        <v>41</v>
      </c>
      <c r="E54" s="5">
        <v>-0.02527075812274371</v>
      </c>
      <c r="F54" s="5">
        <v>0.0464536847350645</v>
      </c>
      <c r="G54" s="4">
        <v>189</v>
      </c>
    </row>
    <row r="55" spans="1:7">
      <c r="A55" s="4">
        <v>54</v>
      </c>
      <c r="B55" s="1" t="s">
        <v>1532</v>
      </c>
      <c r="C55" s="1" t="s">
        <v>1533</v>
      </c>
      <c r="D55" s="1" t="s">
        <v>54</v>
      </c>
      <c r="E55" s="5">
        <v>0.003703703703703765</v>
      </c>
      <c r="F55" s="5">
        <v>0.04633204633204646</v>
      </c>
      <c r="G55" s="4">
        <v>8.130000000000001</v>
      </c>
    </row>
    <row r="56" spans="1:7">
      <c r="A56" s="4">
        <v>55</v>
      </c>
      <c r="B56" s="1" t="s">
        <v>1202</v>
      </c>
      <c r="C56" s="1" t="s">
        <v>1203</v>
      </c>
      <c r="D56" s="1" t="s">
        <v>93</v>
      </c>
      <c r="E56" s="5">
        <v>-0.01775956284153002</v>
      </c>
      <c r="F56" s="5">
        <v>0.04505813953488369</v>
      </c>
      <c r="G56" s="4">
        <v>14.38</v>
      </c>
    </row>
    <row r="57" spans="1:7">
      <c r="A57" s="4">
        <v>56</v>
      </c>
      <c r="B57" s="1" t="s">
        <v>1576</v>
      </c>
      <c r="C57" s="1" t="s">
        <v>1577</v>
      </c>
      <c r="D57" s="1" t="s">
        <v>54</v>
      </c>
      <c r="E57" s="5">
        <v>0.004639175257731942</v>
      </c>
      <c r="F57" s="5">
        <v>0.04504021447721174</v>
      </c>
      <c r="G57" s="4">
        <v>19.49</v>
      </c>
    </row>
    <row r="58" spans="1:7">
      <c r="A58" s="4">
        <v>57</v>
      </c>
      <c r="B58" s="1" t="s">
        <v>1404</v>
      </c>
      <c r="C58" s="1" t="s">
        <v>1405</v>
      </c>
      <c r="D58" s="1" t="s">
        <v>66</v>
      </c>
      <c r="E58" s="5">
        <v>0.02395910322739581</v>
      </c>
      <c r="F58" s="5">
        <v>0.04491566037884098</v>
      </c>
      <c r="G58" s="4">
        <v>1330</v>
      </c>
    </row>
    <row r="59" spans="1:7">
      <c r="A59" s="4">
        <v>58</v>
      </c>
      <c r="B59" s="1" t="s">
        <v>1222</v>
      </c>
      <c r="C59" s="1" t="s">
        <v>1223</v>
      </c>
      <c r="D59" s="1" t="s">
        <v>54</v>
      </c>
      <c r="E59" s="5">
        <v>0.003913894324853118</v>
      </c>
      <c r="F59" s="5">
        <v>0.04480651731160901</v>
      </c>
      <c r="G59" s="4">
        <v>10.26</v>
      </c>
    </row>
    <row r="60" spans="1:7">
      <c r="A60" s="4">
        <v>59</v>
      </c>
      <c r="B60" s="1" t="s">
        <v>1342</v>
      </c>
      <c r="C60" s="1" t="s">
        <v>1343</v>
      </c>
      <c r="D60" s="1" t="s">
        <v>54</v>
      </c>
      <c r="E60" s="5">
        <v>0.009273570324574987</v>
      </c>
      <c r="F60" s="5">
        <v>0.04479999999999995</v>
      </c>
      <c r="G60" s="4">
        <v>6.53</v>
      </c>
    </row>
    <row r="61" spans="1:7">
      <c r="A61" s="4">
        <v>60</v>
      </c>
      <c r="B61" s="1" t="s">
        <v>1590</v>
      </c>
      <c r="C61" s="1" t="s">
        <v>1591</v>
      </c>
      <c r="D61" s="1" t="s">
        <v>47</v>
      </c>
      <c r="E61" s="5">
        <v>0.01638123603871944</v>
      </c>
      <c r="F61" s="5">
        <v>0.04417670682730934</v>
      </c>
      <c r="G61" s="4">
        <v>54.6</v>
      </c>
    </row>
    <row r="62" spans="1:7">
      <c r="A62" s="4">
        <v>61</v>
      </c>
      <c r="B62" s="1" t="s">
        <v>1602</v>
      </c>
      <c r="C62" s="1" t="s">
        <v>1603</v>
      </c>
      <c r="D62" s="1" t="s">
        <v>54</v>
      </c>
      <c r="E62" s="5">
        <v>0.00273972602739736</v>
      </c>
      <c r="F62" s="5">
        <v>0.04273504273504281</v>
      </c>
      <c r="G62" s="4">
        <v>10.98</v>
      </c>
    </row>
    <row r="63" spans="1:7">
      <c r="A63" s="4">
        <v>62</v>
      </c>
      <c r="B63" s="1" t="s">
        <v>1604</v>
      </c>
      <c r="C63" s="1" t="s">
        <v>1605</v>
      </c>
      <c r="D63" s="1" t="s">
        <v>76</v>
      </c>
      <c r="E63" s="5">
        <v>-0.004385964912280604</v>
      </c>
      <c r="F63" s="5">
        <v>0.04247990815154989</v>
      </c>
      <c r="G63" s="4">
        <v>9.08</v>
      </c>
    </row>
    <row r="64" spans="1:7">
      <c r="A64" s="4">
        <v>63</v>
      </c>
      <c r="B64" s="1" t="s">
        <v>1522</v>
      </c>
      <c r="C64" s="1" t="s">
        <v>1523</v>
      </c>
      <c r="D64" s="1" t="s">
        <v>54</v>
      </c>
      <c r="E64" s="5">
        <v>0.01366120218579225</v>
      </c>
      <c r="F64" s="5">
        <v>0.0421348314606742</v>
      </c>
      <c r="G64" s="4">
        <v>7.42</v>
      </c>
    </row>
    <row r="65" spans="1:7">
      <c r="A65" s="4">
        <v>64</v>
      </c>
      <c r="B65" s="1" t="s">
        <v>1462</v>
      </c>
      <c r="C65" s="1" t="s">
        <v>1463</v>
      </c>
      <c r="D65" s="1" t="s">
        <v>138</v>
      </c>
      <c r="E65" s="5">
        <v>-0.002287874266388212</v>
      </c>
      <c r="F65" s="5">
        <v>0.04207792207792216</v>
      </c>
      <c r="G65" s="4">
        <v>100.3</v>
      </c>
    </row>
    <row r="66" spans="1:7">
      <c r="A66" s="4">
        <v>65</v>
      </c>
      <c r="B66" s="1" t="s">
        <v>1080</v>
      </c>
      <c r="C66" s="1" t="s">
        <v>1081</v>
      </c>
      <c r="D66" s="1" t="s">
        <v>54</v>
      </c>
      <c r="E66" s="5">
        <v>0.0008417508417508657</v>
      </c>
      <c r="F66" s="5">
        <v>0.04206836108676604</v>
      </c>
      <c r="G66" s="4">
        <v>11.89</v>
      </c>
    </row>
    <row r="67" spans="1:7">
      <c r="A67" s="4">
        <v>66</v>
      </c>
      <c r="B67" s="1" t="s">
        <v>1302</v>
      </c>
      <c r="C67" s="1" t="s">
        <v>1303</v>
      </c>
      <c r="D67" s="1" t="s">
        <v>54</v>
      </c>
      <c r="E67" s="5">
        <v>0.01725997842502691</v>
      </c>
      <c r="F67" s="5">
        <v>0.04198895027624294</v>
      </c>
      <c r="G67" s="4">
        <v>9.43</v>
      </c>
    </row>
    <row r="68" spans="1:7">
      <c r="A68" s="4">
        <v>67</v>
      </c>
      <c r="B68" s="1" t="s">
        <v>1304</v>
      </c>
      <c r="C68" s="1" t="s">
        <v>1305</v>
      </c>
      <c r="D68" s="1" t="s">
        <v>70</v>
      </c>
      <c r="E68" s="5">
        <v>0.009302325581395543</v>
      </c>
      <c r="F68" s="5">
        <v>0.04144851657940651</v>
      </c>
      <c r="G68" s="4">
        <v>23.87</v>
      </c>
    </row>
    <row r="69" spans="1:7">
      <c r="A69" s="4">
        <v>68</v>
      </c>
      <c r="B69" s="1" t="s">
        <v>1482</v>
      </c>
      <c r="C69" s="1" t="s">
        <v>1483</v>
      </c>
      <c r="D69" s="1" t="s">
        <v>54</v>
      </c>
      <c r="E69" s="5">
        <v>0.003516998827667095</v>
      </c>
      <c r="F69" s="5">
        <v>0.04136253041362536</v>
      </c>
      <c r="G69" s="4">
        <v>17.12</v>
      </c>
    </row>
    <row r="70" spans="1:7">
      <c r="A70" s="4">
        <v>69</v>
      </c>
      <c r="B70" s="1" t="s">
        <v>1128</v>
      </c>
      <c r="C70" s="1" t="s">
        <v>1129</v>
      </c>
      <c r="D70" s="1" t="s">
        <v>93</v>
      </c>
      <c r="E70" s="5">
        <v>-0.01570489408327247</v>
      </c>
      <c r="F70" s="5">
        <v>0.04134466769706346</v>
      </c>
      <c r="G70" s="4">
        <v>26.95</v>
      </c>
    </row>
    <row r="71" spans="1:7">
      <c r="A71" s="4">
        <v>70</v>
      </c>
      <c r="B71" s="1" t="s">
        <v>1090</v>
      </c>
      <c r="C71" s="1" t="s">
        <v>1091</v>
      </c>
      <c r="D71" s="1" t="s">
        <v>54</v>
      </c>
      <c r="E71" s="5">
        <v>0.01101321585903081</v>
      </c>
      <c r="F71" s="5">
        <v>0.04081632653061207</v>
      </c>
      <c r="G71" s="4">
        <v>4.59</v>
      </c>
    </row>
    <row r="72" spans="1:7">
      <c r="A72" s="4">
        <v>71</v>
      </c>
      <c r="B72" s="1" t="s">
        <v>1464</v>
      </c>
      <c r="C72" s="1" t="s">
        <v>1465</v>
      </c>
      <c r="D72" s="1" t="s">
        <v>54</v>
      </c>
      <c r="E72" s="5">
        <v>0.004333694474539351</v>
      </c>
      <c r="F72" s="5">
        <v>0.04040404040404044</v>
      </c>
      <c r="G72" s="4">
        <v>9.27</v>
      </c>
    </row>
    <row r="73" spans="1:7">
      <c r="A73" s="4">
        <v>72</v>
      </c>
      <c r="B73" s="1" t="s">
        <v>1468</v>
      </c>
      <c r="C73" s="1" t="s">
        <v>1469</v>
      </c>
      <c r="D73" s="1" t="s">
        <v>54</v>
      </c>
      <c r="E73" s="5">
        <v>0.004878048780487809</v>
      </c>
      <c r="F73" s="5">
        <v>0.04040404040404044</v>
      </c>
      <c r="G73" s="4">
        <v>18.54</v>
      </c>
    </row>
    <row r="74" spans="1:7">
      <c r="A74" s="4">
        <v>73</v>
      </c>
      <c r="B74" s="1" t="s">
        <v>1312</v>
      </c>
      <c r="C74" s="1" t="s">
        <v>1313</v>
      </c>
      <c r="D74" s="1" t="s">
        <v>54</v>
      </c>
      <c r="E74" s="5">
        <v>0.00557103064066844</v>
      </c>
      <c r="F74" s="5">
        <v>0.04034582132564823</v>
      </c>
      <c r="G74" s="4">
        <v>3.61</v>
      </c>
    </row>
    <row r="75" spans="1:7">
      <c r="A75" s="4">
        <v>74</v>
      </c>
      <c r="B75" s="1" t="s">
        <v>1308</v>
      </c>
      <c r="C75" s="1" t="s">
        <v>1309</v>
      </c>
      <c r="D75" s="1" t="s">
        <v>76</v>
      </c>
      <c r="E75" s="5">
        <v>-0.001455604075691341</v>
      </c>
      <c r="F75" s="5">
        <v>0.03939393939393954</v>
      </c>
      <c r="G75" s="4">
        <v>6.86</v>
      </c>
    </row>
    <row r="76" spans="1:7">
      <c r="A76" s="4">
        <v>75</v>
      </c>
      <c r="B76" s="1" t="s">
        <v>1322</v>
      </c>
      <c r="C76" s="1" t="s">
        <v>1323</v>
      </c>
      <c r="D76" s="1" t="s">
        <v>129</v>
      </c>
      <c r="E76" s="5">
        <v>0.0004918839153960075</v>
      </c>
      <c r="F76" s="5">
        <v>0.038815117466803</v>
      </c>
      <c r="G76" s="4">
        <v>20.34</v>
      </c>
    </row>
    <row r="77" spans="1:7">
      <c r="A77" s="4">
        <v>76</v>
      </c>
      <c r="B77" s="1" t="s">
        <v>1094</v>
      </c>
      <c r="C77" s="1" t="s">
        <v>1095</v>
      </c>
      <c r="D77" s="1" t="s">
        <v>47</v>
      </c>
      <c r="E77" s="5">
        <v>0.003667621776504149</v>
      </c>
      <c r="F77" s="5">
        <v>0.03879003558718863</v>
      </c>
      <c r="G77" s="4">
        <v>87.56999999999999</v>
      </c>
    </row>
    <row r="78" spans="1:7">
      <c r="A78" s="4">
        <v>77</v>
      </c>
      <c r="B78" s="1" t="s">
        <v>1456</v>
      </c>
      <c r="C78" s="1" t="s">
        <v>1457</v>
      </c>
      <c r="D78" s="1" t="s">
        <v>54</v>
      </c>
      <c r="E78" s="5">
        <v>0.00700525394045548</v>
      </c>
      <c r="F78" s="5">
        <v>0.03728202044497908</v>
      </c>
      <c r="G78" s="4">
        <v>17.25</v>
      </c>
    </row>
    <row r="79" spans="1:7">
      <c r="A79" s="4">
        <v>78</v>
      </c>
      <c r="B79" s="1" t="s">
        <v>1260</v>
      </c>
      <c r="C79" s="1" t="s">
        <v>1261</v>
      </c>
      <c r="D79" s="1" t="s">
        <v>138</v>
      </c>
      <c r="E79" s="5">
        <v>0.02643470402169013</v>
      </c>
      <c r="F79" s="5">
        <v>0.03674121405750808</v>
      </c>
      <c r="G79" s="4">
        <v>45.43</v>
      </c>
    </row>
    <row r="80" spans="1:7">
      <c r="A80" s="4">
        <v>79</v>
      </c>
      <c r="B80" s="1" t="s">
        <v>1204</v>
      </c>
      <c r="C80" s="1" t="s">
        <v>1205</v>
      </c>
      <c r="D80" s="1" t="s">
        <v>93</v>
      </c>
      <c r="E80" s="5">
        <v>-0.01352366641622837</v>
      </c>
      <c r="F80" s="5">
        <v>0.03630623520126286</v>
      </c>
      <c r="G80" s="4">
        <v>13.13</v>
      </c>
    </row>
    <row r="81" spans="1:7">
      <c r="A81" s="4">
        <v>80</v>
      </c>
      <c r="B81" s="1" t="s">
        <v>1370</v>
      </c>
      <c r="C81" s="1" t="s">
        <v>1371</v>
      </c>
      <c r="D81" s="1" t="s">
        <v>93</v>
      </c>
      <c r="E81" s="5">
        <v>-0.002028397565922879</v>
      </c>
      <c r="F81" s="5">
        <v>0.03578947368421059</v>
      </c>
      <c r="G81" s="4">
        <v>4.92</v>
      </c>
    </row>
    <row r="82" spans="1:7">
      <c r="A82" s="4">
        <v>81</v>
      </c>
      <c r="B82" s="1" t="s">
        <v>1664</v>
      </c>
      <c r="C82" s="1" t="s">
        <v>1665</v>
      </c>
      <c r="D82" s="1" t="s">
        <v>41</v>
      </c>
      <c r="E82" s="5">
        <v>-0.0254456858698715</v>
      </c>
      <c r="F82" s="5">
        <v>0.03574879227053129</v>
      </c>
      <c r="G82" s="4">
        <v>1072</v>
      </c>
    </row>
    <row r="83" spans="1:7">
      <c r="A83" s="4">
        <v>82</v>
      </c>
      <c r="B83" s="1" t="s">
        <v>1442</v>
      </c>
      <c r="C83" s="1" t="s">
        <v>1443</v>
      </c>
      <c r="D83" s="1" t="s">
        <v>76</v>
      </c>
      <c r="E83" s="5">
        <v>0.000702247191011196</v>
      </c>
      <c r="F83" s="5">
        <v>0.03561046511627919</v>
      </c>
      <c r="G83" s="4">
        <v>14.25</v>
      </c>
    </row>
    <row r="84" spans="1:7">
      <c r="A84" s="4">
        <v>83</v>
      </c>
      <c r="B84" s="1" t="s">
        <v>1364</v>
      </c>
      <c r="C84" s="1" t="s">
        <v>1365</v>
      </c>
      <c r="D84" s="1" t="s">
        <v>41</v>
      </c>
      <c r="E84" s="5">
        <v>-0.03973741183043511</v>
      </c>
      <c r="F84" s="5">
        <v>0.03539156626506013</v>
      </c>
      <c r="G84" s="4">
        <v>137.5</v>
      </c>
    </row>
    <row r="85" spans="1:7">
      <c r="A85" s="4">
        <v>84</v>
      </c>
      <c r="B85" s="1" t="s">
        <v>1564</v>
      </c>
      <c r="C85" s="1" t="s">
        <v>1565</v>
      </c>
      <c r="D85" s="1" t="s">
        <v>70</v>
      </c>
      <c r="E85" s="5">
        <v>0.01296596434359798</v>
      </c>
      <c r="F85" s="5">
        <v>0.0347682119205297</v>
      </c>
      <c r="G85" s="4">
        <v>6.25</v>
      </c>
    </row>
    <row r="86" spans="1:7">
      <c r="A86" s="4">
        <v>85</v>
      </c>
      <c r="B86" s="1" t="s">
        <v>1470</v>
      </c>
      <c r="C86" s="1" t="s">
        <v>1471</v>
      </c>
      <c r="D86" s="1" t="s">
        <v>70</v>
      </c>
      <c r="E86" s="5">
        <v>0</v>
      </c>
      <c r="F86" s="5">
        <v>0.03426124197002145</v>
      </c>
      <c r="G86" s="4">
        <v>4.83</v>
      </c>
    </row>
    <row r="87" spans="1:7">
      <c r="A87" s="4">
        <v>86</v>
      </c>
      <c r="B87" s="1" t="s">
        <v>1102</v>
      </c>
      <c r="C87" s="1" t="s">
        <v>1103</v>
      </c>
      <c r="D87" s="1" t="s">
        <v>37</v>
      </c>
      <c r="E87" s="5">
        <v>0.004924167815639091</v>
      </c>
      <c r="F87" s="5">
        <v>0.0342590715588893</v>
      </c>
      <c r="G87" s="4">
        <v>51.02</v>
      </c>
    </row>
    <row r="88" spans="1:7">
      <c r="A88" s="4">
        <v>87</v>
      </c>
      <c r="B88" s="1" t="s">
        <v>1412</v>
      </c>
      <c r="C88" s="1" t="s">
        <v>1413</v>
      </c>
      <c r="D88" s="1" t="s">
        <v>41</v>
      </c>
      <c r="E88" s="5">
        <v>0.02465116279069779</v>
      </c>
      <c r="F88" s="5">
        <v>0.03378695448146418</v>
      </c>
      <c r="G88" s="4">
        <v>22.03</v>
      </c>
    </row>
    <row r="89" spans="1:7">
      <c r="A89" s="4">
        <v>88</v>
      </c>
      <c r="B89" s="1" t="s">
        <v>1424</v>
      </c>
      <c r="C89" s="1" t="s">
        <v>1425</v>
      </c>
      <c r="D89" s="1" t="s">
        <v>76</v>
      </c>
      <c r="E89" s="5">
        <v>-0.0006341154090043766</v>
      </c>
      <c r="F89" s="5">
        <v>0.03344262295081957</v>
      </c>
      <c r="G89" s="4">
        <v>15.76</v>
      </c>
    </row>
    <row r="90" spans="1:7">
      <c r="A90" s="4">
        <v>89</v>
      </c>
      <c r="B90" s="1" t="s">
        <v>1398</v>
      </c>
      <c r="C90" s="1" t="s">
        <v>1399</v>
      </c>
      <c r="D90" s="1" t="s">
        <v>70</v>
      </c>
      <c r="E90" s="5">
        <v>0.009179926560587415</v>
      </c>
      <c r="F90" s="5">
        <v>0.03288443470090807</v>
      </c>
      <c r="G90" s="4">
        <v>32.98</v>
      </c>
    </row>
    <row r="91" spans="1:7">
      <c r="A91" s="4">
        <v>90</v>
      </c>
      <c r="B91" s="1" t="s">
        <v>1586</v>
      </c>
      <c r="C91" s="1" t="s">
        <v>1587</v>
      </c>
      <c r="D91" s="1" t="s">
        <v>54</v>
      </c>
      <c r="E91" s="5">
        <v>0.006376195536663243</v>
      </c>
      <c r="F91" s="5">
        <v>0.03271537622682663</v>
      </c>
      <c r="G91" s="4">
        <v>9.470000000000001</v>
      </c>
    </row>
    <row r="92" spans="1:7">
      <c r="A92" s="4">
        <v>91</v>
      </c>
      <c r="B92" s="1" t="s">
        <v>1350</v>
      </c>
      <c r="C92" s="1" t="s">
        <v>1351</v>
      </c>
      <c r="D92" s="1" t="s">
        <v>47</v>
      </c>
      <c r="E92" s="5">
        <v>0.0125725338491296</v>
      </c>
      <c r="F92" s="5">
        <v>0.03254437869822491</v>
      </c>
      <c r="G92" s="4">
        <v>10.47</v>
      </c>
    </row>
    <row r="93" spans="1:7">
      <c r="A93" s="4">
        <v>92</v>
      </c>
      <c r="B93" s="1" t="s">
        <v>1330</v>
      </c>
      <c r="C93" s="1" t="s">
        <v>1331</v>
      </c>
      <c r="D93" s="1" t="s">
        <v>54</v>
      </c>
      <c r="E93" s="5">
        <v>0.004666188083273459</v>
      </c>
      <c r="F93" s="5">
        <v>0.03207964601769908</v>
      </c>
      <c r="G93" s="4">
        <v>27.99</v>
      </c>
    </row>
    <row r="94" spans="1:7">
      <c r="A94" s="4">
        <v>93</v>
      </c>
      <c r="B94" s="1" t="s">
        <v>1210</v>
      </c>
      <c r="C94" s="1" t="s">
        <v>1211</v>
      </c>
      <c r="D94" s="1" t="s">
        <v>41</v>
      </c>
      <c r="E94" s="5">
        <v>-0.02093023255813953</v>
      </c>
      <c r="F94" s="5">
        <v>0.03186274509803932</v>
      </c>
      <c r="G94" s="4">
        <v>12.63</v>
      </c>
    </row>
    <row r="95" spans="1:7">
      <c r="A95" s="4">
        <v>94</v>
      </c>
      <c r="B95" s="1" t="s">
        <v>1144</v>
      </c>
      <c r="C95" s="1" t="s">
        <v>1145</v>
      </c>
      <c r="D95" s="1" t="s">
        <v>37</v>
      </c>
      <c r="E95" s="5">
        <v>0.003223207091055613</v>
      </c>
      <c r="F95" s="5">
        <v>0.0314830157415078</v>
      </c>
      <c r="G95" s="4">
        <v>24.9</v>
      </c>
    </row>
    <row r="96" spans="1:7">
      <c r="A96" s="4">
        <v>95</v>
      </c>
      <c r="B96" s="1" t="s">
        <v>1676</v>
      </c>
      <c r="C96" s="1" t="s">
        <v>1677</v>
      </c>
      <c r="D96" s="1" t="s">
        <v>41</v>
      </c>
      <c r="E96" s="5">
        <v>-0.03946268032615508</v>
      </c>
      <c r="F96" s="5">
        <v>0.03021639197219428</v>
      </c>
      <c r="G96" s="4">
        <v>183.77</v>
      </c>
    </row>
    <row r="97" spans="1:7">
      <c r="A97" s="4">
        <v>96</v>
      </c>
      <c r="B97" s="1" t="s">
        <v>1588</v>
      </c>
      <c r="C97" s="1" t="s">
        <v>1589</v>
      </c>
      <c r="D97" s="1" t="s">
        <v>54</v>
      </c>
      <c r="E97" s="5">
        <v>0.00403877221324711</v>
      </c>
      <c r="F97" s="5">
        <v>0.0298260149130074</v>
      </c>
      <c r="G97" s="4">
        <v>12.43</v>
      </c>
    </row>
    <row r="98" spans="1:7">
      <c r="A98" s="4">
        <v>97</v>
      </c>
      <c r="B98" s="1" t="s">
        <v>1596</v>
      </c>
      <c r="C98" s="1" t="s">
        <v>1597</v>
      </c>
      <c r="D98" s="1" t="s">
        <v>54</v>
      </c>
      <c r="E98" s="5">
        <v>0.004354136429608246</v>
      </c>
      <c r="F98" s="5">
        <v>0.02976190476190488</v>
      </c>
      <c r="G98" s="4">
        <v>6.92</v>
      </c>
    </row>
    <row r="99" spans="1:7">
      <c r="A99" s="4">
        <v>98</v>
      </c>
      <c r="B99" s="1" t="s">
        <v>1566</v>
      </c>
      <c r="C99" s="1" t="s">
        <v>1567</v>
      </c>
      <c r="D99" s="1" t="s">
        <v>54</v>
      </c>
      <c r="E99" s="5">
        <v>0.005490734385724005</v>
      </c>
      <c r="F99" s="5">
        <v>0.02951510892480669</v>
      </c>
      <c r="G99" s="4">
        <v>14.65</v>
      </c>
    </row>
    <row r="100" spans="1:7">
      <c r="A100" s="4">
        <v>99</v>
      </c>
      <c r="B100" s="1" t="s">
        <v>1528</v>
      </c>
      <c r="C100" s="1" t="s">
        <v>1529</v>
      </c>
      <c r="D100" s="1" t="s">
        <v>54</v>
      </c>
      <c r="E100" s="5">
        <v>0.006756756756756799</v>
      </c>
      <c r="F100" s="5">
        <v>0.02936096718480141</v>
      </c>
      <c r="G100" s="4">
        <v>5.96</v>
      </c>
    </row>
    <row r="101" spans="1:7">
      <c r="A101" s="4">
        <v>100</v>
      </c>
      <c r="B101" s="1" t="s">
        <v>1574</v>
      </c>
      <c r="C101" s="1" t="s">
        <v>1575</v>
      </c>
      <c r="D101" s="1" t="s">
        <v>54</v>
      </c>
      <c r="E101" s="5">
        <v>0.002224694104560498</v>
      </c>
      <c r="F101" s="5">
        <v>0.02853881278538806</v>
      </c>
      <c r="G101" s="4">
        <v>9.01</v>
      </c>
    </row>
  </sheetData>
  <autoFilter ref="A1:G101"/>
  <conditionalFormatting sqref="E2:E101">
    <cfRule type="colorScale" priority="1">
      <colorScale>
        <cfvo type="min" val="0"/>
        <cfvo type="num" val="0"/>
        <cfvo type="max" val="0"/>
        <color rgb="FFF6C7CE"/>
        <color rgb="FFFFFFFF"/>
        <color rgb="FFB9E5D1"/>
      </colorScale>
    </cfRule>
  </conditionalFormatting>
  <conditionalFormatting sqref="F2:F101">
    <cfRule type="colorScale" priority="2">
      <colorScale>
        <cfvo type="min" val="0"/>
        <cfvo type="num" val="0"/>
        <cfvo type="max" val="0"/>
        <color rgb="FFF6C7CE"/>
        <color rgb="FFFFFFFF"/>
        <color rgb="FFB9E5D1"/>
      </colorScale>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101"/>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5.7109375" style="1" customWidth="1"/>
    <col min="2" max="2" width="22.7109375" style="1" customWidth="1"/>
    <col min="3" max="3" width="40.7109375" style="1" customWidth="1"/>
    <col min="4" max="4" width="27.7109375" style="1" customWidth="1"/>
    <col min="5" max="7" width="15.7109375" style="1" customWidth="1"/>
  </cols>
  <sheetData>
    <row r="1" spans="1:7" ht="30" customHeight="1">
      <c r="A1" s="3" t="s">
        <v>1071</v>
      </c>
      <c r="B1" s="3" t="s">
        <v>24</v>
      </c>
      <c r="C1" s="3" t="s">
        <v>25</v>
      </c>
      <c r="D1" s="3" t="s">
        <v>26</v>
      </c>
      <c r="E1" s="3" t="s">
        <v>1072</v>
      </c>
      <c r="F1" s="3" t="s">
        <v>1073</v>
      </c>
      <c r="G1" s="3" t="s">
        <v>1074</v>
      </c>
    </row>
    <row r="2" spans="1:7">
      <c r="A2" s="4">
        <v>1</v>
      </c>
      <c r="B2" s="1" t="s">
        <v>1248</v>
      </c>
      <c r="C2" s="1" t="s">
        <v>1249</v>
      </c>
      <c r="D2" s="1" t="s">
        <v>70</v>
      </c>
      <c r="E2" s="5">
        <v>0.01550298576022069</v>
      </c>
      <c r="F2" s="5">
        <v>-0.2179872656526353</v>
      </c>
      <c r="G2" s="4">
        <v>88.43000000000001</v>
      </c>
    </row>
    <row r="3" spans="1:7">
      <c r="A3" s="4">
        <v>2</v>
      </c>
      <c r="B3" s="1" t="s">
        <v>1184</v>
      </c>
      <c r="C3" s="1" t="s">
        <v>1185</v>
      </c>
      <c r="D3" s="1" t="s">
        <v>129</v>
      </c>
      <c r="E3" s="5">
        <v>0.01194126190091982</v>
      </c>
      <c r="F3" s="5">
        <v>-0.1775737704918032</v>
      </c>
      <c r="G3" s="4">
        <v>125.42</v>
      </c>
    </row>
    <row r="4" spans="1:7">
      <c r="A4" s="4">
        <v>3</v>
      </c>
      <c r="B4" s="1" t="s">
        <v>1158</v>
      </c>
      <c r="C4" s="1" t="s">
        <v>1159</v>
      </c>
      <c r="D4" s="1" t="s">
        <v>70</v>
      </c>
      <c r="E4" s="5">
        <v>0.02236421725239612</v>
      </c>
      <c r="F4" s="5">
        <v>-0.1669024845775087</v>
      </c>
      <c r="G4" s="4">
        <v>147.2</v>
      </c>
    </row>
    <row r="5" spans="1:7">
      <c r="A5" s="4">
        <v>4</v>
      </c>
      <c r="B5" s="1" t="s">
        <v>1672</v>
      </c>
      <c r="C5" s="1" t="s">
        <v>1673</v>
      </c>
      <c r="D5" s="1" t="s">
        <v>41</v>
      </c>
      <c r="E5" s="5">
        <v>0.008036739380022695</v>
      </c>
      <c r="F5" s="5">
        <v>-0.1614135625596945</v>
      </c>
      <c r="G5" s="4">
        <v>8.779999999999999</v>
      </c>
    </row>
    <row r="6" spans="1:7">
      <c r="A6" s="4">
        <v>5</v>
      </c>
      <c r="B6" s="1" t="s">
        <v>1396</v>
      </c>
      <c r="C6" s="1" t="s">
        <v>1397</v>
      </c>
      <c r="D6" s="1" t="s">
        <v>41</v>
      </c>
      <c r="E6" s="5">
        <v>-0.02849823887287861</v>
      </c>
      <c r="F6" s="5">
        <v>-0.154639175257732</v>
      </c>
      <c r="G6" s="4">
        <v>30.34</v>
      </c>
    </row>
    <row r="7" spans="1:7">
      <c r="A7" s="4">
        <v>6</v>
      </c>
      <c r="B7" s="1" t="s">
        <v>1116</v>
      </c>
      <c r="C7" s="1" t="s">
        <v>1117</v>
      </c>
      <c r="D7" s="1" t="s">
        <v>93</v>
      </c>
      <c r="E7" s="5">
        <v>-0.03965344885038324</v>
      </c>
      <c r="F7" s="5">
        <v>-0.1540945113002642</v>
      </c>
      <c r="G7" s="4">
        <v>57.64</v>
      </c>
    </row>
    <row r="8" spans="1:7">
      <c r="A8" s="4">
        <v>7</v>
      </c>
      <c r="B8" s="1" t="s">
        <v>1414</v>
      </c>
      <c r="C8" s="1" t="s">
        <v>1415</v>
      </c>
      <c r="D8" s="1" t="s">
        <v>41</v>
      </c>
      <c r="E8" s="5">
        <v>-0.05486179318086148</v>
      </c>
      <c r="F8" s="5">
        <v>-0.1426753213694794</v>
      </c>
      <c r="G8" s="4">
        <v>67.36</v>
      </c>
    </row>
    <row r="9" spans="1:7">
      <c r="A9" s="4">
        <v>8</v>
      </c>
      <c r="B9" s="1" t="s">
        <v>1250</v>
      </c>
      <c r="C9" s="1" t="s">
        <v>1251</v>
      </c>
      <c r="D9" s="1" t="s">
        <v>41</v>
      </c>
      <c r="E9" s="5">
        <v>0.001230012300122985</v>
      </c>
      <c r="F9" s="5">
        <v>-0.1367974549310711</v>
      </c>
      <c r="G9" s="4">
        <v>814</v>
      </c>
    </row>
    <row r="10" spans="1:7">
      <c r="A10" s="4">
        <v>9</v>
      </c>
      <c r="B10" s="1" t="s">
        <v>1292</v>
      </c>
      <c r="C10" s="1" t="s">
        <v>1293</v>
      </c>
      <c r="D10" s="1" t="s">
        <v>41</v>
      </c>
      <c r="E10" s="5">
        <v>-0.06327384510289469</v>
      </c>
      <c r="F10" s="5">
        <v>-0.1360163818224778</v>
      </c>
      <c r="G10" s="4">
        <v>109.7</v>
      </c>
    </row>
    <row r="11" spans="1:7">
      <c r="A11" s="4">
        <v>10</v>
      </c>
      <c r="B11" s="1" t="s">
        <v>1268</v>
      </c>
      <c r="C11" s="1" t="s">
        <v>1269</v>
      </c>
      <c r="D11" s="1" t="s">
        <v>41</v>
      </c>
      <c r="E11" s="5">
        <v>-0.01348314606741574</v>
      </c>
      <c r="F11" s="5">
        <v>-0.1349412784740286</v>
      </c>
      <c r="G11" s="4">
        <v>219.5</v>
      </c>
    </row>
    <row r="12" spans="1:7">
      <c r="A12" s="4">
        <v>11</v>
      </c>
      <c r="B12" s="1" t="s">
        <v>1272</v>
      </c>
      <c r="C12" s="1" t="s">
        <v>1273</v>
      </c>
      <c r="D12" s="1" t="s">
        <v>41</v>
      </c>
      <c r="E12" s="5">
        <v>0.003222788231624918</v>
      </c>
      <c r="F12" s="5">
        <v>-0.1266968325791855</v>
      </c>
      <c r="G12" s="4">
        <v>386</v>
      </c>
    </row>
    <row r="13" spans="1:7">
      <c r="A13" s="4">
        <v>12</v>
      </c>
      <c r="B13" s="1" t="s">
        <v>1410</v>
      </c>
      <c r="C13" s="1" t="s">
        <v>1411</v>
      </c>
      <c r="D13" s="1" t="s">
        <v>93</v>
      </c>
      <c r="E13" s="5">
        <v>-0.03634208967015606</v>
      </c>
      <c r="F13" s="5">
        <v>-0.1221662468513853</v>
      </c>
      <c r="G13" s="4">
        <v>48.79</v>
      </c>
    </row>
    <row r="14" spans="1:7">
      <c r="A14" s="4">
        <v>13</v>
      </c>
      <c r="B14" s="1" t="s">
        <v>1188</v>
      </c>
      <c r="C14" s="1" t="s">
        <v>1189</v>
      </c>
      <c r="D14" s="1" t="s">
        <v>41</v>
      </c>
      <c r="E14" s="5">
        <v>-0.002734985487832131</v>
      </c>
      <c r="F14" s="5">
        <v>-0.111448179828924</v>
      </c>
      <c r="G14" s="4">
        <v>178.67</v>
      </c>
    </row>
    <row r="15" spans="1:7">
      <c r="A15" s="4">
        <v>14</v>
      </c>
      <c r="B15" s="1" t="s">
        <v>1218</v>
      </c>
      <c r="C15" s="1" t="s">
        <v>1219</v>
      </c>
      <c r="D15" s="1" t="s">
        <v>93</v>
      </c>
      <c r="E15" s="5">
        <v>-0.02225433526011567</v>
      </c>
      <c r="F15" s="5">
        <v>-0.1087987355110643</v>
      </c>
      <c r="G15" s="4">
        <v>33.83</v>
      </c>
    </row>
    <row r="16" spans="1:7">
      <c r="A16" s="4">
        <v>15</v>
      </c>
      <c r="B16" s="1" t="s">
        <v>1186</v>
      </c>
      <c r="C16" s="1" t="s">
        <v>1187</v>
      </c>
      <c r="D16" s="1" t="s">
        <v>41</v>
      </c>
      <c r="E16" s="5">
        <v>-0.02694254696267395</v>
      </c>
      <c r="F16" s="5">
        <v>-0.1067424380275185</v>
      </c>
      <c r="G16" s="4">
        <v>638.17</v>
      </c>
    </row>
    <row r="17" spans="1:7">
      <c r="A17" s="4">
        <v>16</v>
      </c>
      <c r="B17" s="1" t="s">
        <v>1142</v>
      </c>
      <c r="C17" s="1" t="s">
        <v>1143</v>
      </c>
      <c r="D17" s="1" t="s">
        <v>41</v>
      </c>
      <c r="E17" s="5">
        <v>-0.03414831279046282</v>
      </c>
      <c r="F17" s="5">
        <v>-0.1047012549166512</v>
      </c>
      <c r="G17" s="4">
        <v>95.59999999999999</v>
      </c>
    </row>
    <row r="18" spans="1:7">
      <c r="A18" s="4">
        <v>17</v>
      </c>
      <c r="B18" s="1" t="s">
        <v>1278</v>
      </c>
      <c r="C18" s="1" t="s">
        <v>1279</v>
      </c>
      <c r="D18" s="1" t="s">
        <v>70</v>
      </c>
      <c r="E18" s="5">
        <v>0.004291845493562318</v>
      </c>
      <c r="F18" s="5">
        <v>-0.102646043717244</v>
      </c>
      <c r="G18" s="4">
        <v>351</v>
      </c>
    </row>
    <row r="19" spans="1:7">
      <c r="A19" s="4">
        <v>18</v>
      </c>
      <c r="B19" s="1" t="s">
        <v>1654</v>
      </c>
      <c r="C19" s="1" t="s">
        <v>1655</v>
      </c>
      <c r="D19" s="1" t="s">
        <v>41</v>
      </c>
      <c r="E19" s="5">
        <v>-0.04051702709420835</v>
      </c>
      <c r="F19" s="5">
        <v>-0.1026237130521422</v>
      </c>
      <c r="G19" s="4">
        <v>270.2</v>
      </c>
    </row>
    <row r="20" spans="1:7">
      <c r="A20" s="4">
        <v>19</v>
      </c>
      <c r="B20" s="1" t="s">
        <v>1636</v>
      </c>
      <c r="C20" s="1" t="s">
        <v>1637</v>
      </c>
      <c r="D20" s="1" t="s">
        <v>70</v>
      </c>
      <c r="E20" s="5">
        <v>0.001971014492753609</v>
      </c>
      <c r="F20" s="5">
        <v>-0.1016632016632016</v>
      </c>
      <c r="G20" s="4">
        <v>86.42</v>
      </c>
    </row>
    <row r="21" spans="1:7">
      <c r="A21" s="4">
        <v>20</v>
      </c>
      <c r="B21" s="1" t="s">
        <v>1624</v>
      </c>
      <c r="C21" s="1" t="s">
        <v>1625</v>
      </c>
      <c r="D21" s="1" t="s">
        <v>37</v>
      </c>
      <c r="E21" s="5">
        <v>-0.02122391227449583</v>
      </c>
      <c r="F21" s="5">
        <v>-0.09545603138280478</v>
      </c>
      <c r="G21" s="4">
        <v>27.67</v>
      </c>
    </row>
    <row r="22" spans="1:7">
      <c r="A22" s="4">
        <v>21</v>
      </c>
      <c r="B22" s="1" t="s">
        <v>1194</v>
      </c>
      <c r="C22" s="1" t="s">
        <v>1195</v>
      </c>
      <c r="D22" s="1" t="s">
        <v>93</v>
      </c>
      <c r="E22" s="5">
        <v>-0.02830562153602534</v>
      </c>
      <c r="F22" s="5">
        <v>-0.09294161123429401</v>
      </c>
      <c r="G22" s="4">
        <v>49.09</v>
      </c>
    </row>
    <row r="23" spans="1:7">
      <c r="A23" s="4">
        <v>22</v>
      </c>
      <c r="B23" s="1" t="s">
        <v>1632</v>
      </c>
      <c r="C23" s="1" t="s">
        <v>1633</v>
      </c>
      <c r="D23" s="1" t="s">
        <v>41</v>
      </c>
      <c r="E23" s="5">
        <v>-0.02954070981210855</v>
      </c>
      <c r="F23" s="5">
        <v>-0.09089131178800181</v>
      </c>
      <c r="G23" s="4">
        <v>371.88</v>
      </c>
    </row>
    <row r="24" spans="1:7">
      <c r="A24" s="4">
        <v>23</v>
      </c>
      <c r="B24" s="1" t="s">
        <v>1670</v>
      </c>
      <c r="C24" s="1" t="s">
        <v>1671</v>
      </c>
      <c r="D24" s="1" t="s">
        <v>41</v>
      </c>
      <c r="E24" s="5">
        <v>-0.009285213735108599</v>
      </c>
      <c r="F24" s="5">
        <v>-0.09025096525096521</v>
      </c>
      <c r="G24" s="4">
        <v>56.55</v>
      </c>
    </row>
    <row r="25" spans="1:7">
      <c r="A25" s="4">
        <v>24</v>
      </c>
      <c r="B25" s="1" t="s">
        <v>1254</v>
      </c>
      <c r="C25" s="1" t="s">
        <v>1255</v>
      </c>
      <c r="D25" s="1" t="s">
        <v>41</v>
      </c>
      <c r="E25" s="5">
        <v>-0.0004421044170250799</v>
      </c>
      <c r="F25" s="5">
        <v>-0.08927786729163611</v>
      </c>
      <c r="G25" s="4">
        <v>248.7</v>
      </c>
    </row>
    <row r="26" spans="1:7">
      <c r="A26" s="4">
        <v>25</v>
      </c>
      <c r="B26" s="1" t="s">
        <v>1170</v>
      </c>
      <c r="C26" s="1" t="s">
        <v>1171</v>
      </c>
      <c r="D26" s="1" t="s">
        <v>70</v>
      </c>
      <c r="E26" s="5">
        <v>-0.01186440677966105</v>
      </c>
      <c r="F26" s="5">
        <v>-0.08858780614903605</v>
      </c>
      <c r="G26" s="4">
        <v>17.49</v>
      </c>
    </row>
    <row r="27" spans="1:7">
      <c r="A27" s="4">
        <v>26</v>
      </c>
      <c r="B27" s="1" t="s">
        <v>1298</v>
      </c>
      <c r="C27" s="1" t="s">
        <v>1299</v>
      </c>
      <c r="D27" s="1" t="s">
        <v>41</v>
      </c>
      <c r="E27" s="5">
        <v>-0.03511942830130965</v>
      </c>
      <c r="F27" s="5">
        <v>-0.08842536646876487</v>
      </c>
      <c r="G27" s="4">
        <v>347</v>
      </c>
    </row>
    <row r="28" spans="1:7">
      <c r="A28" s="4">
        <v>27</v>
      </c>
      <c r="B28" s="1" t="s">
        <v>1234</v>
      </c>
      <c r="C28" s="1" t="s">
        <v>1235</v>
      </c>
      <c r="D28" s="1" t="s">
        <v>70</v>
      </c>
      <c r="E28" s="5">
        <v>-0.002150537634408645</v>
      </c>
      <c r="F28" s="5">
        <v>-0.08514070621975267</v>
      </c>
      <c r="G28" s="4">
        <v>51.04</v>
      </c>
    </row>
    <row r="29" spans="1:7">
      <c r="A29" s="4">
        <v>28</v>
      </c>
      <c r="B29" s="1" t="s">
        <v>1394</v>
      </c>
      <c r="C29" s="1" t="s">
        <v>1395</v>
      </c>
      <c r="D29" s="1" t="s">
        <v>41</v>
      </c>
      <c r="E29" s="5">
        <v>0.009751773049645474</v>
      </c>
      <c r="F29" s="5">
        <v>-0.0836685438455349</v>
      </c>
      <c r="G29" s="4">
        <v>11.39</v>
      </c>
    </row>
    <row r="30" spans="1:7">
      <c r="A30" s="4">
        <v>29</v>
      </c>
      <c r="B30" s="1" t="s">
        <v>1276</v>
      </c>
      <c r="C30" s="1" t="s">
        <v>1277</v>
      </c>
      <c r="D30" s="1" t="s">
        <v>41</v>
      </c>
      <c r="E30" s="5">
        <v>-0.0258746355685131</v>
      </c>
      <c r="F30" s="5">
        <v>-0.08301886792452828</v>
      </c>
      <c r="G30" s="4">
        <v>106.92</v>
      </c>
    </row>
    <row r="31" spans="1:7">
      <c r="A31" s="4">
        <v>30</v>
      </c>
      <c r="B31" s="1" t="s">
        <v>1658</v>
      </c>
      <c r="C31" s="1" t="s">
        <v>1659</v>
      </c>
      <c r="D31" s="1" t="s">
        <v>41</v>
      </c>
      <c r="E31" s="5">
        <v>-0.0358514724711908</v>
      </c>
      <c r="F31" s="5">
        <v>-0.08282582216808765</v>
      </c>
      <c r="G31" s="4">
        <v>22.59</v>
      </c>
    </row>
    <row r="32" spans="1:7">
      <c r="A32" s="4">
        <v>31</v>
      </c>
      <c r="B32" s="1" t="s">
        <v>1138</v>
      </c>
      <c r="C32" s="1" t="s">
        <v>1139</v>
      </c>
      <c r="D32" s="1" t="s">
        <v>93</v>
      </c>
      <c r="E32" s="5">
        <v>-0.01463963963963966</v>
      </c>
      <c r="F32" s="5">
        <v>-0.08152554233729881</v>
      </c>
      <c r="G32" s="4">
        <v>26.25</v>
      </c>
    </row>
    <row r="33" spans="1:7">
      <c r="A33" s="4">
        <v>32</v>
      </c>
      <c r="B33" s="1" t="s">
        <v>1196</v>
      </c>
      <c r="C33" s="1" t="s">
        <v>1197</v>
      </c>
      <c r="D33" s="1" t="s">
        <v>41</v>
      </c>
      <c r="E33" s="5">
        <v>-0.04226077993471911</v>
      </c>
      <c r="F33" s="5">
        <v>-0.08010890190578335</v>
      </c>
      <c r="G33" s="4">
        <v>111.5</v>
      </c>
    </row>
    <row r="34" spans="1:7">
      <c r="A34" s="4">
        <v>33</v>
      </c>
      <c r="B34" s="1" t="s">
        <v>1096</v>
      </c>
      <c r="C34" s="1" t="s">
        <v>1097</v>
      </c>
      <c r="D34" s="1" t="s">
        <v>70</v>
      </c>
      <c r="E34" s="5">
        <v>0.02559205500381978</v>
      </c>
      <c r="F34" s="5">
        <v>-0.07921810699588472</v>
      </c>
      <c r="G34" s="4">
        <v>26.85</v>
      </c>
    </row>
    <row r="35" spans="1:7">
      <c r="A35" s="4">
        <v>34</v>
      </c>
      <c r="B35" s="1" t="s">
        <v>1652</v>
      </c>
      <c r="C35" s="1" t="s">
        <v>1653</v>
      </c>
      <c r="D35" s="1" t="s">
        <v>41</v>
      </c>
      <c r="E35" s="5">
        <v>-0.02981093223511799</v>
      </c>
      <c r="F35" s="5">
        <v>-0.07657015590200456</v>
      </c>
      <c r="G35" s="4">
        <v>621.9299999999999</v>
      </c>
    </row>
    <row r="36" spans="1:7">
      <c r="A36" s="4">
        <v>35</v>
      </c>
      <c r="B36" s="1" t="s">
        <v>1662</v>
      </c>
      <c r="C36" s="1" t="s">
        <v>1663</v>
      </c>
      <c r="D36" s="1" t="s">
        <v>41</v>
      </c>
      <c r="E36" s="5">
        <v>0.01246882793017456</v>
      </c>
      <c r="F36" s="5">
        <v>-0.0751708428246014</v>
      </c>
      <c r="G36" s="4">
        <v>4.06</v>
      </c>
    </row>
    <row r="37" spans="1:7">
      <c r="A37" s="4">
        <v>36</v>
      </c>
      <c r="B37" s="1" t="s">
        <v>1674</v>
      </c>
      <c r="C37" s="1" t="s">
        <v>1675</v>
      </c>
      <c r="D37" s="1" t="s">
        <v>37</v>
      </c>
      <c r="E37" s="5">
        <v>-0.01432340746324923</v>
      </c>
      <c r="F37" s="5">
        <v>-0.07502387605673655</v>
      </c>
      <c r="G37" s="4">
        <v>261.5</v>
      </c>
    </row>
    <row r="38" spans="1:7">
      <c r="A38" s="4">
        <v>37</v>
      </c>
      <c r="B38" s="1" t="s">
        <v>1126</v>
      </c>
      <c r="C38" s="1" t="s">
        <v>1127</v>
      </c>
      <c r="D38" s="1" t="s">
        <v>93</v>
      </c>
      <c r="E38" s="5">
        <v>-0.01551533062430743</v>
      </c>
      <c r="F38" s="5">
        <v>-0.07497396737244011</v>
      </c>
      <c r="G38" s="4">
        <v>26.65</v>
      </c>
    </row>
    <row r="39" spans="1:7">
      <c r="A39" s="4">
        <v>38</v>
      </c>
      <c r="B39" s="1" t="s">
        <v>1644</v>
      </c>
      <c r="C39" s="1" t="s">
        <v>1645</v>
      </c>
      <c r="D39" s="1" t="s">
        <v>41</v>
      </c>
      <c r="E39" s="5">
        <v>-0.01636363636363636</v>
      </c>
      <c r="F39" s="5">
        <v>-0.07470344827586206</v>
      </c>
      <c r="G39" s="4">
        <v>335.42</v>
      </c>
    </row>
    <row r="40" spans="1:7">
      <c r="A40" s="4">
        <v>39</v>
      </c>
      <c r="B40" s="1" t="s">
        <v>1226</v>
      </c>
      <c r="C40" s="1" t="s">
        <v>1227</v>
      </c>
      <c r="D40" s="1" t="s">
        <v>41</v>
      </c>
      <c r="E40" s="5">
        <v>-0.0285178895590561</v>
      </c>
      <c r="F40" s="5">
        <v>-0.07383112351709697</v>
      </c>
      <c r="G40" s="4">
        <v>331.8</v>
      </c>
    </row>
    <row r="41" spans="1:7">
      <c r="A41" s="4">
        <v>40</v>
      </c>
      <c r="B41" s="1" t="s">
        <v>1356</v>
      </c>
      <c r="C41" s="1" t="s">
        <v>1357</v>
      </c>
      <c r="D41" s="1" t="s">
        <v>70</v>
      </c>
      <c r="E41" s="5">
        <v>-0.004835924006908465</v>
      </c>
      <c r="F41" s="5">
        <v>-0.07214170692431565</v>
      </c>
      <c r="G41" s="4">
        <v>57.62</v>
      </c>
    </row>
    <row r="42" spans="1:7">
      <c r="A42" s="4">
        <v>41</v>
      </c>
      <c r="B42" s="1" t="s">
        <v>1668</v>
      </c>
      <c r="C42" s="1" t="s">
        <v>1669</v>
      </c>
      <c r="D42" s="1" t="s">
        <v>41</v>
      </c>
      <c r="E42" s="5">
        <v>0.01085645355850451</v>
      </c>
      <c r="F42" s="5">
        <v>-0.06992230854605985</v>
      </c>
      <c r="G42" s="4">
        <v>16.76</v>
      </c>
    </row>
    <row r="43" spans="1:7">
      <c r="A43" s="4">
        <v>42</v>
      </c>
      <c r="B43" s="1" t="s">
        <v>1266</v>
      </c>
      <c r="C43" s="1" t="s">
        <v>1267</v>
      </c>
      <c r="D43" s="1" t="s">
        <v>70</v>
      </c>
      <c r="E43" s="5">
        <v>-0.01620442505453423</v>
      </c>
      <c r="F43" s="5">
        <v>-0.06900619286346199</v>
      </c>
      <c r="G43" s="4">
        <v>31.57</v>
      </c>
    </row>
    <row r="44" spans="1:7">
      <c r="A44" s="4">
        <v>43</v>
      </c>
      <c r="B44" s="1" t="s">
        <v>1230</v>
      </c>
      <c r="C44" s="1" t="s">
        <v>1231</v>
      </c>
      <c r="D44" s="1" t="s">
        <v>41</v>
      </c>
      <c r="E44" s="5">
        <v>-0.01466934816041632</v>
      </c>
      <c r="F44" s="5">
        <v>-0.06625560538116593</v>
      </c>
      <c r="G44" s="4">
        <v>83.29000000000001</v>
      </c>
    </row>
    <row r="45" spans="1:7">
      <c r="A45" s="4">
        <v>44</v>
      </c>
      <c r="B45" s="1" t="s">
        <v>1192</v>
      </c>
      <c r="C45" s="1" t="s">
        <v>1193</v>
      </c>
      <c r="D45" s="1" t="s">
        <v>37</v>
      </c>
      <c r="E45" s="5">
        <v>0.002391200382592107</v>
      </c>
      <c r="F45" s="5">
        <v>-0.06574548696233551</v>
      </c>
      <c r="G45" s="4">
        <v>41.92</v>
      </c>
    </row>
    <row r="46" spans="1:7">
      <c r="A46" s="4">
        <v>45</v>
      </c>
      <c r="B46" s="1" t="s">
        <v>1152</v>
      </c>
      <c r="C46" s="1" t="s">
        <v>1153</v>
      </c>
      <c r="D46" s="1" t="s">
        <v>116</v>
      </c>
      <c r="E46" s="5">
        <v>0.02049780380673494</v>
      </c>
      <c r="F46" s="5">
        <v>-0.06568364611260058</v>
      </c>
      <c r="G46" s="4">
        <v>6.97</v>
      </c>
    </row>
    <row r="47" spans="1:7">
      <c r="A47" s="4">
        <v>46</v>
      </c>
      <c r="B47" s="1" t="s">
        <v>1616</v>
      </c>
      <c r="C47" s="1" t="s">
        <v>1617</v>
      </c>
      <c r="D47" s="1" t="s">
        <v>93</v>
      </c>
      <c r="E47" s="5">
        <v>-0.01644736842105254</v>
      </c>
      <c r="F47" s="5">
        <v>-0.06535947712418289</v>
      </c>
      <c r="G47" s="4">
        <v>32.89</v>
      </c>
    </row>
    <row r="48" spans="1:7">
      <c r="A48" s="4">
        <v>47</v>
      </c>
      <c r="B48" s="1" t="s">
        <v>1120</v>
      </c>
      <c r="C48" s="1" t="s">
        <v>1121</v>
      </c>
      <c r="D48" s="1" t="s">
        <v>41</v>
      </c>
      <c r="E48" s="5">
        <v>-0.01751313485113826</v>
      </c>
      <c r="F48" s="5">
        <v>-0.06499999999999995</v>
      </c>
      <c r="G48" s="4">
        <v>5.61</v>
      </c>
    </row>
    <row r="49" spans="1:7">
      <c r="A49" s="4">
        <v>48</v>
      </c>
      <c r="B49" s="1" t="s">
        <v>1626</v>
      </c>
      <c r="C49" s="1" t="s">
        <v>1627</v>
      </c>
      <c r="D49" s="1" t="s">
        <v>41</v>
      </c>
      <c r="E49" s="5">
        <v>0.0119798234552333</v>
      </c>
      <c r="F49" s="5">
        <v>-0.06490328594733152</v>
      </c>
      <c r="G49" s="4">
        <v>80.25</v>
      </c>
    </row>
    <row r="50" spans="1:7">
      <c r="A50" s="4">
        <v>49</v>
      </c>
      <c r="B50" s="1" t="s">
        <v>1640</v>
      </c>
      <c r="C50" s="1" t="s">
        <v>1641</v>
      </c>
      <c r="D50" s="1" t="s">
        <v>41</v>
      </c>
      <c r="E50" s="5">
        <v>-0.01215725488132202</v>
      </c>
      <c r="F50" s="5">
        <v>-0.06407379705809035</v>
      </c>
      <c r="G50" s="4">
        <v>187.7</v>
      </c>
    </row>
    <row r="51" spans="1:7">
      <c r="A51" s="4">
        <v>50</v>
      </c>
      <c r="B51" s="1" t="s">
        <v>1490</v>
      </c>
      <c r="C51" s="1" t="s">
        <v>1491</v>
      </c>
      <c r="D51" s="1" t="s">
        <v>70</v>
      </c>
      <c r="E51" s="5">
        <v>-0.01128194888178913</v>
      </c>
      <c r="F51" s="5">
        <v>-0.06390017960109651</v>
      </c>
      <c r="G51" s="4">
        <v>99.03</v>
      </c>
    </row>
    <row r="52" spans="1:7">
      <c r="A52" s="4">
        <v>51</v>
      </c>
      <c r="B52" s="1" t="s">
        <v>1198</v>
      </c>
      <c r="C52" s="1" t="s">
        <v>1199</v>
      </c>
      <c r="D52" s="1" t="s">
        <v>93</v>
      </c>
      <c r="E52" s="5">
        <v>-0.03346121057118501</v>
      </c>
      <c r="F52" s="5">
        <v>-0.06262918561389008</v>
      </c>
      <c r="G52" s="4">
        <v>45.35</v>
      </c>
    </row>
    <row r="53" spans="1:7">
      <c r="A53" s="4">
        <v>52</v>
      </c>
      <c r="B53" s="1" t="s">
        <v>1628</v>
      </c>
      <c r="C53" s="1" t="s">
        <v>1629</v>
      </c>
      <c r="D53" s="1" t="s">
        <v>70</v>
      </c>
      <c r="E53" s="5">
        <v>-0.0144965053067565</v>
      </c>
      <c r="F53" s="5">
        <v>-0.06208425720620847</v>
      </c>
      <c r="G53" s="4">
        <v>38.07</v>
      </c>
    </row>
    <row r="54" spans="1:7">
      <c r="A54" s="4">
        <v>53</v>
      </c>
      <c r="B54" s="1" t="s">
        <v>1104</v>
      </c>
      <c r="C54" s="1" t="s">
        <v>1105</v>
      </c>
      <c r="D54" s="1" t="s">
        <v>66</v>
      </c>
      <c r="E54" s="5">
        <v>0.05157894736842117</v>
      </c>
      <c r="F54" s="5">
        <v>-0.06197183098591552</v>
      </c>
      <c r="G54" s="4">
        <v>79.92</v>
      </c>
    </row>
    <row r="55" spans="1:7">
      <c r="A55" s="4">
        <v>54</v>
      </c>
      <c r="B55" s="1" t="s">
        <v>1348</v>
      </c>
      <c r="C55" s="1" t="s">
        <v>1349</v>
      </c>
      <c r="D55" s="1" t="s">
        <v>70</v>
      </c>
      <c r="E55" s="5">
        <v>0.002655337227827959</v>
      </c>
      <c r="F55" s="5">
        <v>-0.05835411471321705</v>
      </c>
      <c r="G55" s="4">
        <v>18.88</v>
      </c>
    </row>
    <row r="56" spans="1:7">
      <c r="A56" s="4">
        <v>55</v>
      </c>
      <c r="B56" s="1" t="s">
        <v>1400</v>
      </c>
      <c r="C56" s="1" t="s">
        <v>1401</v>
      </c>
      <c r="D56" s="1" t="s">
        <v>93</v>
      </c>
      <c r="E56" s="5">
        <v>-0.003503308680420369</v>
      </c>
      <c r="F56" s="5">
        <v>-0.05813097866077988</v>
      </c>
      <c r="G56" s="4">
        <v>25.6</v>
      </c>
    </row>
    <row r="57" spans="1:7">
      <c r="A57" s="4">
        <v>56</v>
      </c>
      <c r="B57" s="1" t="s">
        <v>1310</v>
      </c>
      <c r="C57" s="1" t="s">
        <v>1311</v>
      </c>
      <c r="D57" s="1" t="s">
        <v>54</v>
      </c>
      <c r="E57" s="5">
        <v>0.00797448165869219</v>
      </c>
      <c r="F57" s="5">
        <v>-0.05812220566318926</v>
      </c>
      <c r="G57" s="4">
        <v>6.32</v>
      </c>
    </row>
    <row r="58" spans="1:7">
      <c r="A58" s="4">
        <v>57</v>
      </c>
      <c r="B58" s="1" t="s">
        <v>1296</v>
      </c>
      <c r="C58" s="1" t="s">
        <v>1297</v>
      </c>
      <c r="D58" s="1" t="s">
        <v>41</v>
      </c>
      <c r="E58" s="5">
        <v>-0.02995566129555527</v>
      </c>
      <c r="F58" s="5">
        <v>-0.0577731092436975</v>
      </c>
      <c r="G58" s="4">
        <v>89.7</v>
      </c>
    </row>
    <row r="59" spans="1:7">
      <c r="A59" s="4">
        <v>58</v>
      </c>
      <c r="B59" s="1" t="s">
        <v>1600</v>
      </c>
      <c r="C59" s="1" t="s">
        <v>1601</v>
      </c>
      <c r="D59" s="1" t="s">
        <v>70</v>
      </c>
      <c r="E59" s="5">
        <v>-0.0307785153892578</v>
      </c>
      <c r="F59" s="5">
        <v>-0.05584950029394486</v>
      </c>
      <c r="G59" s="4">
        <v>16.06</v>
      </c>
    </row>
    <row r="60" spans="1:7">
      <c r="A60" s="4">
        <v>59</v>
      </c>
      <c r="B60" s="1" t="s">
        <v>1614</v>
      </c>
      <c r="C60" s="1" t="s">
        <v>1615</v>
      </c>
      <c r="D60" s="1" t="s">
        <v>37</v>
      </c>
      <c r="E60" s="5">
        <v>-0.01787652429291953</v>
      </c>
      <c r="F60" s="5">
        <v>-0.05544639567726883</v>
      </c>
      <c r="G60" s="4">
        <v>153.83</v>
      </c>
    </row>
    <row r="61" spans="1:7">
      <c r="A61" s="4">
        <v>60</v>
      </c>
      <c r="B61" s="1" t="s">
        <v>1262</v>
      </c>
      <c r="C61" s="1" t="s">
        <v>1263</v>
      </c>
      <c r="D61" s="1" t="s">
        <v>41</v>
      </c>
      <c r="E61" s="5">
        <v>-0.02035126846947299</v>
      </c>
      <c r="F61" s="5">
        <v>-0.05512234471632149</v>
      </c>
      <c r="G61" s="4">
        <v>35.14</v>
      </c>
    </row>
    <row r="62" spans="1:7">
      <c r="A62" s="4">
        <v>61</v>
      </c>
      <c r="B62" s="1" t="s">
        <v>1114</v>
      </c>
      <c r="C62" s="1" t="s">
        <v>1115</v>
      </c>
      <c r="D62" s="1" t="s">
        <v>47</v>
      </c>
      <c r="E62" s="5">
        <v>0.006195147134744339</v>
      </c>
      <c r="F62" s="5">
        <v>-0.05480116391852585</v>
      </c>
      <c r="G62" s="4">
        <v>38.98</v>
      </c>
    </row>
    <row r="63" spans="1:7">
      <c r="A63" s="4">
        <v>62</v>
      </c>
      <c r="B63" s="1" t="s">
        <v>1474</v>
      </c>
      <c r="C63" s="1" t="s">
        <v>1475</v>
      </c>
      <c r="D63" s="1" t="s">
        <v>41</v>
      </c>
      <c r="E63" s="5">
        <v>0.005982905982905962</v>
      </c>
      <c r="F63" s="5">
        <v>-0.05233494363929148</v>
      </c>
      <c r="G63" s="4">
        <v>11.77</v>
      </c>
    </row>
    <row r="64" spans="1:7">
      <c r="A64" s="4">
        <v>63</v>
      </c>
      <c r="B64" s="1" t="s">
        <v>1418</v>
      </c>
      <c r="C64" s="1" t="s">
        <v>1419</v>
      </c>
      <c r="D64" s="1" t="s">
        <v>41</v>
      </c>
      <c r="E64" s="5">
        <v>0.02721774193548376</v>
      </c>
      <c r="F64" s="5">
        <v>-0.052093023255814</v>
      </c>
      <c r="G64" s="4">
        <v>10.19</v>
      </c>
    </row>
    <row r="65" spans="1:7">
      <c r="A65" s="4">
        <v>64</v>
      </c>
      <c r="B65" s="1" t="s">
        <v>1368</v>
      </c>
      <c r="C65" s="1" t="s">
        <v>1369</v>
      </c>
      <c r="D65" s="1" t="s">
        <v>37</v>
      </c>
      <c r="E65" s="5">
        <v>0.002692998204667729</v>
      </c>
      <c r="F65" s="5">
        <v>-0.05178268251273344</v>
      </c>
      <c r="G65" s="4">
        <v>22.34</v>
      </c>
    </row>
    <row r="66" spans="1:7">
      <c r="A66" s="4">
        <v>65</v>
      </c>
      <c r="B66" s="1" t="s">
        <v>1406</v>
      </c>
      <c r="C66" s="1" t="s">
        <v>1407</v>
      </c>
      <c r="D66" s="1" t="s">
        <v>70</v>
      </c>
      <c r="E66" s="5">
        <v>-0.03676694013977511</v>
      </c>
      <c r="F66" s="5">
        <v>-0.05174992521687105</v>
      </c>
      <c r="G66" s="4">
        <v>31.7</v>
      </c>
    </row>
    <row r="67" spans="1:7">
      <c r="A67" s="4">
        <v>66</v>
      </c>
      <c r="B67" s="1" t="s">
        <v>1650</v>
      </c>
      <c r="C67" s="1" t="s">
        <v>1651</v>
      </c>
      <c r="D67" s="1" t="s">
        <v>41</v>
      </c>
      <c r="E67" s="5">
        <v>-0.01307506053268759</v>
      </c>
      <c r="F67" s="5">
        <v>-0.0510337120506611</v>
      </c>
      <c r="G67" s="4">
        <v>101.9</v>
      </c>
    </row>
    <row r="68" spans="1:7">
      <c r="A68" s="4">
        <v>67</v>
      </c>
      <c r="B68" s="1" t="s">
        <v>1088</v>
      </c>
      <c r="C68" s="1" t="s">
        <v>1089</v>
      </c>
      <c r="D68" s="1" t="s">
        <v>70</v>
      </c>
      <c r="E68" s="5">
        <v>0.004552352048558417</v>
      </c>
      <c r="F68" s="5">
        <v>-0.04885057471264365</v>
      </c>
      <c r="G68" s="4">
        <v>6.62</v>
      </c>
    </row>
    <row r="69" spans="1:7">
      <c r="A69" s="4">
        <v>68</v>
      </c>
      <c r="B69" s="1" t="s">
        <v>1256</v>
      </c>
      <c r="C69" s="1" t="s">
        <v>1257</v>
      </c>
      <c r="D69" s="1" t="s">
        <v>41</v>
      </c>
      <c r="E69" s="5">
        <v>-0.02263096204129467</v>
      </c>
      <c r="F69" s="5">
        <v>-0.04828797190517997</v>
      </c>
      <c r="G69" s="4">
        <v>108.4</v>
      </c>
    </row>
    <row r="70" spans="1:7">
      <c r="A70" s="4">
        <v>69</v>
      </c>
      <c r="B70" s="1" t="s">
        <v>1242</v>
      </c>
      <c r="C70" s="1" t="s">
        <v>1243</v>
      </c>
      <c r="D70" s="1" t="s">
        <v>37</v>
      </c>
      <c r="E70" s="5">
        <v>-0.03495994173343042</v>
      </c>
      <c r="F70" s="5">
        <v>-0.0467625899280576</v>
      </c>
      <c r="G70" s="4">
        <v>13.25</v>
      </c>
    </row>
    <row r="71" spans="1:7">
      <c r="A71" s="4">
        <v>70</v>
      </c>
      <c r="B71" s="1" t="s">
        <v>1086</v>
      </c>
      <c r="C71" s="1" t="s">
        <v>1087</v>
      </c>
      <c r="D71" s="1" t="s">
        <v>41</v>
      </c>
      <c r="E71" s="5">
        <v>-0.01639344262295084</v>
      </c>
      <c r="F71" s="5">
        <v>-0.04572564612326047</v>
      </c>
      <c r="G71" s="4">
        <v>4.8</v>
      </c>
    </row>
    <row r="72" spans="1:7">
      <c r="A72" s="4">
        <v>71</v>
      </c>
      <c r="B72" s="1" t="s">
        <v>1362</v>
      </c>
      <c r="C72" s="1" t="s">
        <v>1363</v>
      </c>
      <c r="D72" s="1" t="s">
        <v>93</v>
      </c>
      <c r="E72" s="5">
        <v>-0.05747126436781613</v>
      </c>
      <c r="F72" s="5">
        <v>-0.04424357754519503</v>
      </c>
      <c r="G72" s="4">
        <v>40.18</v>
      </c>
    </row>
    <row r="73" spans="1:7">
      <c r="A73" s="4">
        <v>72</v>
      </c>
      <c r="B73" s="1" t="s">
        <v>1440</v>
      </c>
      <c r="C73" s="1" t="s">
        <v>1441</v>
      </c>
      <c r="D73" s="1" t="s">
        <v>70</v>
      </c>
      <c r="E73" s="5">
        <v>0.01993490642799034</v>
      </c>
      <c r="F73" s="5">
        <v>-0.04422417079679752</v>
      </c>
      <c r="G73" s="4">
        <v>25.07</v>
      </c>
    </row>
    <row r="74" spans="1:7">
      <c r="A74" s="4">
        <v>73</v>
      </c>
      <c r="B74" s="1" t="s">
        <v>1594</v>
      </c>
      <c r="C74" s="1" t="s">
        <v>1595</v>
      </c>
      <c r="D74" s="1" t="s">
        <v>93</v>
      </c>
      <c r="E74" s="5">
        <v>0.001200840588411856</v>
      </c>
      <c r="F74" s="5">
        <v>-0.04001151410477832</v>
      </c>
      <c r="G74" s="4">
        <v>33.35</v>
      </c>
    </row>
    <row r="75" spans="1:7">
      <c r="A75" s="4">
        <v>74</v>
      </c>
      <c r="B75" s="1" t="s">
        <v>1352</v>
      </c>
      <c r="C75" s="1" t="s">
        <v>1353</v>
      </c>
      <c r="D75" s="1" t="s">
        <v>93</v>
      </c>
      <c r="E75" s="5">
        <v>-0.008969759097898544</v>
      </c>
      <c r="F75" s="5">
        <v>-0.03734129947722176</v>
      </c>
      <c r="G75" s="4">
        <v>38.67</v>
      </c>
    </row>
    <row r="76" spans="1:7">
      <c r="A76" s="4">
        <v>75</v>
      </c>
      <c r="B76" s="1" t="s">
        <v>1376</v>
      </c>
      <c r="C76" s="1" t="s">
        <v>1377</v>
      </c>
      <c r="D76" s="1" t="s">
        <v>37</v>
      </c>
      <c r="E76" s="5">
        <v>0.001305483028720689</v>
      </c>
      <c r="F76" s="5">
        <v>-0.03602848764139088</v>
      </c>
      <c r="G76" s="4">
        <v>46.02</v>
      </c>
    </row>
    <row r="77" spans="1:7">
      <c r="A77" s="4">
        <v>76</v>
      </c>
      <c r="B77" s="1" t="s">
        <v>1154</v>
      </c>
      <c r="C77" s="1" t="s">
        <v>1155</v>
      </c>
      <c r="D77" s="1" t="s">
        <v>93</v>
      </c>
      <c r="E77" s="5">
        <v>0.005239520958083776</v>
      </c>
      <c r="F77" s="5">
        <v>-0.03450754852624016</v>
      </c>
      <c r="G77" s="4">
        <v>26.86</v>
      </c>
    </row>
    <row r="78" spans="1:7">
      <c r="A78" s="4">
        <v>77</v>
      </c>
      <c r="B78" s="1" t="s">
        <v>1162</v>
      </c>
      <c r="C78" s="1" t="s">
        <v>1163</v>
      </c>
      <c r="D78" s="1" t="s">
        <v>70</v>
      </c>
      <c r="E78" s="5">
        <v>-0.02314049586776845</v>
      </c>
      <c r="F78" s="5">
        <v>-0.03405066739308094</v>
      </c>
      <c r="G78" s="4">
        <v>35.46</v>
      </c>
    </row>
    <row r="79" spans="1:7">
      <c r="A79" s="4">
        <v>78</v>
      </c>
      <c r="B79" s="1" t="s">
        <v>1208</v>
      </c>
      <c r="C79" s="1" t="s">
        <v>1209</v>
      </c>
      <c r="D79" s="1" t="s">
        <v>47</v>
      </c>
      <c r="E79" s="5">
        <v>0.001030809758332474</v>
      </c>
      <c r="F79" s="5">
        <v>-0.03393390074057689</v>
      </c>
      <c r="G79" s="4">
        <v>87.40000000000001</v>
      </c>
    </row>
    <row r="80" spans="1:7">
      <c r="A80" s="4">
        <v>79</v>
      </c>
      <c r="B80" s="1" t="s">
        <v>1164</v>
      </c>
      <c r="C80" s="1" t="s">
        <v>1165</v>
      </c>
      <c r="D80" s="1" t="s">
        <v>70</v>
      </c>
      <c r="E80" s="5">
        <v>-0.007268553940321443</v>
      </c>
      <c r="F80" s="5">
        <v>-0.03387937453462397</v>
      </c>
      <c r="G80" s="4">
        <v>25.95</v>
      </c>
    </row>
    <row r="81" spans="1:7">
      <c r="A81" s="4">
        <v>80</v>
      </c>
      <c r="B81" s="1" t="s">
        <v>1098</v>
      </c>
      <c r="C81" s="1" t="s">
        <v>1099</v>
      </c>
      <c r="D81" s="1" t="s">
        <v>93</v>
      </c>
      <c r="E81" s="5">
        <v>-0.01613322924798333</v>
      </c>
      <c r="F81" s="5">
        <v>-0.03286865328047062</v>
      </c>
      <c r="G81" s="4">
        <v>75.62</v>
      </c>
    </row>
    <row r="82" spans="1:7">
      <c r="A82" s="4">
        <v>81</v>
      </c>
      <c r="B82" s="1" t="s">
        <v>1134</v>
      </c>
      <c r="C82" s="1" t="s">
        <v>1135</v>
      </c>
      <c r="D82" s="1" t="s">
        <v>41</v>
      </c>
      <c r="E82" s="5">
        <v>-0.07500655651717802</v>
      </c>
      <c r="F82" s="5">
        <v>-0.03210757409440157</v>
      </c>
      <c r="G82" s="4">
        <v>35.27</v>
      </c>
    </row>
    <row r="83" spans="1:7">
      <c r="A83" s="4">
        <v>82</v>
      </c>
      <c r="B83" s="1" t="s">
        <v>1112</v>
      </c>
      <c r="C83" s="1" t="s">
        <v>1113</v>
      </c>
      <c r="D83" s="1" t="s">
        <v>93</v>
      </c>
      <c r="E83" s="5">
        <v>-0.01388888888888895</v>
      </c>
      <c r="F83" s="5">
        <v>-0.03034901365705622</v>
      </c>
      <c r="G83" s="4">
        <v>6.39</v>
      </c>
    </row>
    <row r="84" spans="1:7">
      <c r="A84" s="4">
        <v>83</v>
      </c>
      <c r="B84" s="1" t="s">
        <v>1678</v>
      </c>
      <c r="C84" s="1" t="s">
        <v>1679</v>
      </c>
      <c r="D84" s="1" t="s">
        <v>41</v>
      </c>
      <c r="E84" s="5">
        <v>-0.02203923468152102</v>
      </c>
      <c r="F84" s="5">
        <v>-0.02932692307692308</v>
      </c>
      <c r="G84" s="4">
        <v>121.14</v>
      </c>
    </row>
    <row r="85" spans="1:7">
      <c r="A85" s="4">
        <v>84</v>
      </c>
      <c r="B85" s="1" t="s">
        <v>1582</v>
      </c>
      <c r="C85" s="1" t="s">
        <v>1583</v>
      </c>
      <c r="D85" s="1" t="s">
        <v>129</v>
      </c>
      <c r="E85" s="5">
        <v>-0.005181347150259086</v>
      </c>
      <c r="F85" s="5">
        <v>-0.02932254802831147</v>
      </c>
      <c r="G85" s="4">
        <v>19.2</v>
      </c>
    </row>
    <row r="86" spans="1:7">
      <c r="A86" s="4">
        <v>85</v>
      </c>
      <c r="B86" s="1" t="s">
        <v>1132</v>
      </c>
      <c r="C86" s="1" t="s">
        <v>1133</v>
      </c>
      <c r="D86" s="1" t="s">
        <v>66</v>
      </c>
      <c r="E86" s="5">
        <v>0.0211237853823405</v>
      </c>
      <c r="F86" s="5">
        <v>-0.02931726907630505</v>
      </c>
      <c r="G86" s="4">
        <v>24.17</v>
      </c>
    </row>
    <row r="87" spans="1:7">
      <c r="A87" s="4">
        <v>86</v>
      </c>
      <c r="B87" s="1" t="s">
        <v>1620</v>
      </c>
      <c r="C87" s="1" t="s">
        <v>1621</v>
      </c>
      <c r="D87" s="1" t="s">
        <v>41</v>
      </c>
      <c r="E87" s="5">
        <v>-0.04655540218346088</v>
      </c>
      <c r="F87" s="5">
        <v>-0.02888548057259699</v>
      </c>
      <c r="G87" s="4">
        <v>75.98</v>
      </c>
    </row>
    <row r="88" spans="1:7">
      <c r="A88" s="4">
        <v>87</v>
      </c>
      <c r="B88" s="1" t="s">
        <v>1344</v>
      </c>
      <c r="C88" s="1" t="s">
        <v>1345</v>
      </c>
      <c r="D88" s="1" t="s">
        <v>70</v>
      </c>
      <c r="E88" s="5">
        <v>0.009859154929577452</v>
      </c>
      <c r="F88" s="5">
        <v>-0.02746693794506605</v>
      </c>
      <c r="G88" s="4">
        <v>28.68</v>
      </c>
    </row>
    <row r="89" spans="1:7">
      <c r="A89" s="4">
        <v>88</v>
      </c>
      <c r="B89" s="1" t="s">
        <v>1136</v>
      </c>
      <c r="C89" s="1" t="s">
        <v>1137</v>
      </c>
      <c r="D89" s="1" t="s">
        <v>37</v>
      </c>
      <c r="E89" s="5">
        <v>-0.00327749453750914</v>
      </c>
      <c r="F89" s="5">
        <v>-0.02597864768683278</v>
      </c>
      <c r="G89" s="4">
        <v>27.37</v>
      </c>
    </row>
    <row r="90" spans="1:7">
      <c r="A90" s="4">
        <v>89</v>
      </c>
      <c r="B90" s="1" t="s">
        <v>1180</v>
      </c>
      <c r="C90" s="1" t="s">
        <v>1181</v>
      </c>
      <c r="D90" s="1" t="s">
        <v>66</v>
      </c>
      <c r="E90" s="5">
        <v>0.01202086640961664</v>
      </c>
      <c r="F90" s="5">
        <v>-0.0255514304433283</v>
      </c>
      <c r="G90" s="4">
        <v>44.62</v>
      </c>
    </row>
    <row r="91" spans="1:7">
      <c r="A91" s="4">
        <v>90</v>
      </c>
      <c r="B91" s="1" t="s">
        <v>1374</v>
      </c>
      <c r="C91" s="1" t="s">
        <v>1375</v>
      </c>
      <c r="D91" s="1" t="s">
        <v>70</v>
      </c>
      <c r="E91" s="5">
        <v>-0.001763668430335152</v>
      </c>
      <c r="F91" s="5">
        <v>-0.02525832376578652</v>
      </c>
      <c r="G91" s="4">
        <v>16.98</v>
      </c>
    </row>
    <row r="92" spans="1:7">
      <c r="A92" s="4">
        <v>91</v>
      </c>
      <c r="B92" s="1" t="s">
        <v>1556</v>
      </c>
      <c r="C92" s="1" t="s">
        <v>1557</v>
      </c>
      <c r="D92" s="1" t="s">
        <v>47</v>
      </c>
      <c r="E92" s="5">
        <v>-0.04202383441354796</v>
      </c>
      <c r="F92" s="5">
        <v>-0.02344416027280483</v>
      </c>
      <c r="G92" s="4">
        <v>45.82</v>
      </c>
    </row>
    <row r="93" spans="1:7">
      <c r="A93" s="4">
        <v>92</v>
      </c>
      <c r="B93" s="1" t="s">
        <v>1264</v>
      </c>
      <c r="C93" s="1" t="s">
        <v>1265</v>
      </c>
      <c r="D93" s="1" t="s">
        <v>41</v>
      </c>
      <c r="E93" s="5">
        <v>-0.02297779847849712</v>
      </c>
      <c r="F93" s="5">
        <v>-0.0225225225225224</v>
      </c>
      <c r="G93" s="4">
        <v>62.93</v>
      </c>
    </row>
    <row r="94" spans="1:7">
      <c r="A94" s="4">
        <v>93</v>
      </c>
      <c r="B94" s="1" t="s">
        <v>1084</v>
      </c>
      <c r="C94" s="1" t="s">
        <v>1085</v>
      </c>
      <c r="D94" s="1" t="s">
        <v>41</v>
      </c>
      <c r="E94" s="5">
        <v>-0.006906906906906762</v>
      </c>
      <c r="F94" s="5">
        <v>-0.02101835405565422</v>
      </c>
      <c r="G94" s="4">
        <v>33.07</v>
      </c>
    </row>
    <row r="95" spans="1:7">
      <c r="A95" s="4">
        <v>94</v>
      </c>
      <c r="B95" s="1" t="s">
        <v>1360</v>
      </c>
      <c r="C95" s="1" t="s">
        <v>1361</v>
      </c>
      <c r="D95" s="1" t="s">
        <v>93</v>
      </c>
      <c r="E95" s="5">
        <v>-0.0163424124513617</v>
      </c>
      <c r="F95" s="5">
        <v>-0.02015503875968994</v>
      </c>
      <c r="G95" s="4">
        <v>37.92</v>
      </c>
    </row>
    <row r="96" spans="1:7">
      <c r="A96" s="4">
        <v>95</v>
      </c>
      <c r="B96" s="1" t="s">
        <v>1386</v>
      </c>
      <c r="C96" s="1" t="s">
        <v>1387</v>
      </c>
      <c r="D96" s="1" t="s">
        <v>70</v>
      </c>
      <c r="E96" s="5">
        <v>0.005312084993359889</v>
      </c>
      <c r="F96" s="5">
        <v>-0.01985325852395348</v>
      </c>
      <c r="G96" s="4">
        <v>22.71</v>
      </c>
    </row>
    <row r="97" spans="1:7">
      <c r="A97" s="4">
        <v>96</v>
      </c>
      <c r="B97" s="1" t="s">
        <v>1496</v>
      </c>
      <c r="C97" s="1" t="s">
        <v>1497</v>
      </c>
      <c r="D97" s="1" t="s">
        <v>47</v>
      </c>
      <c r="E97" s="5">
        <v>0.01267893660531705</v>
      </c>
      <c r="F97" s="5">
        <v>-0.01940594059405931</v>
      </c>
      <c r="G97" s="4">
        <v>49.52</v>
      </c>
    </row>
    <row r="98" spans="1:7">
      <c r="A98" s="4">
        <v>97</v>
      </c>
      <c r="B98" s="1" t="s">
        <v>1618</v>
      </c>
      <c r="C98" s="1" t="s">
        <v>1619</v>
      </c>
      <c r="D98" s="1" t="s">
        <v>66</v>
      </c>
      <c r="E98" s="5">
        <v>0.008206330597889888</v>
      </c>
      <c r="F98" s="5">
        <v>-0.01854493580599137</v>
      </c>
      <c r="G98" s="4">
        <v>34.4</v>
      </c>
    </row>
    <row r="99" spans="1:7">
      <c r="A99" s="4">
        <v>98</v>
      </c>
      <c r="B99" s="1" t="s">
        <v>1646</v>
      </c>
      <c r="C99" s="1" t="s">
        <v>1647</v>
      </c>
      <c r="D99" s="1" t="s">
        <v>41</v>
      </c>
      <c r="E99" s="5">
        <v>0.005667729365922858</v>
      </c>
      <c r="F99" s="5">
        <v>-0.01781698668050513</v>
      </c>
      <c r="G99" s="4">
        <v>56.78</v>
      </c>
    </row>
    <row r="100" spans="1:7">
      <c r="A100" s="4">
        <v>99</v>
      </c>
      <c r="B100" s="1" t="s">
        <v>1546</v>
      </c>
      <c r="C100" s="1" t="s">
        <v>1547</v>
      </c>
      <c r="D100" s="1" t="s">
        <v>47</v>
      </c>
      <c r="E100" s="5">
        <v>0.002012072434607548</v>
      </c>
      <c r="F100" s="5">
        <v>-0.01775147928994092</v>
      </c>
      <c r="G100" s="4">
        <v>14.94</v>
      </c>
    </row>
    <row r="101" spans="1:7">
      <c r="A101" s="4">
        <v>100</v>
      </c>
      <c r="B101" s="1" t="s">
        <v>1558</v>
      </c>
      <c r="C101" s="1" t="s">
        <v>1559</v>
      </c>
      <c r="D101" s="1" t="s">
        <v>138</v>
      </c>
      <c r="E101" s="5">
        <v>0.002925198495612236</v>
      </c>
      <c r="F101" s="5">
        <v>-0.01760130986492014</v>
      </c>
      <c r="G101" s="4">
        <v>24</v>
      </c>
    </row>
  </sheetData>
  <autoFilter ref="A1:G101"/>
  <conditionalFormatting sqref="E2:E101">
    <cfRule type="colorScale" priority="1">
      <colorScale>
        <cfvo type="min" val="0"/>
        <cfvo type="num" val="0"/>
        <cfvo type="max" val="0"/>
        <color rgb="FFF6C7CE"/>
        <color rgb="FFFFFFFF"/>
        <color rgb="FFB9E5D1"/>
      </colorScale>
    </cfRule>
  </conditionalFormatting>
  <conditionalFormatting sqref="F2:F101">
    <cfRule type="colorScale" priority="2">
      <colorScale>
        <cfvo type="min" val="0"/>
        <cfvo type="num" val="0"/>
        <cfvo type="max" val="0"/>
        <color rgb="FFF6C7CE"/>
        <color rgb="FFFFFFFF"/>
        <color rgb="FFB9E5D1"/>
      </colorScale>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F12"/>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30.7109375" style="1" customWidth="1"/>
    <col min="2" max="6" width="15.7109375" style="1" customWidth="1"/>
  </cols>
  <sheetData>
    <row r="1" spans="1:6" ht="30" customHeight="1">
      <c r="A1" s="3" t="s">
        <v>26</v>
      </c>
      <c r="B1" s="3" t="s">
        <v>1075</v>
      </c>
      <c r="C1" s="3" t="s">
        <v>1076</v>
      </c>
      <c r="D1" s="3" t="s">
        <v>1077</v>
      </c>
      <c r="E1" s="3" t="s">
        <v>1078</v>
      </c>
      <c r="F1" s="3" t="s">
        <v>1079</v>
      </c>
    </row>
    <row r="2" spans="1:6">
      <c r="A2" s="1" t="s">
        <v>138</v>
      </c>
      <c r="B2" s="4">
        <v>10</v>
      </c>
      <c r="C2" s="4">
        <v>6</v>
      </c>
      <c r="D2" s="4">
        <v>0</v>
      </c>
      <c r="E2" s="5">
        <v>0.003820513916921521</v>
      </c>
      <c r="F2" s="5">
        <v>0.7</v>
      </c>
    </row>
    <row r="3" spans="1:6">
      <c r="A3" s="1" t="s">
        <v>47</v>
      </c>
      <c r="B3" s="4">
        <v>16</v>
      </c>
      <c r="C3" s="4">
        <v>7</v>
      </c>
      <c r="D3" s="4">
        <v>3</v>
      </c>
      <c r="E3" s="5">
        <v>0.003168653034991641</v>
      </c>
      <c r="F3" s="5">
        <v>0.8125</v>
      </c>
    </row>
    <row r="4" spans="1:6">
      <c r="A4" s="1" t="s">
        <v>66</v>
      </c>
      <c r="B4" s="4">
        <v>16</v>
      </c>
      <c r="C4" s="4">
        <v>16</v>
      </c>
      <c r="D4" s="4">
        <v>0</v>
      </c>
      <c r="E4" s="5">
        <v>0.02605011250977599</v>
      </c>
      <c r="F4" s="5">
        <v>1</v>
      </c>
    </row>
    <row r="5" spans="1:6">
      <c r="A5" s="1" t="s">
        <v>129</v>
      </c>
      <c r="B5" s="4">
        <v>10</v>
      </c>
      <c r="C5" s="4">
        <v>2</v>
      </c>
      <c r="D5" s="4">
        <v>4</v>
      </c>
      <c r="E5" s="5">
        <v>-0.0009627332760407904</v>
      </c>
      <c r="F5" s="5">
        <v>0.4</v>
      </c>
    </row>
    <row r="6" spans="1:6">
      <c r="A6" s="1" t="s">
        <v>54</v>
      </c>
      <c r="B6" s="4">
        <v>53</v>
      </c>
      <c r="C6" s="4">
        <v>19</v>
      </c>
      <c r="D6" s="4">
        <v>2</v>
      </c>
      <c r="E6" s="5">
        <v>0.005925621290849793</v>
      </c>
      <c r="F6" s="5">
        <v>0.8867924528301887</v>
      </c>
    </row>
    <row r="7" spans="1:6">
      <c r="A7" s="1" t="s">
        <v>37</v>
      </c>
      <c r="B7" s="4">
        <v>18</v>
      </c>
      <c r="C7" s="4">
        <v>8</v>
      </c>
      <c r="D7" s="4">
        <v>4</v>
      </c>
      <c r="E7" s="5">
        <v>-0.0003831173967833744</v>
      </c>
      <c r="F7" s="5">
        <v>0.7222222222222222</v>
      </c>
    </row>
    <row r="8" spans="1:6">
      <c r="A8" s="1" t="s">
        <v>70</v>
      </c>
      <c r="B8" s="4">
        <v>58</v>
      </c>
      <c r="C8" s="4">
        <v>21</v>
      </c>
      <c r="D8" s="4">
        <v>14</v>
      </c>
      <c r="E8" s="5">
        <v>0.005157513382539904</v>
      </c>
      <c r="F8" s="5">
        <v>0.6206896551724138</v>
      </c>
    </row>
    <row r="9" spans="1:6">
      <c r="A9" s="1" t="s">
        <v>41</v>
      </c>
      <c r="B9" s="4">
        <v>68</v>
      </c>
      <c r="C9" s="4">
        <v>13</v>
      </c>
      <c r="D9" s="4">
        <v>45</v>
      </c>
      <c r="E9" s="5">
        <v>-0.01568345467103732</v>
      </c>
      <c r="F9" s="5">
        <v>0.2941176470588235</v>
      </c>
    </row>
    <row r="10" spans="1:6">
      <c r="A10" s="1" t="s">
        <v>93</v>
      </c>
      <c r="B10" s="4">
        <v>34</v>
      </c>
      <c r="C10" s="4">
        <v>3</v>
      </c>
      <c r="D10" s="4">
        <v>23</v>
      </c>
      <c r="E10" s="5">
        <v>-0.009273235737459714</v>
      </c>
      <c r="F10" s="5">
        <v>0.2647058823529412</v>
      </c>
    </row>
    <row r="11" spans="1:6">
      <c r="A11" s="1" t="s">
        <v>116</v>
      </c>
      <c r="B11" s="4">
        <v>4</v>
      </c>
      <c r="C11" s="4">
        <v>4</v>
      </c>
      <c r="D11" s="4">
        <v>0</v>
      </c>
      <c r="E11" s="5">
        <v>0.02696760865428498</v>
      </c>
      <c r="F11" s="5">
        <v>1</v>
      </c>
    </row>
    <row r="12" spans="1:6">
      <c r="A12" s="1" t="s">
        <v>76</v>
      </c>
      <c r="B12" s="4">
        <v>13</v>
      </c>
      <c r="C12" s="4">
        <v>1</v>
      </c>
      <c r="D12" s="4">
        <v>5</v>
      </c>
      <c r="E12" s="5">
        <v>-0.001539599023933985</v>
      </c>
      <c r="F12" s="5">
        <v>0.3846153846153846</v>
      </c>
    </row>
  </sheetData>
  <autoFilter ref="A1:F12"/>
  <conditionalFormatting sqref="E2:E12">
    <cfRule type="colorScale" priority="1">
      <colorScale>
        <cfvo type="min" val="0"/>
        <cfvo type="num" val="0"/>
        <cfvo type="max" val="0"/>
        <color rgb="FFF6C7CE"/>
        <color rgb="FFFFFFFF"/>
        <color rgb="FFB9E5D1"/>
      </colorScale>
    </cfRule>
  </conditionalFormatting>
  <conditionalFormatting sqref="F2:F12">
    <cfRule type="colorScale" priority="2">
      <colorScale>
        <cfvo type="min" val="0"/>
        <cfvo type="num" val="0"/>
        <cfvo type="max" val="0"/>
        <color rgb="FFF6C7CE"/>
        <color rgb="FFFFFFFF"/>
        <color rgb="FFB9E5D1"/>
      </colorScale>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K601"/>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2.7109375" style="1" customWidth="1"/>
    <col min="2" max="2" width="40.7109375" style="1" customWidth="1"/>
    <col min="3" max="3" width="25.7109375" style="1" customWidth="1"/>
    <col min="4" max="4" width="38.7109375" style="1" customWidth="1"/>
    <col min="5" max="10" width="15.7109375" style="1" customWidth="1"/>
    <col min="11" max="11" width="25.7109375" style="1" customWidth="1"/>
  </cols>
  <sheetData>
    <row r="1" spans="1:11" ht="30" customHeight="1">
      <c r="A1" s="3" t="s">
        <v>24</v>
      </c>
      <c r="B1" s="3" t="s">
        <v>25</v>
      </c>
      <c r="C1" s="3" t="s">
        <v>26</v>
      </c>
      <c r="D1" s="3" t="s">
        <v>27</v>
      </c>
      <c r="E1" s="3" t="s">
        <v>28</v>
      </c>
      <c r="F1" s="3" t="s">
        <v>29</v>
      </c>
      <c r="G1" s="3" t="s">
        <v>30</v>
      </c>
      <c r="H1" s="3" t="s">
        <v>31</v>
      </c>
      <c r="I1" s="3" t="s">
        <v>32</v>
      </c>
      <c r="J1" s="3" t="s">
        <v>33</v>
      </c>
      <c r="K1" s="3" t="s">
        <v>34</v>
      </c>
    </row>
    <row r="2" spans="1:11">
      <c r="A2" s="1" t="s">
        <v>1680</v>
      </c>
      <c r="B2" s="1" t="s">
        <v>1681</v>
      </c>
      <c r="C2" s="1" t="s">
        <v>76</v>
      </c>
      <c r="D2" s="1" t="s">
        <v>76</v>
      </c>
      <c r="E2" s="4">
        <v>2.274</v>
      </c>
      <c r="F2" s="4">
        <v>2.267</v>
      </c>
      <c r="G2" s="4">
        <v>2.306</v>
      </c>
      <c r="H2" s="5">
        <f>G2/F2-1</f>
        <v>0.017203352448169396</v>
      </c>
      <c r="I2" s="5">
        <f>G2/E2-1</f>
        <v>0.014072119613016687</v>
      </c>
      <c r="J2" s="5">
        <v>-0.04838709677419351</v>
      </c>
      <c r="K2" s="4">
        <v>7224479568.762</v>
      </c>
    </row>
    <row r="3" spans="1:11">
      <c r="A3" s="1" t="s">
        <v>1682</v>
      </c>
      <c r="B3" s="1" t="s">
        <v>1683</v>
      </c>
      <c r="C3" s="1" t="s">
        <v>138</v>
      </c>
      <c r="D3" s="1" t="s">
        <v>258</v>
      </c>
      <c r="E3" s="4">
        <v>3.820974490669407</v>
      </c>
      <c r="F3" s="4">
        <v>4.061919738764287</v>
      </c>
      <c r="G3" s="4">
        <v>4.064958265209534</v>
      </c>
      <c r="H3" s="5">
        <f>G3/F3-1</f>
        <v>0.0007480518180233986</v>
      </c>
      <c r="I3" s="5">
        <f>G3/E3-1</f>
        <v>0.06385380879561509</v>
      </c>
      <c r="J3" s="5">
        <v>-0.01981278642465878</v>
      </c>
      <c r="K3" s="4">
        <v>14754316398.60232</v>
      </c>
    </row>
    <row r="4" spans="1:11">
      <c r="A4" s="1" t="s">
        <v>1684</v>
      </c>
      <c r="B4" s="1" t="s">
        <v>1685</v>
      </c>
      <c r="C4" s="1" t="s">
        <v>66</v>
      </c>
      <c r="D4" s="1" t="s">
        <v>67</v>
      </c>
      <c r="E4" s="4">
        <v>17.75475155636859</v>
      </c>
      <c r="F4" s="4">
        <v>18.4367637265227</v>
      </c>
      <c r="G4" s="4">
        <v>18.66333540947492</v>
      </c>
      <c r="H4" s="5">
        <f>G4/F4-1</f>
        <v>0.012289124399109008</v>
      </c>
      <c r="I4" s="5">
        <f>G4/E4-1</f>
        <v>0.05117412373931107</v>
      </c>
      <c r="J4" s="5">
        <v>-0.0101224722316624</v>
      </c>
      <c r="K4" s="4">
        <v>4889588617.919597</v>
      </c>
    </row>
    <row r="5" spans="1:11">
      <c r="A5" s="1" t="s">
        <v>1686</v>
      </c>
      <c r="B5" s="1" t="s">
        <v>1687</v>
      </c>
      <c r="C5" s="1" t="s">
        <v>93</v>
      </c>
      <c r="D5" s="1" t="s">
        <v>93</v>
      </c>
      <c r="E5" s="4">
        <v>47.4935918507105</v>
      </c>
      <c r="F5" s="4">
        <v>48.59173326458709</v>
      </c>
      <c r="G5" s="4">
        <v>48.46770501677998</v>
      </c>
      <c r="H5" s="5">
        <f>G5/F5-1</f>
        <v>-0.0025524557259928304</v>
      </c>
      <c r="I5" s="5">
        <f>G5/E5-1</f>
        <v>0.0205104126285387</v>
      </c>
      <c r="J5" s="5">
        <v>-0.03583817190846916</v>
      </c>
      <c r="K5" s="4">
        <v>57097393078.23341</v>
      </c>
    </row>
    <row r="6" spans="1:11">
      <c r="A6" s="1" t="s">
        <v>1688</v>
      </c>
      <c r="B6" s="1" t="s">
        <v>1689</v>
      </c>
      <c r="C6" s="1" t="s">
        <v>70</v>
      </c>
      <c r="D6" s="1" t="s">
        <v>100</v>
      </c>
      <c r="E6" s="4">
        <v>42.8</v>
      </c>
      <c r="F6" s="4">
        <v>42.16</v>
      </c>
      <c r="G6" s="4">
        <v>42.36</v>
      </c>
      <c r="H6" s="5">
        <f>G6/F6-1</f>
        <v>0.004743833017077925</v>
      </c>
      <c r="I6" s="5">
        <f>G6/E6-1</f>
        <v>-0.010280373831775602</v>
      </c>
      <c r="J6" s="5">
        <v>-0.03832116788321183</v>
      </c>
      <c r="K6" s="4">
        <v>4576391531.88</v>
      </c>
    </row>
    <row r="7" spans="1:11">
      <c r="A7" s="1" t="s">
        <v>1690</v>
      </c>
      <c r="B7" s="1" t="s">
        <v>1691</v>
      </c>
      <c r="C7" s="1" t="s">
        <v>70</v>
      </c>
      <c r="D7" s="1" t="s">
        <v>100</v>
      </c>
      <c r="E7" s="4">
        <v>85.69795028668317</v>
      </c>
      <c r="F7" s="4">
        <v>82.33938278283507</v>
      </c>
      <c r="G7" s="4">
        <v>82.69073965377848</v>
      </c>
      <c r="H7" s="5">
        <f>G7/F7-1</f>
        <v>0.004267178828265994</v>
      </c>
      <c r="I7" s="5">
        <f>G7/E7-1</f>
        <v>-0.03509081165704364</v>
      </c>
      <c r="J7" s="5">
        <v>-0.04073481865576078</v>
      </c>
      <c r="K7" s="4">
        <v>150757983606.3907</v>
      </c>
    </row>
    <row r="8" spans="1:11">
      <c r="A8" s="1" t="s">
        <v>1692</v>
      </c>
      <c r="B8" s="1" t="s">
        <v>1693</v>
      </c>
      <c r="C8" s="1" t="s">
        <v>54</v>
      </c>
      <c r="D8" s="1" t="s">
        <v>113</v>
      </c>
      <c r="E8" s="4">
        <v>2.835368601266907</v>
      </c>
      <c r="F8" s="4">
        <v>2.893390392712899</v>
      </c>
      <c r="G8" s="4">
        <v>2.908527665433267</v>
      </c>
      <c r="H8" s="5">
        <f>G8/F8-1</f>
        <v>0.005231673112101376</v>
      </c>
      <c r="I8" s="5">
        <f>G8/E8-1</f>
        <v>0.0258023116055075</v>
      </c>
      <c r="J8" s="5">
        <v>-0.03874908707635183</v>
      </c>
      <c r="K8" s="4">
        <v>5353861320.45435</v>
      </c>
    </row>
    <row r="9" spans="1:11">
      <c r="A9" s="1" t="s">
        <v>1694</v>
      </c>
      <c r="B9" s="1" t="s">
        <v>1695</v>
      </c>
      <c r="C9" s="1" t="s">
        <v>66</v>
      </c>
      <c r="D9" s="1" t="s">
        <v>67</v>
      </c>
      <c r="E9" s="4">
        <v>24.06793528505393</v>
      </c>
      <c r="F9" s="4">
        <v>23.74302655323537</v>
      </c>
      <c r="G9" s="4">
        <v>24.10587729111092</v>
      </c>
      <c r="H9" s="5">
        <f>G9/F9-1</f>
        <v>0.015282413009225504</v>
      </c>
      <c r="I9" s="5">
        <f>G9/E9-1</f>
        <v>0.0015764545486605108</v>
      </c>
      <c r="J9" s="5">
        <v>-0.02478663209472654</v>
      </c>
      <c r="K9" s="4">
        <v>16945158728.37711</v>
      </c>
    </row>
    <row r="10" spans="1:11">
      <c r="A10" s="1" t="s">
        <v>1696</v>
      </c>
      <c r="B10" s="1" t="s">
        <v>1697</v>
      </c>
      <c r="C10" s="1" t="s">
        <v>66</v>
      </c>
      <c r="D10" s="1" t="s">
        <v>67</v>
      </c>
      <c r="E10" s="4">
        <v>67.16</v>
      </c>
      <c r="F10" s="4">
        <v>68.86</v>
      </c>
      <c r="G10" s="4">
        <v>69.04000000000001</v>
      </c>
      <c r="H10" s="5">
        <f>G10/F10-1</f>
        <v>0.0026139994191114457</v>
      </c>
      <c r="I10" s="5">
        <f>G10/E10-1</f>
        <v>0.02799285288862441</v>
      </c>
      <c r="J10" s="5">
        <v>-0.01924759405074361</v>
      </c>
      <c r="K10" s="4">
        <v>139408885510.08</v>
      </c>
    </row>
    <row r="11" spans="1:11">
      <c r="A11" s="1" t="s">
        <v>1698</v>
      </c>
      <c r="B11" s="1" t="s">
        <v>1699</v>
      </c>
      <c r="C11" s="1" t="s">
        <v>54</v>
      </c>
      <c r="D11" s="1" t="s">
        <v>165</v>
      </c>
      <c r="E11" s="4">
        <v>40.38</v>
      </c>
      <c r="F11" s="4">
        <v>42.87</v>
      </c>
      <c r="G11" s="4">
        <v>43.13</v>
      </c>
      <c r="H11" s="5">
        <f>G11/F11-1</f>
        <v>0.0060648472125031105</v>
      </c>
      <c r="I11" s="5">
        <f>G11/E11-1</f>
        <v>0.0681030212976721</v>
      </c>
      <c r="J11" s="5">
        <v>-0.01137188482942175</v>
      </c>
      <c r="K11" s="4">
        <v>35148177301.68999</v>
      </c>
    </row>
    <row r="12" spans="1:11">
      <c r="A12" s="1" t="s">
        <v>1700</v>
      </c>
      <c r="B12" s="1" t="s">
        <v>1701</v>
      </c>
      <c r="C12" s="1" t="s">
        <v>37</v>
      </c>
      <c r="D12" s="1" t="s">
        <v>38</v>
      </c>
      <c r="E12" s="4">
        <v>101.8</v>
      </c>
      <c r="F12" s="4">
        <v>99.15000000000001</v>
      </c>
      <c r="G12" s="4">
        <v>97.59999999999999</v>
      </c>
      <c r="H12" s="5">
        <f>G12/F12-1</f>
        <v>-0.01563287947554226</v>
      </c>
      <c r="I12" s="5">
        <f>G12/E12-1</f>
        <v>-0.04125736738703345</v>
      </c>
      <c r="J12" s="5">
        <v>-0.06647116324535673</v>
      </c>
      <c r="K12" s="4">
        <v>8515970587.2</v>
      </c>
    </row>
    <row r="13" spans="1:11">
      <c r="A13" s="1" t="s">
        <v>1702</v>
      </c>
      <c r="B13" s="1" t="s">
        <v>1703</v>
      </c>
      <c r="C13" s="1" t="s">
        <v>47</v>
      </c>
      <c r="D13" s="1" t="s">
        <v>48</v>
      </c>
      <c r="E13" s="4">
        <v>45.53</v>
      </c>
      <c r="F13" s="4">
        <v>45.77</v>
      </c>
      <c r="G13" s="4">
        <v>46.9</v>
      </c>
      <c r="H13" s="5">
        <f>G13/F13-1</f>
        <v>0.024688660694778042</v>
      </c>
      <c r="I13" s="5">
        <f>G13/E13-1</f>
        <v>0.03009005051614322</v>
      </c>
      <c r="J13" s="5">
        <v>-0.03665473894593785</v>
      </c>
      <c r="K13" s="4">
        <v>10844162892.5</v>
      </c>
    </row>
    <row r="14" spans="1:11">
      <c r="A14" s="1" t="s">
        <v>1704</v>
      </c>
      <c r="B14" s="1" t="s">
        <v>1705</v>
      </c>
      <c r="C14" s="1" t="s">
        <v>54</v>
      </c>
      <c r="D14" s="1" t="s">
        <v>165</v>
      </c>
      <c r="E14" s="4">
        <v>19.07</v>
      </c>
      <c r="F14" s="4">
        <v>18.845</v>
      </c>
      <c r="G14" s="4">
        <v>18.805</v>
      </c>
      <c r="H14" s="5">
        <f>G14/F14-1</f>
        <v>-0.0021225789334040623</v>
      </c>
      <c r="I14" s="5">
        <f>G14/E14-1</f>
        <v>-0.013896171997902496</v>
      </c>
      <c r="J14" s="5">
        <v>-0.0434896515588159</v>
      </c>
      <c r="K14" s="4">
        <v>57503853597.725</v>
      </c>
    </row>
    <row r="15" spans="1:11">
      <c r="A15" s="1" t="s">
        <v>1706</v>
      </c>
      <c r="B15" s="1" t="s">
        <v>1707</v>
      </c>
      <c r="C15" s="1" t="s">
        <v>70</v>
      </c>
      <c r="D15" s="1" t="s">
        <v>100</v>
      </c>
      <c r="E15" s="4">
        <v>257.4</v>
      </c>
      <c r="F15" s="4">
        <v>272.6</v>
      </c>
      <c r="G15" s="4">
        <v>280.6</v>
      </c>
      <c r="H15" s="5">
        <f>G15/F15-1</f>
        <v>0.02934702861335281</v>
      </c>
      <c r="I15" s="5">
        <f>G15/E15-1</f>
        <v>0.09013209013209034</v>
      </c>
      <c r="J15" s="5">
        <v>-0.04011461318051568</v>
      </c>
      <c r="K15" s="4">
        <v>9304064650</v>
      </c>
    </row>
    <row r="16" spans="1:11">
      <c r="A16" s="1" t="s">
        <v>1708</v>
      </c>
      <c r="B16" s="1" t="s">
        <v>1709</v>
      </c>
      <c r="C16" s="1" t="s">
        <v>70</v>
      </c>
      <c r="D16" s="1" t="s">
        <v>100</v>
      </c>
      <c r="E16" s="4">
        <v>80.35518530621664</v>
      </c>
      <c r="F16" s="4">
        <v>80.82524235870109</v>
      </c>
      <c r="G16" s="4">
        <v>80.92547952228063</v>
      </c>
      <c r="H16" s="5">
        <f>G16/F16-1</f>
        <v>0.001240171518876343</v>
      </c>
      <c r="I16" s="5">
        <f>G16/E16-1</f>
        <v>0.007097167580296437</v>
      </c>
      <c r="J16" s="5">
        <v>-0.07398310030780586</v>
      </c>
      <c r="K16" s="4">
        <v>7647457814.855518</v>
      </c>
    </row>
    <row r="17" spans="1:11">
      <c r="A17" s="1" t="s">
        <v>1710</v>
      </c>
      <c r="B17" s="1" t="s">
        <v>1711</v>
      </c>
      <c r="C17" s="1" t="s">
        <v>41</v>
      </c>
      <c r="D17" s="1" t="s">
        <v>58</v>
      </c>
      <c r="E17" s="4">
        <v>53.22859171090137</v>
      </c>
      <c r="F17" s="4">
        <v>53.63280335886654</v>
      </c>
      <c r="G17" s="4">
        <v>54.64151832377689</v>
      </c>
      <c r="H17" s="5">
        <f>G17/F17-1</f>
        <v>0.01880779861833548</v>
      </c>
      <c r="I17" s="5">
        <f>G17/E17-1</f>
        <v>0.026544504888453613</v>
      </c>
      <c r="J17" s="5">
        <v>-0.04363066350254219</v>
      </c>
      <c r="K17" s="4">
        <v>4535262577.253535</v>
      </c>
    </row>
    <row r="18" spans="1:11">
      <c r="A18" s="1" t="s">
        <v>1712</v>
      </c>
      <c r="B18" s="1" t="s">
        <v>1713</v>
      </c>
      <c r="C18" s="1" t="s">
        <v>70</v>
      </c>
      <c r="D18" s="1" t="s">
        <v>100</v>
      </c>
      <c r="E18" s="4">
        <v>105</v>
      </c>
      <c r="F18" s="4">
        <v>100.7</v>
      </c>
      <c r="G18" s="4">
        <v>102.1</v>
      </c>
      <c r="H18" s="5">
        <f>G18/F18-1</f>
        <v>0.013902681231380276</v>
      </c>
      <c r="I18" s="5">
        <f>G18/E18-1</f>
        <v>-0.027619047619047654</v>
      </c>
      <c r="J18" s="5">
        <v>-0.0614285714285715</v>
      </c>
      <c r="K18" s="4">
        <v>28291694058.5</v>
      </c>
    </row>
    <row r="19" spans="1:11">
      <c r="A19" s="1" t="s">
        <v>1714</v>
      </c>
      <c r="B19" s="1" t="s">
        <v>1715</v>
      </c>
      <c r="C19" s="1" t="s">
        <v>93</v>
      </c>
      <c r="D19" s="1" t="s">
        <v>93</v>
      </c>
      <c r="E19" s="4">
        <v>17.15</v>
      </c>
      <c r="F19" s="4">
        <v>18.11</v>
      </c>
      <c r="G19" s="4">
        <v>18.36</v>
      </c>
      <c r="H19" s="5">
        <f>G19/F19-1</f>
        <v>0.013804527885146411</v>
      </c>
      <c r="I19" s="5">
        <f>G19/E19-1</f>
        <v>0.07055393586005843</v>
      </c>
      <c r="J19" s="5">
        <v>-0.01729910714285732</v>
      </c>
      <c r="K19" s="4">
        <v>4577797411.56</v>
      </c>
    </row>
    <row r="20" spans="1:11">
      <c r="A20" s="1" t="s">
        <v>1716</v>
      </c>
      <c r="B20" s="1" t="s">
        <v>1717</v>
      </c>
      <c r="C20" s="1" t="s">
        <v>66</v>
      </c>
      <c r="D20" s="1" t="s">
        <v>214</v>
      </c>
      <c r="E20" s="4">
        <v>31.04</v>
      </c>
      <c r="F20" s="4">
        <v>31.15</v>
      </c>
      <c r="G20" s="4">
        <v>31.66</v>
      </c>
      <c r="H20" s="5">
        <f>G20/F20-1</f>
        <v>0.01637239165329052</v>
      </c>
      <c r="I20" s="5">
        <f>G20/E20-1</f>
        <v>0.01997422680412364</v>
      </c>
      <c r="J20" s="5">
        <v>-0.02613129381771828</v>
      </c>
      <c r="K20" s="4">
        <v>27913356993.04</v>
      </c>
    </row>
    <row r="21" spans="1:11">
      <c r="A21" s="1" t="s">
        <v>1718</v>
      </c>
      <c r="B21" s="1" t="s">
        <v>1719</v>
      </c>
      <c r="C21" s="1" t="s">
        <v>70</v>
      </c>
      <c r="D21" s="1" t="s">
        <v>100</v>
      </c>
      <c r="E21" s="4">
        <v>30.55300598951253</v>
      </c>
      <c r="F21" s="4">
        <v>29.88089370339653</v>
      </c>
      <c r="G21" s="4">
        <v>29.73175515569197</v>
      </c>
      <c r="H21" s="5">
        <f>G21/F21-1</f>
        <v>-0.004991100640594492</v>
      </c>
      <c r="I21" s="5">
        <f>G21/E21-1</f>
        <v>-0.026879542854227223</v>
      </c>
      <c r="J21" s="5">
        <v>-0.04978726759491969</v>
      </c>
      <c r="K21" s="4">
        <v>8110643940.233752</v>
      </c>
    </row>
    <row r="22" spans="1:11">
      <c r="A22" s="1" t="s">
        <v>1720</v>
      </c>
      <c r="B22" s="1" t="s">
        <v>1721</v>
      </c>
      <c r="C22" s="1" t="s">
        <v>70</v>
      </c>
      <c r="D22" s="1" t="s">
        <v>71</v>
      </c>
      <c r="E22" s="4">
        <v>25.38881918717696</v>
      </c>
      <c r="F22" s="4">
        <v>25.27121693801076</v>
      </c>
      <c r="G22" s="4">
        <v>25.691978781318</v>
      </c>
      <c r="H22" s="5">
        <f>G22/F22-1</f>
        <v>0.016649844933837255</v>
      </c>
      <c r="I22" s="5">
        <f>G22/E22-1</f>
        <v>0.011940673250930844</v>
      </c>
      <c r="J22" s="5">
        <v>-0.03589599729463866</v>
      </c>
      <c r="K22" s="4">
        <v>4462565299.84347</v>
      </c>
    </row>
    <row r="23" spans="1:11">
      <c r="A23" s="1" t="s">
        <v>1722</v>
      </c>
      <c r="B23" s="1" t="s">
        <v>1723</v>
      </c>
      <c r="C23" s="1" t="s">
        <v>54</v>
      </c>
      <c r="D23" s="1" t="s">
        <v>55</v>
      </c>
      <c r="E23" s="4">
        <v>46.43091251498032</v>
      </c>
      <c r="F23" s="4">
        <v>44.64620091088769</v>
      </c>
      <c r="G23" s="4">
        <v>44.39576628517339</v>
      </c>
      <c r="H23" s="5">
        <f>G23/F23-1</f>
        <v>-0.005609315476005405</v>
      </c>
      <c r="I23" s="5">
        <f>G23/E23-1</f>
        <v>-0.04383170865208208</v>
      </c>
      <c r="J23" s="5">
        <v>-0.07811578095194438</v>
      </c>
      <c r="K23" s="4">
        <v>13598630807.75176</v>
      </c>
    </row>
    <row r="24" spans="1:11">
      <c r="A24" s="1" t="s">
        <v>1724</v>
      </c>
      <c r="B24" s="1" t="s">
        <v>1725</v>
      </c>
      <c r="C24" s="1" t="s">
        <v>70</v>
      </c>
      <c r="D24" s="1" t="s">
        <v>243</v>
      </c>
      <c r="E24" s="4">
        <v>109.5</v>
      </c>
      <c r="F24" s="4">
        <v>107.5</v>
      </c>
      <c r="G24" s="4">
        <v>109.4</v>
      </c>
      <c r="H24" s="5">
        <f>G24/F24-1</f>
        <v>0.017674418604651132</v>
      </c>
      <c r="I24" s="5">
        <f>G24/E24-1</f>
        <v>-0.0009132420091323423</v>
      </c>
      <c r="J24" s="5">
        <v>-0.06899563318777302</v>
      </c>
      <c r="K24" s="4">
        <v>10826289858.8</v>
      </c>
    </row>
    <row r="25" spans="1:11">
      <c r="A25" s="1" t="s">
        <v>1726</v>
      </c>
      <c r="B25" s="1" t="s">
        <v>1727</v>
      </c>
      <c r="C25" s="1" t="s">
        <v>47</v>
      </c>
      <c r="D25" s="1" t="s">
        <v>331</v>
      </c>
      <c r="E25" s="4">
        <v>154.45</v>
      </c>
      <c r="F25" s="4">
        <v>148.7</v>
      </c>
      <c r="G25" s="4">
        <v>149.15</v>
      </c>
      <c r="H25" s="5">
        <f>G25/F25-1</f>
        <v>0.0030262273032952702</v>
      </c>
      <c r="I25" s="5">
        <f>G25/E25-1</f>
        <v>-0.03431531239883445</v>
      </c>
      <c r="J25" s="5">
        <v>-0.04219001610305961</v>
      </c>
      <c r="K25" s="4">
        <v>26847000000</v>
      </c>
    </row>
    <row r="26" spans="1:11">
      <c r="A26" s="1" t="s">
        <v>1728</v>
      </c>
      <c r="B26" s="1" t="s">
        <v>1729</v>
      </c>
      <c r="C26" s="1" t="s">
        <v>54</v>
      </c>
      <c r="D26" s="1" t="s">
        <v>113</v>
      </c>
      <c r="E26" s="4">
        <v>1074</v>
      </c>
      <c r="F26" s="4">
        <v>1043</v>
      </c>
      <c r="G26" s="4">
        <v>1026.6</v>
      </c>
      <c r="H26" s="5">
        <f>G26/F26-1</f>
        <v>-0.01572387344199433</v>
      </c>
      <c r="I26" s="5">
        <f>G26/E26-1</f>
        <v>-0.04413407821229054</v>
      </c>
      <c r="J26" s="5">
        <v>-0.06052822412503489</v>
      </c>
      <c r="K26" s="4">
        <v>32526336536.4</v>
      </c>
    </row>
    <row r="27" spans="1:11">
      <c r="A27" s="1" t="s">
        <v>1730</v>
      </c>
      <c r="B27" s="1" t="s">
        <v>1731</v>
      </c>
      <c r="C27" s="1" t="s">
        <v>116</v>
      </c>
      <c r="D27" s="1" t="s">
        <v>117</v>
      </c>
      <c r="E27" s="4">
        <v>68.3</v>
      </c>
      <c r="F27" s="4">
        <v>67.59999999999999</v>
      </c>
      <c r="G27" s="4">
        <v>67.45</v>
      </c>
      <c r="H27" s="5">
        <f>G27/F27-1</f>
        <v>-0.002218934911242476</v>
      </c>
      <c r="I27" s="5">
        <f>G27/E27-1</f>
        <v>-0.012445095168374776</v>
      </c>
      <c r="J27" s="5">
        <v>-0.04037490987743331</v>
      </c>
      <c r="K27" s="4">
        <v>6248069139.8</v>
      </c>
    </row>
    <row r="28" spans="1:11">
      <c r="A28" s="1" t="s">
        <v>1732</v>
      </c>
      <c r="B28" s="1" t="s">
        <v>1733</v>
      </c>
      <c r="C28" s="1" t="s">
        <v>70</v>
      </c>
      <c r="D28" s="1" t="s">
        <v>243</v>
      </c>
      <c r="E28" s="4">
        <v>26.92</v>
      </c>
      <c r="F28" s="4">
        <v>25.8</v>
      </c>
      <c r="G28" s="4">
        <v>25.82</v>
      </c>
      <c r="H28" s="5">
        <f>G28/F28-1</f>
        <v>0.0007751937984497026</v>
      </c>
      <c r="I28" s="5">
        <f>G28/E28-1</f>
        <v>-0.040861812778603346</v>
      </c>
      <c r="J28" s="5">
        <v>-0.07023895727733531</v>
      </c>
      <c r="K28" s="4">
        <v>38730000000</v>
      </c>
    </row>
    <row r="29" spans="1:11">
      <c r="A29" s="1" t="s">
        <v>1734</v>
      </c>
      <c r="B29" s="1" t="s">
        <v>1735</v>
      </c>
      <c r="C29" s="1" t="s">
        <v>47</v>
      </c>
      <c r="D29" s="1" t="s">
        <v>120</v>
      </c>
      <c r="E29" s="4">
        <v>21.16</v>
      </c>
      <c r="F29" s="4">
        <v>21.98</v>
      </c>
      <c r="G29" s="4">
        <v>22.04</v>
      </c>
      <c r="H29" s="5">
        <f>G29/F29-1</f>
        <v>0.0027297543221109777</v>
      </c>
      <c r="I29" s="5">
        <f>G29/E29-1</f>
        <v>0.041587901701323204</v>
      </c>
      <c r="J29" s="5">
        <v>-0.06755555555555559</v>
      </c>
      <c r="K29" s="4">
        <v>4892347910.32</v>
      </c>
    </row>
    <row r="30" spans="1:11">
      <c r="A30" s="1" t="s">
        <v>1736</v>
      </c>
      <c r="B30" s="1" t="s">
        <v>1737</v>
      </c>
      <c r="C30" s="1" t="s">
        <v>54</v>
      </c>
      <c r="D30" s="1" t="s">
        <v>55</v>
      </c>
      <c r="E30" s="4">
        <v>7.756</v>
      </c>
      <c r="F30" s="4">
        <v>7.922</v>
      </c>
      <c r="G30" s="4">
        <v>7.978</v>
      </c>
      <c r="H30" s="5">
        <f>G30/F30-1</f>
        <v>0.0070689219893966815</v>
      </c>
      <c r="I30" s="5">
        <f>G30/E30-1</f>
        <v>0.02862300154718911</v>
      </c>
      <c r="J30" s="5">
        <v>-0.02641415399950164</v>
      </c>
      <c r="K30" s="4">
        <v>12617331744.008</v>
      </c>
    </row>
    <row r="31" spans="1:11">
      <c r="A31" s="1" t="s">
        <v>1738</v>
      </c>
      <c r="B31" s="1" t="s">
        <v>1739</v>
      </c>
      <c r="C31" s="1" t="s">
        <v>54</v>
      </c>
      <c r="D31" s="1" t="s">
        <v>55</v>
      </c>
      <c r="E31" s="4">
        <v>72.2</v>
      </c>
      <c r="F31" s="4">
        <v>76.3</v>
      </c>
      <c r="G31" s="4">
        <v>76.40000000000001</v>
      </c>
      <c r="H31" s="5">
        <f>G31/F31-1</f>
        <v>0.001310615989515096</v>
      </c>
      <c r="I31" s="5">
        <f>G31/E31-1</f>
        <v>0.05817174515235468</v>
      </c>
      <c r="J31" s="5">
        <v>-0.01140174379610992</v>
      </c>
      <c r="K31" s="4">
        <v>16344885050.4</v>
      </c>
    </row>
    <row r="32" spans="1:11">
      <c r="A32" s="1" t="s">
        <v>1740</v>
      </c>
      <c r="B32" s="1" t="s">
        <v>1741</v>
      </c>
      <c r="C32" s="1" t="s">
        <v>93</v>
      </c>
      <c r="D32" s="1" t="s">
        <v>93</v>
      </c>
      <c r="E32" s="4">
        <v>167.12</v>
      </c>
      <c r="F32" s="4">
        <v>172.76</v>
      </c>
      <c r="G32" s="4">
        <v>170.44</v>
      </c>
      <c r="H32" s="5">
        <f>G32/F32-1</f>
        <v>-0.013429034498726566</v>
      </c>
      <c r="I32" s="5">
        <f>G32/E32-1</f>
        <v>0.01986596457635237</v>
      </c>
      <c r="J32" s="5">
        <v>-0.02203350244545144</v>
      </c>
      <c r="K32" s="4">
        <v>108768482630.72</v>
      </c>
    </row>
    <row r="33" spans="1:11">
      <c r="A33" s="1" t="s">
        <v>1742</v>
      </c>
      <c r="B33" s="1" t="s">
        <v>1743</v>
      </c>
      <c r="C33" s="1" t="s">
        <v>54</v>
      </c>
      <c r="D33" s="1" t="s">
        <v>165</v>
      </c>
      <c r="E33" s="4">
        <v>11</v>
      </c>
      <c r="F33" s="4">
        <v>11.36</v>
      </c>
      <c r="G33" s="4">
        <v>11.465</v>
      </c>
      <c r="H33" s="5">
        <f>G33/F33-1</f>
        <v>0.009242957746478986</v>
      </c>
      <c r="I33" s="5">
        <f>G33/E33-1</f>
        <v>0.04227272727272724</v>
      </c>
      <c r="J33" s="5">
        <v>-0.02397105382180009</v>
      </c>
      <c r="K33" s="4">
        <v>23783101925.135</v>
      </c>
    </row>
    <row r="34" spans="1:11">
      <c r="A34" s="1" t="s">
        <v>1744</v>
      </c>
      <c r="B34" s="1" t="s">
        <v>1745</v>
      </c>
      <c r="C34" s="1" t="s">
        <v>70</v>
      </c>
      <c r="D34" s="1" t="s">
        <v>100</v>
      </c>
      <c r="E34" s="4">
        <v>203.7</v>
      </c>
      <c r="F34" s="4">
        <v>197</v>
      </c>
      <c r="G34" s="4">
        <v>198.96</v>
      </c>
      <c r="H34" s="5">
        <f>G34/F34-1</f>
        <v>0.009949238578680353</v>
      </c>
      <c r="I34" s="5">
        <f>G34/E34-1</f>
        <v>-0.023269513991163393</v>
      </c>
      <c r="J34" s="5">
        <v>-0.05348556551911299</v>
      </c>
      <c r="K34" s="4">
        <v>157632761569.68</v>
      </c>
    </row>
    <row r="35" spans="1:11">
      <c r="A35" s="1" t="s">
        <v>1746</v>
      </c>
      <c r="B35" s="1" t="s">
        <v>1747</v>
      </c>
      <c r="C35" s="1" t="s">
        <v>41</v>
      </c>
      <c r="D35" s="1" t="s">
        <v>63</v>
      </c>
      <c r="E35" s="4">
        <v>37.69</v>
      </c>
      <c r="F35" s="4">
        <v>35.43</v>
      </c>
      <c r="G35" s="4">
        <v>36.15</v>
      </c>
      <c r="H35" s="5">
        <f>G35/F35-1</f>
        <v>0.020321761219305623</v>
      </c>
      <c r="I35" s="5">
        <f>G35/E35-1</f>
        <v>-0.04085964446802859</v>
      </c>
      <c r="J35" s="5">
        <v>-0.06394272275678203</v>
      </c>
      <c r="K35" s="4">
        <v>4101438738</v>
      </c>
    </row>
    <row r="36" spans="1:11">
      <c r="A36" s="1" t="s">
        <v>1748</v>
      </c>
      <c r="B36" s="1" t="s">
        <v>1749</v>
      </c>
      <c r="C36" s="1" t="s">
        <v>93</v>
      </c>
      <c r="D36" s="1" t="s">
        <v>93</v>
      </c>
      <c r="E36" s="4">
        <v>59.2</v>
      </c>
      <c r="F36" s="4">
        <v>59.6</v>
      </c>
      <c r="G36" s="4">
        <v>59.3</v>
      </c>
      <c r="H36" s="5">
        <f>G36/F36-1</f>
        <v>-0.005033557046979942</v>
      </c>
      <c r="I36" s="5">
        <f>G36/E36-1</f>
        <v>0.0016891891891890332</v>
      </c>
      <c r="J36" s="5">
        <v>-0.01603375527426165</v>
      </c>
      <c r="K36" s="4">
        <v>4510407278.299999</v>
      </c>
    </row>
    <row r="37" spans="1:11">
      <c r="A37" s="1" t="s">
        <v>1750</v>
      </c>
      <c r="B37" s="1" t="s">
        <v>1751</v>
      </c>
      <c r="C37" s="1" t="s">
        <v>70</v>
      </c>
      <c r="D37" s="1" t="s">
        <v>100</v>
      </c>
      <c r="E37" s="4">
        <v>137.0468452808148</v>
      </c>
      <c r="F37" s="4">
        <v>148.4456205853896</v>
      </c>
      <c r="G37" s="4">
        <v>149.0615690506105</v>
      </c>
      <c r="H37" s="5">
        <f>G37/F37-1</f>
        <v>0.0041493205578710946</v>
      </c>
      <c r="I37" s="5">
        <f>G37/E37-1</f>
        <v>0.08766873651981544</v>
      </c>
      <c r="J37" s="5">
        <v>-0.01824450042487069</v>
      </c>
      <c r="K37" s="4">
        <v>11078533364.48294</v>
      </c>
    </row>
    <row r="38" spans="1:11">
      <c r="A38" s="1" t="s">
        <v>1752</v>
      </c>
      <c r="B38" s="1" t="s">
        <v>1753</v>
      </c>
      <c r="C38" s="1" t="s">
        <v>129</v>
      </c>
      <c r="D38" s="1" t="s">
        <v>129</v>
      </c>
      <c r="E38" s="4">
        <v>32.67756767851687</v>
      </c>
      <c r="F38" s="4">
        <v>32.94678362119618</v>
      </c>
      <c r="G38" s="4">
        <v>32.60837554013976</v>
      </c>
      <c r="H38" s="5">
        <f>G38/F38-1</f>
        <v>-0.010271354100820584</v>
      </c>
      <c r="I38" s="5">
        <f>G38/E38-1</f>
        <v>-0.002117420092518141</v>
      </c>
      <c r="J38" s="5">
        <v>-0.02335324875368261</v>
      </c>
      <c r="K38" s="4">
        <v>20609217573.38907</v>
      </c>
    </row>
    <row r="39" spans="1:11">
      <c r="A39" s="1" t="s">
        <v>1754</v>
      </c>
      <c r="B39" s="1" t="s">
        <v>1755</v>
      </c>
      <c r="C39" s="1" t="s">
        <v>93</v>
      </c>
      <c r="D39" s="1" t="s">
        <v>93</v>
      </c>
      <c r="E39" s="4">
        <v>60.36</v>
      </c>
      <c r="F39" s="4">
        <v>60.7</v>
      </c>
      <c r="G39" s="4">
        <v>60.74</v>
      </c>
      <c r="H39" s="5">
        <f>G39/F39-1</f>
        <v>0.0006589785831960793</v>
      </c>
      <c r="I39" s="5">
        <f>G39/E39-1</f>
        <v>0.006295559973492404</v>
      </c>
      <c r="J39" s="5">
        <v>-0.02971576227390182</v>
      </c>
      <c r="K39" s="4">
        <v>10392049603.92</v>
      </c>
    </row>
    <row r="40" spans="1:11">
      <c r="A40" s="1" t="s">
        <v>1756</v>
      </c>
      <c r="B40" s="1" t="s">
        <v>1757</v>
      </c>
      <c r="C40" s="1" t="s">
        <v>37</v>
      </c>
      <c r="D40" s="1" t="s">
        <v>51</v>
      </c>
      <c r="E40" s="4">
        <v>62.83091617028641</v>
      </c>
      <c r="F40" s="4">
        <v>61.84517225335967</v>
      </c>
      <c r="G40" s="4">
        <v>60.93337682820867</v>
      </c>
      <c r="H40" s="5">
        <f>G40/F40-1</f>
        <v>-0.014743194851421393</v>
      </c>
      <c r="I40" s="5">
        <f>G40/E40-1</f>
        <v>-0.03020072693091025</v>
      </c>
      <c r="J40" s="5">
        <v>-0.03277006007541328</v>
      </c>
      <c r="K40" s="4">
        <v>30448408401.05587</v>
      </c>
    </row>
    <row r="41" spans="1:11">
      <c r="A41" s="1" t="s">
        <v>1758</v>
      </c>
      <c r="B41" s="1" t="s">
        <v>1759</v>
      </c>
      <c r="C41" s="1" t="s">
        <v>47</v>
      </c>
      <c r="D41" s="1" t="s">
        <v>120</v>
      </c>
      <c r="E41" s="4">
        <v>10.45901238868452</v>
      </c>
      <c r="F41" s="4">
        <v>10.43271399245596</v>
      </c>
      <c r="G41" s="4">
        <v>10.57693736483805</v>
      </c>
      <c r="H41" s="5">
        <f>G41/F41-1</f>
        <v>0.013824147051896496</v>
      </c>
      <c r="I41" s="5">
        <f>G41/E41-1</f>
        <v>0.0112749628522395</v>
      </c>
      <c r="J41" s="5">
        <v>-0.0288794494133352</v>
      </c>
      <c r="K41" s="4">
        <v>10766919012.82198</v>
      </c>
    </row>
    <row r="42" spans="1:11">
      <c r="A42" s="1" t="s">
        <v>1760</v>
      </c>
      <c r="B42" s="1" t="s">
        <v>1761</v>
      </c>
      <c r="C42" s="1" t="s">
        <v>70</v>
      </c>
      <c r="D42" s="1" t="s">
        <v>100</v>
      </c>
      <c r="E42" s="4">
        <v>50.75887199915463</v>
      </c>
      <c r="F42" s="4">
        <v>50.02977136346728</v>
      </c>
      <c r="G42" s="4">
        <v>50.01485930851572</v>
      </c>
      <c r="H42" s="5">
        <f>G42/F42-1</f>
        <v>-0.00029806362382156504</v>
      </c>
      <c r="I42" s="5">
        <f>G42/E42-1</f>
        <v>-0.014657786143303042</v>
      </c>
      <c r="J42" s="5">
        <v>-0.04522479634946031</v>
      </c>
      <c r="K42" s="4">
        <v>20672457493.23225</v>
      </c>
    </row>
    <row r="43" spans="1:11">
      <c r="A43" s="1" t="s">
        <v>1762</v>
      </c>
      <c r="B43" s="1" t="s">
        <v>1763</v>
      </c>
      <c r="C43" s="1" t="s">
        <v>37</v>
      </c>
      <c r="D43" s="1" t="s">
        <v>38</v>
      </c>
      <c r="E43" s="4">
        <v>28.89330967228101</v>
      </c>
      <c r="F43" s="4">
        <v>27.98782830217603</v>
      </c>
      <c r="G43" s="4">
        <v>27.93406924452541</v>
      </c>
      <c r="H43" s="5">
        <f>G43/F43-1</f>
        <v>-0.0019208013237110855</v>
      </c>
      <c r="I43" s="5">
        <f>G43/E43-1</f>
        <v>-0.03319939593752563</v>
      </c>
      <c r="J43" s="5">
        <v>-0.03415930807224532</v>
      </c>
      <c r="K43" s="4">
        <v>6224378810.616593</v>
      </c>
    </row>
    <row r="44" spans="1:11">
      <c r="A44" s="1" t="s">
        <v>1764</v>
      </c>
      <c r="B44" s="1" t="s">
        <v>1765</v>
      </c>
      <c r="C44" s="1" t="s">
        <v>54</v>
      </c>
      <c r="D44" s="1" t="s">
        <v>113</v>
      </c>
      <c r="E44" s="4">
        <v>8.949999999999999</v>
      </c>
      <c r="F44" s="4">
        <v>9.005000000000001</v>
      </c>
      <c r="G44" s="4">
        <v>9.07</v>
      </c>
      <c r="H44" s="5">
        <f>G44/F44-1</f>
        <v>0.0072182121043864456</v>
      </c>
      <c r="I44" s="5">
        <f>G44/E44-1</f>
        <v>0.013407821229050487</v>
      </c>
      <c r="J44" s="5">
        <v>-0.02044198895027627</v>
      </c>
      <c r="K44" s="4">
        <v>5456047017.379999</v>
      </c>
    </row>
    <row r="45" spans="1:11">
      <c r="A45" s="1" t="s">
        <v>1766</v>
      </c>
      <c r="B45" s="1" t="s">
        <v>1767</v>
      </c>
      <c r="C45" s="1" t="s">
        <v>116</v>
      </c>
      <c r="D45" s="1" t="s">
        <v>223</v>
      </c>
      <c r="E45" s="4">
        <v>217.9848112030345</v>
      </c>
      <c r="F45" s="4">
        <v>209.8470672320894</v>
      </c>
      <c r="G45" s="4">
        <v>209.4917144006476</v>
      </c>
      <c r="H45" s="5">
        <f>G45/F45-1</f>
        <v>-0.0016933895533014498</v>
      </c>
      <c r="I45" s="5">
        <f>G45/E45-1</f>
        <v>-0.03896187424946895</v>
      </c>
      <c r="J45" s="5">
        <v>-0.05062017011673603</v>
      </c>
      <c r="K45" s="4">
        <v>3476058518.033068</v>
      </c>
    </row>
    <row r="46" spans="1:11">
      <c r="A46" s="1" t="s">
        <v>1768</v>
      </c>
      <c r="B46" s="1" t="s">
        <v>1769</v>
      </c>
      <c r="C46" s="1" t="s">
        <v>70</v>
      </c>
      <c r="D46" s="1" t="s">
        <v>100</v>
      </c>
      <c r="E46" s="4">
        <v>15.99</v>
      </c>
      <c r="F46" s="4">
        <v>16.175</v>
      </c>
      <c r="G46" s="4">
        <v>16.5</v>
      </c>
      <c r="H46" s="5">
        <f>G46/F46-1</f>
        <v>0.020092735703245657</v>
      </c>
      <c r="I46" s="5">
        <f>G46/E46-1</f>
        <v>0.031894934333958735</v>
      </c>
      <c r="J46" s="5">
        <v>-0.07275953859804796</v>
      </c>
      <c r="K46" s="4">
        <v>7633164396</v>
      </c>
    </row>
    <row r="47" spans="1:11">
      <c r="A47" s="1" t="s">
        <v>1770</v>
      </c>
      <c r="B47" s="1" t="s">
        <v>1771</v>
      </c>
      <c r="C47" s="1" t="s">
        <v>54</v>
      </c>
      <c r="D47" s="1" t="s">
        <v>165</v>
      </c>
      <c r="E47" s="4">
        <v>86.41239837172931</v>
      </c>
      <c r="F47" s="4">
        <v>91.30828306039743</v>
      </c>
      <c r="G47" s="4">
        <v>91.97640136786984</v>
      </c>
      <c r="H47" s="5">
        <f>G47/F47-1</f>
        <v>0.00731717085327821</v>
      </c>
      <c r="I47" s="5">
        <f>G47/E47-1</f>
        <v>0.06438894303344389</v>
      </c>
      <c r="J47" s="5">
        <v>-0.006582435967626421</v>
      </c>
      <c r="K47" s="4">
        <v>7890509782.729787</v>
      </c>
    </row>
    <row r="48" spans="1:11">
      <c r="A48" s="1" t="s">
        <v>1772</v>
      </c>
      <c r="B48" s="1" t="s">
        <v>1773</v>
      </c>
      <c r="C48" s="1" t="s">
        <v>54</v>
      </c>
      <c r="D48" s="1" t="s">
        <v>55</v>
      </c>
      <c r="E48" s="4">
        <v>440.8</v>
      </c>
      <c r="F48" s="4">
        <v>453.3</v>
      </c>
      <c r="G48" s="4">
        <v>450.6</v>
      </c>
      <c r="H48" s="5">
        <f>G48/F48-1</f>
        <v>-0.005956320317670349</v>
      </c>
      <c r="I48" s="5">
        <f>G48/E48-1</f>
        <v>0.022232304900181576</v>
      </c>
      <c r="J48" s="5">
        <v>-0.01439008191277391</v>
      </c>
      <c r="K48" s="4">
        <v>171416754988.2</v>
      </c>
    </row>
    <row r="49" spans="1:11">
      <c r="A49" s="1" t="s">
        <v>1774</v>
      </c>
      <c r="B49" s="1" t="s">
        <v>1775</v>
      </c>
      <c r="C49" s="1" t="s">
        <v>70</v>
      </c>
      <c r="D49" s="1" t="s">
        <v>100</v>
      </c>
      <c r="E49" s="4">
        <v>299.2</v>
      </c>
      <c r="F49" s="4">
        <v>277.6</v>
      </c>
      <c r="G49" s="4">
        <v>277.4</v>
      </c>
      <c r="H49" s="5">
        <f>G49/F49-1</f>
        <v>-0.0007204610951010437</v>
      </c>
      <c r="I49" s="5">
        <f>G49/E49-1</f>
        <v>-0.07286096256684493</v>
      </c>
      <c r="J49" s="5">
        <v>-0.07286096256684493</v>
      </c>
      <c r="K49" s="4">
        <v>21557515740.4</v>
      </c>
    </row>
    <row r="50" spans="1:11">
      <c r="A50" s="1" t="s">
        <v>1776</v>
      </c>
      <c r="B50" s="1" t="s">
        <v>1777</v>
      </c>
      <c r="C50" s="1" t="s">
        <v>47</v>
      </c>
      <c r="D50" s="1" t="s">
        <v>48</v>
      </c>
      <c r="E50" s="4">
        <v>57.26</v>
      </c>
      <c r="F50" s="4">
        <v>57.3</v>
      </c>
      <c r="G50" s="4">
        <v>57.6</v>
      </c>
      <c r="H50" s="5">
        <f>G50/F50-1</f>
        <v>0.00523560209424101</v>
      </c>
      <c r="I50" s="5">
        <f>G50/E50-1</f>
        <v>0.005937827453719846</v>
      </c>
      <c r="J50" s="5">
        <v>-0.03332190348167496</v>
      </c>
      <c r="K50" s="4">
        <v>24858506649.6</v>
      </c>
    </row>
    <row r="51" spans="1:11">
      <c r="A51" s="1" t="s">
        <v>1778</v>
      </c>
      <c r="B51" s="1" t="s">
        <v>1779</v>
      </c>
      <c r="C51" s="1" t="s">
        <v>54</v>
      </c>
      <c r="D51" s="1" t="s">
        <v>113</v>
      </c>
      <c r="E51" s="4">
        <v>94.15000000000001</v>
      </c>
      <c r="F51" s="4">
        <v>97</v>
      </c>
      <c r="G51" s="4">
        <v>97.55</v>
      </c>
      <c r="H51" s="5">
        <f>G51/F51-1</f>
        <v>0.005670103092783485</v>
      </c>
      <c r="I51" s="5">
        <f>G51/E51-1</f>
        <v>0.036112586298459703</v>
      </c>
      <c r="J51" s="5">
        <v>-0.01737753499991779</v>
      </c>
      <c r="K51" s="4">
        <v>20038649008.1</v>
      </c>
    </row>
    <row r="52" spans="1:11">
      <c r="A52" s="1" t="s">
        <v>1780</v>
      </c>
      <c r="B52" s="1" t="s">
        <v>1781</v>
      </c>
      <c r="C52" s="1" t="s">
        <v>47</v>
      </c>
      <c r="D52" s="1" t="s">
        <v>142</v>
      </c>
      <c r="E52" s="4">
        <v>36.6</v>
      </c>
      <c r="F52" s="4">
        <v>37.1</v>
      </c>
      <c r="G52" s="4">
        <v>37.65</v>
      </c>
      <c r="H52" s="5">
        <f>G52/F52-1</f>
        <v>0.014824797843665749</v>
      </c>
      <c r="I52" s="5">
        <f>G52/E52-1</f>
        <v>0.0286885245901638</v>
      </c>
      <c r="J52" s="5">
        <v>-0.04918032786885262</v>
      </c>
      <c r="K52" s="4">
        <v>3766919811.15</v>
      </c>
    </row>
    <row r="53" spans="1:11">
      <c r="A53" s="1" t="s">
        <v>1782</v>
      </c>
      <c r="B53" s="1" t="s">
        <v>1783</v>
      </c>
      <c r="C53" s="1" t="s">
        <v>76</v>
      </c>
      <c r="D53" s="1" t="s">
        <v>76</v>
      </c>
      <c r="E53" s="4">
        <v>209.8</v>
      </c>
      <c r="F53" s="4">
        <v>203.2</v>
      </c>
      <c r="G53" s="4">
        <v>203.2</v>
      </c>
      <c r="H53" s="5">
        <f>G53/F53-1</f>
        <v>0.0</v>
      </c>
      <c r="I53" s="5">
        <f>G53/E53-1</f>
        <v>-0.03145853193517645</v>
      </c>
      <c r="J53" s="5">
        <v>-0.06513589503280226</v>
      </c>
      <c r="K53" s="4">
        <v>11146871889.6</v>
      </c>
    </row>
    <row r="54" spans="1:11">
      <c r="A54" s="1" t="s">
        <v>1784</v>
      </c>
      <c r="B54" s="1" t="s">
        <v>1785</v>
      </c>
      <c r="C54" s="1" t="s">
        <v>70</v>
      </c>
      <c r="D54" s="1" t="s">
        <v>100</v>
      </c>
      <c r="E54" s="4">
        <v>80.8</v>
      </c>
      <c r="F54" s="4">
        <v>83.7</v>
      </c>
      <c r="G54" s="4">
        <v>84.3</v>
      </c>
      <c r="H54" s="5">
        <f>G54/F54-1</f>
        <v>0.007168458781361853</v>
      </c>
      <c r="I54" s="5">
        <f>G54/E54-1</f>
        <v>0.043316831683168244</v>
      </c>
      <c r="J54" s="5">
        <v>-0.007246376811594124</v>
      </c>
      <c r="K54" s="4">
        <v>8767199999.999998</v>
      </c>
    </row>
    <row r="55" spans="1:11">
      <c r="A55" s="1" t="s">
        <v>1786</v>
      </c>
      <c r="B55" s="1" t="s">
        <v>1787</v>
      </c>
      <c r="C55" s="1" t="s">
        <v>93</v>
      </c>
      <c r="D55" s="1" t="s">
        <v>93</v>
      </c>
      <c r="E55" s="4">
        <v>45.60178907721281</v>
      </c>
      <c r="F55" s="4">
        <v>45.79843602303</v>
      </c>
      <c r="G55" s="4">
        <v>45.54754324068497</v>
      </c>
      <c r="H55" s="5">
        <f>G55/F55-1</f>
        <v>-0.005478195417390919</v>
      </c>
      <c r="I55" s="5">
        <f>G55/E55-1</f>
        <v>-0.0011895550070633032</v>
      </c>
      <c r="J55" s="5">
        <v>-0.05006840028346682</v>
      </c>
      <c r="K55" s="4">
        <v>44903350444.63126</v>
      </c>
    </row>
    <row r="56" spans="1:11">
      <c r="A56" s="1" t="s">
        <v>1788</v>
      </c>
      <c r="B56" s="1" t="s">
        <v>1789</v>
      </c>
      <c r="C56" s="1" t="s">
        <v>70</v>
      </c>
      <c r="D56" s="1" t="s">
        <v>71</v>
      </c>
      <c r="E56" s="4">
        <v>43.62</v>
      </c>
      <c r="F56" s="4">
        <v>44.38</v>
      </c>
      <c r="G56" s="4">
        <v>44.42</v>
      </c>
      <c r="H56" s="5">
        <f>G56/F56-1</f>
        <v>0.0009013068949976777</v>
      </c>
      <c r="I56" s="5">
        <f>G56/E56-1</f>
        <v>0.018340210912425547</v>
      </c>
      <c r="J56" s="5">
        <v>-0.04867448935245544</v>
      </c>
      <c r="K56" s="4">
        <v>3814180823.9</v>
      </c>
    </row>
    <row r="57" spans="1:11">
      <c r="A57" s="1" t="s">
        <v>1790</v>
      </c>
      <c r="B57" s="1" t="s">
        <v>1791</v>
      </c>
      <c r="C57" s="1" t="s">
        <v>37</v>
      </c>
      <c r="D57" s="1" t="s">
        <v>38</v>
      </c>
      <c r="E57" s="4">
        <v>902</v>
      </c>
      <c r="F57" s="4">
        <v>912.4</v>
      </c>
      <c r="G57" s="4">
        <v>893.6</v>
      </c>
      <c r="H57" s="5">
        <f>G57/F57-1</f>
        <v>-0.020604997807978864</v>
      </c>
      <c r="I57" s="5">
        <f>G57/E57-1</f>
        <v>-0.009312638580931232</v>
      </c>
      <c r="J57" s="5">
        <v>-0.04190687361419065</v>
      </c>
      <c r="K57" s="4">
        <v>55904503344.8</v>
      </c>
    </row>
    <row r="58" spans="1:11">
      <c r="A58" s="1" t="s">
        <v>1792</v>
      </c>
      <c r="B58" s="1" t="s">
        <v>1793</v>
      </c>
      <c r="C58" s="1" t="s">
        <v>41</v>
      </c>
      <c r="D58" s="1" t="s">
        <v>63</v>
      </c>
      <c r="E58" s="4">
        <v>830.4</v>
      </c>
      <c r="F58" s="4">
        <v>777</v>
      </c>
      <c r="G58" s="4">
        <v>825.2</v>
      </c>
      <c r="H58" s="5">
        <f>G58/F58-1</f>
        <v>0.06203346203346216</v>
      </c>
      <c r="I58" s="5">
        <f>G58/E58-1</f>
        <v>-0.00626204238920991</v>
      </c>
      <c r="J58" s="5">
        <v>-0.06430635838150289</v>
      </c>
      <c r="K58" s="4">
        <v>40705917809.60001</v>
      </c>
    </row>
    <row r="59" spans="1:11">
      <c r="A59" s="1" t="s">
        <v>1794</v>
      </c>
      <c r="B59" s="1" t="s">
        <v>1795</v>
      </c>
      <c r="C59" s="1" t="s">
        <v>41</v>
      </c>
      <c r="D59" s="1" t="s">
        <v>63</v>
      </c>
      <c r="E59" s="4">
        <v>1506</v>
      </c>
      <c r="F59" s="4">
        <v>1423.4</v>
      </c>
      <c r="G59" s="4">
        <v>1467.4</v>
      </c>
      <c r="H59" s="5">
        <f>G59/F59-1</f>
        <v>0.03091190108191655</v>
      </c>
      <c r="I59" s="5">
        <f>G59/E59-1</f>
        <v>-0.02563081009296142</v>
      </c>
      <c r="J59" s="5">
        <v>-0.05484727755644081</v>
      </c>
      <c r="K59" s="4">
        <v>569567896827.6001</v>
      </c>
    </row>
    <row r="60" spans="1:11">
      <c r="A60" s="1" t="s">
        <v>1796</v>
      </c>
      <c r="B60" s="1" t="s">
        <v>1797</v>
      </c>
      <c r="C60" s="1" t="s">
        <v>54</v>
      </c>
      <c r="D60" s="1" t="s">
        <v>55</v>
      </c>
      <c r="E60" s="4">
        <v>69.45999999999999</v>
      </c>
      <c r="F60" s="4">
        <v>74.22</v>
      </c>
      <c r="G60" s="4">
        <v>74.42</v>
      </c>
      <c r="H60" s="5">
        <f>G60/F60-1</f>
        <v>0.00269469145782808</v>
      </c>
      <c r="I60" s="5">
        <f>G60/E60-1</f>
        <v>0.07140800460696806</v>
      </c>
      <c r="J60" s="5">
        <v>-0.01441085052274649</v>
      </c>
      <c r="K60" s="4">
        <v>15029472792.68</v>
      </c>
    </row>
    <row r="61" spans="1:11">
      <c r="A61" s="1" t="s">
        <v>1798</v>
      </c>
      <c r="B61" s="1" t="s">
        <v>1799</v>
      </c>
      <c r="C61" s="1" t="s">
        <v>70</v>
      </c>
      <c r="D61" s="1" t="s">
        <v>100</v>
      </c>
      <c r="E61" s="4">
        <v>32.05442665092729</v>
      </c>
      <c r="F61" s="4">
        <v>31.60201876291062</v>
      </c>
      <c r="G61" s="4">
        <v>31.69347507819223</v>
      </c>
      <c r="H61" s="5">
        <f>G61/F61-1</f>
        <v>0.002894002309401289</v>
      </c>
      <c r="I61" s="5">
        <f>G61/E61-1</f>
        <v>-0.011260584276419183</v>
      </c>
      <c r="J61" s="5">
        <v>-0.02291782821167976</v>
      </c>
      <c r="K61" s="4">
        <v>35261410314.21547</v>
      </c>
    </row>
    <row r="62" spans="1:11">
      <c r="A62" s="1" t="s">
        <v>1800</v>
      </c>
      <c r="B62" s="1" t="s">
        <v>1801</v>
      </c>
      <c r="C62" s="1" t="s">
        <v>70</v>
      </c>
      <c r="D62" s="1" t="s">
        <v>100</v>
      </c>
      <c r="E62" s="4">
        <v>18.51450658985558</v>
      </c>
      <c r="F62" s="4">
        <v>18.07631868788101</v>
      </c>
      <c r="G62" s="4">
        <v>18.15940735598862</v>
      </c>
      <c r="H62" s="5">
        <f>G62/F62-1</f>
        <v>0.00459654808826282</v>
      </c>
      <c r="I62" s="5">
        <f>G62/E62-1</f>
        <v>-0.019179513758229128</v>
      </c>
      <c r="J62" s="5">
        <v>-0.05287583871451362</v>
      </c>
      <c r="K62" s="4">
        <v>85685321277.66574</v>
      </c>
    </row>
    <row r="63" spans="1:11">
      <c r="A63" s="1" t="s">
        <v>1802</v>
      </c>
      <c r="B63" s="1" t="s">
        <v>1803</v>
      </c>
      <c r="C63" s="1" t="s">
        <v>41</v>
      </c>
      <c r="D63" s="1" t="s">
        <v>42</v>
      </c>
      <c r="E63" s="4">
        <v>140.6</v>
      </c>
      <c r="F63" s="4">
        <v>148.8</v>
      </c>
      <c r="G63" s="4">
        <v>165.4</v>
      </c>
      <c r="H63" s="5">
        <f>G63/F63-1</f>
        <v>0.11155913978494625</v>
      </c>
      <c r="I63" s="5">
        <f>G63/E63-1</f>
        <v>0.17638691322901856</v>
      </c>
      <c r="J63" s="5">
        <v>-0.0839260312944522</v>
      </c>
      <c r="K63" s="4">
        <v>6425790000.000001</v>
      </c>
    </row>
    <row r="64" spans="1:11">
      <c r="A64" s="1" t="s">
        <v>1804</v>
      </c>
      <c r="B64" s="1" t="s">
        <v>1805</v>
      </c>
      <c r="C64" s="1" t="s">
        <v>138</v>
      </c>
      <c r="D64" s="1" t="s">
        <v>139</v>
      </c>
      <c r="E64" s="4">
        <v>6.385418250299607</v>
      </c>
      <c r="F64" s="4">
        <v>5.961361863023117</v>
      </c>
      <c r="G64" s="4">
        <v>5.875225884175201</v>
      </c>
      <c r="H64" s="5">
        <f>G64/F64-1</f>
        <v>-0.01444904383043688</v>
      </c>
      <c r="I64" s="5">
        <f>G64/E64-1</f>
        <v>-0.07989960032774168</v>
      </c>
      <c r="J64" s="5">
        <v>-0.09093774244881825</v>
      </c>
      <c r="K64" s="4">
        <v>4568552211.258584</v>
      </c>
    </row>
    <row r="65" spans="1:11">
      <c r="A65" s="1" t="s">
        <v>1806</v>
      </c>
      <c r="B65" s="1" t="s">
        <v>1807</v>
      </c>
      <c r="C65" s="1" t="s">
        <v>54</v>
      </c>
      <c r="D65" s="1" t="s">
        <v>55</v>
      </c>
      <c r="E65" s="4">
        <v>8.37531450094162</v>
      </c>
      <c r="F65" s="4">
        <v>8.433429921801153</v>
      </c>
      <c r="G65" s="4">
        <v>8.490573960932796</v>
      </c>
      <c r="H65" s="5">
        <f>G65/F65-1</f>
        <v>0.006775895414026012</v>
      </c>
      <c r="I65" s="5">
        <f>G65/E65-1</f>
        <v>0.013761806792833564</v>
      </c>
      <c r="J65" s="5">
        <v>-0.01278133168069162</v>
      </c>
      <c r="K65" s="4">
        <v>25484039014.10375</v>
      </c>
    </row>
    <row r="66" spans="1:11">
      <c r="A66" s="1" t="s">
        <v>1808</v>
      </c>
      <c r="B66" s="1" t="s">
        <v>1809</v>
      </c>
      <c r="C66" s="1" t="s">
        <v>47</v>
      </c>
      <c r="D66" s="1" t="s">
        <v>120</v>
      </c>
      <c r="E66" s="4">
        <v>50.22199081638539</v>
      </c>
      <c r="F66" s="4">
        <v>47.55680487068692</v>
      </c>
      <c r="G66" s="4">
        <v>47.06651410849067</v>
      </c>
      <c r="H66" s="5">
        <f>G66/F66-1</f>
        <v>-0.010309581636727239</v>
      </c>
      <c r="I66" s="5">
        <f>G66/E66-1</f>
        <v>-0.06283057793211211</v>
      </c>
      <c r="J66" s="5">
        <v>-0.06610881422500847</v>
      </c>
      <c r="K66" s="4">
        <v>6666893545.987768</v>
      </c>
    </row>
    <row r="67" spans="1:11">
      <c r="A67" s="1" t="s">
        <v>1810</v>
      </c>
      <c r="B67" s="1" t="s">
        <v>1811</v>
      </c>
      <c r="C67" s="1" t="s">
        <v>66</v>
      </c>
      <c r="D67" s="1" t="s">
        <v>214</v>
      </c>
      <c r="E67" s="4">
        <v>22.06003007946154</v>
      </c>
      <c r="F67" s="4">
        <v>21.93308060134715</v>
      </c>
      <c r="G67" s="4">
        <v>21.90287289617259</v>
      </c>
      <c r="H67" s="5">
        <f>G67/F67-1</f>
        <v>-0.0013772668656814036</v>
      </c>
      <c r="I67" s="5">
        <f>G67/E67-1</f>
        <v>-0.007124069311005399</v>
      </c>
      <c r="J67" s="5">
        <v>-0.02593083640999971</v>
      </c>
      <c r="K67" s="4">
        <v>4749489924.114249</v>
      </c>
    </row>
    <row r="68" spans="1:11">
      <c r="A68" s="1" t="s">
        <v>1812</v>
      </c>
      <c r="B68" s="1" t="s">
        <v>1813</v>
      </c>
      <c r="C68" s="1" t="s">
        <v>70</v>
      </c>
      <c r="D68" s="1" t="s">
        <v>243</v>
      </c>
      <c r="E68" s="4">
        <v>11.43</v>
      </c>
      <c r="F68" s="4">
        <v>11.16</v>
      </c>
      <c r="G68" s="4">
        <v>11.07</v>
      </c>
      <c r="H68" s="5">
        <f>G68/F68-1</f>
        <v>-0.008064516129032251</v>
      </c>
      <c r="I68" s="5">
        <f>G68/E68-1</f>
        <v>-0.03149606299212593</v>
      </c>
      <c r="J68" s="5">
        <v>-0.05953408110440028</v>
      </c>
      <c r="K68" s="4">
        <v>8677353347.369999</v>
      </c>
    </row>
    <row r="69" spans="1:11">
      <c r="A69" s="1" t="s">
        <v>1814</v>
      </c>
      <c r="B69" s="1" t="s">
        <v>1815</v>
      </c>
      <c r="C69" s="1" t="s">
        <v>54</v>
      </c>
      <c r="D69" s="1" t="s">
        <v>113</v>
      </c>
      <c r="E69" s="4">
        <v>36.1788111184281</v>
      </c>
      <c r="F69" s="4">
        <v>36.02648161223743</v>
      </c>
      <c r="G69" s="4">
        <v>35.7698930822868</v>
      </c>
      <c r="H69" s="5">
        <f>G69/F69-1</f>
        <v>-0.007122220057799611</v>
      </c>
      <c r="I69" s="5">
        <f>G69/E69-1</f>
        <v>-0.011302694132284907</v>
      </c>
      <c r="J69" s="5">
        <v>-0.05032721077634483</v>
      </c>
      <c r="K69" s="4">
        <v>5645529710.344514</v>
      </c>
    </row>
    <row r="70" spans="1:11">
      <c r="A70" s="1" t="s">
        <v>1816</v>
      </c>
      <c r="B70" s="1" t="s">
        <v>1817</v>
      </c>
      <c r="C70" s="1" t="s">
        <v>54</v>
      </c>
      <c r="D70" s="1" t="s">
        <v>113</v>
      </c>
      <c r="E70" s="4">
        <v>38.15</v>
      </c>
      <c r="F70" s="4">
        <v>38.95</v>
      </c>
      <c r="G70" s="4">
        <v>39.23</v>
      </c>
      <c r="H70" s="5">
        <f>G70/F70-1</f>
        <v>0.007188703465981883</v>
      </c>
      <c r="I70" s="5">
        <f>G70/E70-1</f>
        <v>0.028309305373525495</v>
      </c>
      <c r="J70" s="5">
        <v>-0.03266972945380298</v>
      </c>
      <c r="K70" s="4">
        <v>5619873917.309999</v>
      </c>
    </row>
    <row r="71" spans="1:11">
      <c r="A71" s="1" t="s">
        <v>1818</v>
      </c>
      <c r="B71" s="1" t="s">
        <v>1819</v>
      </c>
      <c r="C71" s="1" t="s">
        <v>37</v>
      </c>
      <c r="D71" s="1" t="s">
        <v>38</v>
      </c>
      <c r="E71" s="4">
        <v>142.9362095531587</v>
      </c>
      <c r="F71" s="4">
        <v>141.3641178998024</v>
      </c>
      <c r="G71" s="4">
        <v>139.6791326047673</v>
      </c>
      <c r="H71" s="5">
        <f>G71/F71-1</f>
        <v>-0.01191946952358458</v>
      </c>
      <c r="I71" s="5">
        <f>G71/E71-1</f>
        <v>-0.02278692682962269</v>
      </c>
      <c r="J71" s="5">
        <v>-0.04303455376159637</v>
      </c>
      <c r="K71" s="4">
        <v>216648405264.7762</v>
      </c>
    </row>
    <row r="72" spans="1:11">
      <c r="A72" s="1" t="s">
        <v>1820</v>
      </c>
      <c r="B72" s="1" t="s">
        <v>1821</v>
      </c>
      <c r="C72" s="1" t="s">
        <v>70</v>
      </c>
      <c r="D72" s="1" t="s">
        <v>100</v>
      </c>
      <c r="E72" s="4">
        <v>24.82699195343264</v>
      </c>
      <c r="F72" s="4">
        <v>23.03306350433961</v>
      </c>
      <c r="G72" s="4">
        <v>22.76213750968076</v>
      </c>
      <c r="H72" s="5">
        <f>G72/F72-1</f>
        <v>-0.011762481990630902</v>
      </c>
      <c r="I72" s="5">
        <f>G72/E72-1</f>
        <v>-0.0831697391139804</v>
      </c>
      <c r="J72" s="5">
        <v>-0.0831697391139804</v>
      </c>
      <c r="K72" s="4">
        <v>68341480012.30965</v>
      </c>
    </row>
    <row r="73" spans="1:11">
      <c r="A73" s="1" t="s">
        <v>1822</v>
      </c>
      <c r="B73" s="1" t="s">
        <v>1823</v>
      </c>
      <c r="C73" s="1" t="s">
        <v>70</v>
      </c>
      <c r="D73" s="1" t="s">
        <v>100</v>
      </c>
      <c r="E73" s="4">
        <v>12.89812446498887</v>
      </c>
      <c r="F73" s="4">
        <v>11.55726733694251</v>
      </c>
      <c r="G73" s="4">
        <v>11.52707684364513</v>
      </c>
      <c r="H73" s="5">
        <f>G73/F73-1</f>
        <v>-0.0026122518772998538</v>
      </c>
      <c r="I73" s="5">
        <f>G73/E73-1</f>
        <v>-0.10629821607516377</v>
      </c>
      <c r="J73" s="5">
        <v>-0.1062982160751638</v>
      </c>
      <c r="K73" s="4">
        <v>5657368119.175093</v>
      </c>
    </row>
    <row r="74" spans="1:11">
      <c r="A74" s="1" t="s">
        <v>1824</v>
      </c>
      <c r="B74" s="1" t="s">
        <v>1825</v>
      </c>
      <c r="C74" s="1" t="s">
        <v>54</v>
      </c>
      <c r="D74" s="1" t="s">
        <v>113</v>
      </c>
      <c r="E74" s="4">
        <v>79.58582714902946</v>
      </c>
      <c r="F74" s="4">
        <v>80.05750918590077</v>
      </c>
      <c r="G74" s="4">
        <v>79.58558327789071</v>
      </c>
      <c r="H74" s="5">
        <f>G74/F74-1</f>
        <v>-0.0058948362596968895</v>
      </c>
      <c r="I74" s="5">
        <f>G74/E74-1</f>
        <v>-3.064253366269476e-06</v>
      </c>
      <c r="J74" s="5">
        <v>-0.02739112698883328</v>
      </c>
      <c r="K74" s="4">
        <v>16394771817.58372</v>
      </c>
    </row>
    <row r="75" spans="1:11">
      <c r="A75" s="1" t="s">
        <v>1826</v>
      </c>
      <c r="B75" s="1" t="s">
        <v>1827</v>
      </c>
      <c r="C75" s="1" t="s">
        <v>66</v>
      </c>
      <c r="D75" s="1" t="s">
        <v>67</v>
      </c>
      <c r="E75" s="4">
        <v>44.61390581587816</v>
      </c>
      <c r="F75" s="4">
        <v>40.72074380147843</v>
      </c>
      <c r="G75" s="4">
        <v>40.73732321880038</v>
      </c>
      <c r="H75" s="5">
        <f>G75/F75-1</f>
        <v>0.0004071491769104263</v>
      </c>
      <c r="I75" s="5">
        <f>G75/E75-1</f>
        <v>-0.08689180035203503</v>
      </c>
      <c r="J75" s="5">
        <v>-0.1174995950777173</v>
      </c>
      <c r="K75" s="4">
        <v>2419379074.997841</v>
      </c>
    </row>
    <row r="76" spans="1:11">
      <c r="A76" s="1" t="s">
        <v>1828</v>
      </c>
      <c r="B76" s="1" t="s">
        <v>1829</v>
      </c>
      <c r="C76" s="1" t="s">
        <v>116</v>
      </c>
      <c r="D76" s="1" t="s">
        <v>223</v>
      </c>
      <c r="E76" s="4">
        <v>4.84072492764568</v>
      </c>
      <c r="F76" s="4">
        <v>4.792116788741336</v>
      </c>
      <c r="G76" s="4">
        <v>4.834109827372193</v>
      </c>
      <c r="H76" s="5">
        <f>G76/F76-1</f>
        <v>0.008762941406085023</v>
      </c>
      <c r="I76" s="5">
        <f>G76/E76-1</f>
        <v>-0.0013665515748907398</v>
      </c>
      <c r="J76" s="5">
        <v>-0.03294029394052611</v>
      </c>
      <c r="K76" s="4">
        <v>5752590694.572909</v>
      </c>
    </row>
    <row r="77" spans="1:11">
      <c r="A77" s="1" t="s">
        <v>1830</v>
      </c>
      <c r="B77" s="1" t="s">
        <v>1831</v>
      </c>
      <c r="C77" s="1" t="s">
        <v>54</v>
      </c>
      <c r="D77" s="1" t="s">
        <v>165</v>
      </c>
      <c r="E77" s="4">
        <v>16.685</v>
      </c>
      <c r="F77" s="4">
        <v>16.295</v>
      </c>
      <c r="G77" s="4">
        <v>16.1</v>
      </c>
      <c r="H77" s="5">
        <f>G77/F77-1</f>
        <v>-0.011966861000306861</v>
      </c>
      <c r="I77" s="5">
        <f>G77/E77-1</f>
        <v>-0.03506143242433313</v>
      </c>
      <c r="J77" s="5">
        <v>-0.045549895115373</v>
      </c>
      <c r="K77" s="4">
        <v>24394432228.6</v>
      </c>
    </row>
    <row r="78" spans="1:11">
      <c r="A78" s="1" t="s">
        <v>1832</v>
      </c>
      <c r="B78" s="1" t="s">
        <v>1833</v>
      </c>
      <c r="C78" s="1" t="s">
        <v>70</v>
      </c>
      <c r="D78" s="1" t="s">
        <v>100</v>
      </c>
      <c r="E78" s="4">
        <v>11.58</v>
      </c>
      <c r="F78" s="4">
        <v>11.48</v>
      </c>
      <c r="G78" s="4">
        <v>11.42</v>
      </c>
      <c r="H78" s="5">
        <f>G78/F78-1</f>
        <v>-0.005226480836237002</v>
      </c>
      <c r="I78" s="5">
        <f>G78/E78-1</f>
        <v>-0.013816925734024155</v>
      </c>
      <c r="J78" s="5">
        <v>-0.02393160801963523</v>
      </c>
      <c r="K78" s="4">
        <v>3106240000</v>
      </c>
    </row>
    <row r="79" spans="1:11">
      <c r="A79" s="1" t="s">
        <v>1834</v>
      </c>
      <c r="B79" s="1" t="s">
        <v>1835</v>
      </c>
      <c r="C79" s="1" t="s">
        <v>54</v>
      </c>
      <c r="D79" s="1" t="s">
        <v>165</v>
      </c>
      <c r="E79" s="4">
        <v>5.752481766820751</v>
      </c>
      <c r="F79" s="4">
        <v>5.742553579101142</v>
      </c>
      <c r="G79" s="4">
        <v>5.77808106014973</v>
      </c>
      <c r="H79" s="5">
        <f>G79/F79-1</f>
        <v>0.006186704322251879</v>
      </c>
      <c r="I79" s="5">
        <f>G79/E79-1</f>
        <v>0.004450130285789111</v>
      </c>
      <c r="J79" s="5">
        <v>-0.03434199721523001</v>
      </c>
      <c r="K79" s="4">
        <v>77663613824.73697</v>
      </c>
    </row>
    <row r="80" spans="1:11">
      <c r="A80" s="1" t="s">
        <v>1836</v>
      </c>
      <c r="B80" s="1" t="s">
        <v>1837</v>
      </c>
      <c r="C80" s="1" t="s">
        <v>66</v>
      </c>
      <c r="D80" s="1" t="s">
        <v>67</v>
      </c>
      <c r="E80" s="4">
        <v>1216.013309554183</v>
      </c>
      <c r="F80" s="4">
        <v>1155.864943493826</v>
      </c>
      <c r="G80" s="4">
        <v>1155.926363215756</v>
      </c>
      <c r="H80" s="5">
        <f>G80/F80-1</f>
        <v>5.313745544066606e-05</v>
      </c>
      <c r="I80" s="5">
        <f>G80/E80-1</f>
        <v>-0.04941306634255194</v>
      </c>
      <c r="J80" s="5">
        <v>-0.0642263900358262</v>
      </c>
      <c r="K80" s="4">
        <v>6344715666.147707</v>
      </c>
    </row>
    <row r="81" spans="1:11">
      <c r="A81" s="1" t="s">
        <v>1838</v>
      </c>
      <c r="B81" s="1" t="s">
        <v>1839</v>
      </c>
      <c r="C81" s="1" t="s">
        <v>93</v>
      </c>
      <c r="D81" s="1" t="s">
        <v>93</v>
      </c>
      <c r="E81" s="4">
        <v>51.67</v>
      </c>
      <c r="F81" s="4">
        <v>53.51</v>
      </c>
      <c r="G81" s="4">
        <v>53.36</v>
      </c>
      <c r="H81" s="5">
        <f>G81/F81-1</f>
        <v>-0.0028032143524574504</v>
      </c>
      <c r="I81" s="5">
        <f>G81/E81-1</f>
        <v>0.03270756725372559</v>
      </c>
      <c r="J81" s="5">
        <v>-0.01754720579820712</v>
      </c>
      <c r="K81" s="4">
        <v>47624982671.04</v>
      </c>
    </row>
    <row r="82" spans="1:11">
      <c r="A82" s="1" t="s">
        <v>1840</v>
      </c>
      <c r="B82" s="1" t="s">
        <v>1841</v>
      </c>
      <c r="C82" s="1" t="s">
        <v>66</v>
      </c>
      <c r="D82" s="1" t="s">
        <v>67</v>
      </c>
      <c r="E82" s="4">
        <v>48.24097072419107</v>
      </c>
      <c r="F82" s="4">
        <v>48.34731975595085</v>
      </c>
      <c r="G82" s="4">
        <v>47.99070647964892</v>
      </c>
      <c r="H82" s="5">
        <f>G82/F82-1</f>
        <v>-0.007376071271418039</v>
      </c>
      <c r="I82" s="5">
        <f>G82/E82-1</f>
        <v>-0.00518779454030871</v>
      </c>
      <c r="J82" s="5">
        <v>-0.02933201935380159</v>
      </c>
      <c r="K82" s="4">
        <v>103659201144.411</v>
      </c>
    </row>
    <row r="83" spans="1:11">
      <c r="A83" s="1" t="s">
        <v>1842</v>
      </c>
      <c r="B83" s="1" t="s">
        <v>1843</v>
      </c>
      <c r="C83" s="1" t="s">
        <v>37</v>
      </c>
      <c r="D83" s="1" t="s">
        <v>38</v>
      </c>
      <c r="E83" s="4">
        <v>48.04</v>
      </c>
      <c r="F83" s="4">
        <v>49.34</v>
      </c>
      <c r="G83" s="4">
        <v>48.85</v>
      </c>
      <c r="H83" s="5">
        <f>G83/F83-1</f>
        <v>-0.009931090393190178</v>
      </c>
      <c r="I83" s="5">
        <f>G83/E83-1</f>
        <v>0.016860949208992615</v>
      </c>
      <c r="J83" s="5">
        <v>-0.01583434835566389</v>
      </c>
      <c r="K83" s="4">
        <v>47991416405.7</v>
      </c>
    </row>
    <row r="84" spans="1:11">
      <c r="A84" s="1" t="s">
        <v>1844</v>
      </c>
      <c r="B84" s="1" t="s">
        <v>1845</v>
      </c>
      <c r="C84" s="1" t="s">
        <v>116</v>
      </c>
      <c r="D84" s="1" t="s">
        <v>117</v>
      </c>
      <c r="E84" s="4">
        <v>1.849762711864407</v>
      </c>
      <c r="F84" s="4">
        <v>1.792365729999141</v>
      </c>
      <c r="G84" s="4">
        <v>1.791653041906893</v>
      </c>
      <c r="H84" s="5">
        <f>G84/F84-1</f>
        <v>-0.0003976242573261457</v>
      </c>
      <c r="I84" s="5">
        <f>G84/E84-1</f>
        <v>-0.03141466177515506</v>
      </c>
      <c r="J84" s="5">
        <v>-0.05594328721716946</v>
      </c>
      <c r="K84" s="4">
        <v>5245802683.108855</v>
      </c>
    </row>
    <row r="85" spans="1:11">
      <c r="A85" s="1" t="s">
        <v>1846</v>
      </c>
      <c r="B85" s="1" t="s">
        <v>1847</v>
      </c>
      <c r="C85" s="1" t="s">
        <v>54</v>
      </c>
      <c r="D85" s="1" t="s">
        <v>165</v>
      </c>
      <c r="E85" s="4">
        <v>24.82</v>
      </c>
      <c r="F85" s="4">
        <v>25.4</v>
      </c>
      <c r="G85" s="4">
        <v>25.39</v>
      </c>
      <c r="H85" s="5">
        <f>G85/F85-1</f>
        <v>-0.0003937007874015297</v>
      </c>
      <c r="I85" s="5">
        <f>G85/E85-1</f>
        <v>0.022965350523771244</v>
      </c>
      <c r="J85" s="5">
        <v>-0.01635420821699241</v>
      </c>
      <c r="K85" s="4">
        <v>141706782508.9</v>
      </c>
    </row>
    <row r="86" spans="1:11">
      <c r="A86" s="1" t="s">
        <v>1848</v>
      </c>
      <c r="B86" s="1" t="s">
        <v>1849</v>
      </c>
      <c r="C86" s="1" t="s">
        <v>70</v>
      </c>
      <c r="D86" s="1" t="s">
        <v>100</v>
      </c>
      <c r="E86" s="4">
        <v>10.33484848484849</v>
      </c>
      <c r="F86" s="4">
        <v>10.07914754661854</v>
      </c>
      <c r="G86" s="4">
        <v>10.17984682901644</v>
      </c>
      <c r="H86" s="5">
        <f>G86/F86-1</f>
        <v>0.009990853088729379</v>
      </c>
      <c r="I86" s="5">
        <f>G86/E86-1</f>
        <v>-0.014997961127276693</v>
      </c>
      <c r="J86" s="5">
        <v>-0.03265337532409107</v>
      </c>
      <c r="K86" s="4">
        <v>4846201726.004647</v>
      </c>
    </row>
    <row r="87" spans="1:11">
      <c r="A87" s="1" t="s">
        <v>1850</v>
      </c>
      <c r="B87" s="1" t="s">
        <v>1851</v>
      </c>
      <c r="C87" s="1" t="s">
        <v>47</v>
      </c>
      <c r="D87" s="1" t="s">
        <v>331</v>
      </c>
      <c r="E87" s="4">
        <v>88.54000000000001</v>
      </c>
      <c r="F87" s="4">
        <v>82.44</v>
      </c>
      <c r="G87" s="4">
        <v>81.04000000000001</v>
      </c>
      <c r="H87" s="5">
        <f>G87/F87-1</f>
        <v>-0.01698204754973298</v>
      </c>
      <c r="I87" s="5">
        <f>G87/E87-1</f>
        <v>-0.08470747684662294</v>
      </c>
      <c r="J87" s="5">
        <v>-0.09066427289048473</v>
      </c>
      <c r="K87" s="4">
        <v>5510720000</v>
      </c>
    </row>
    <row r="88" spans="1:11">
      <c r="A88" s="1" t="s">
        <v>1852</v>
      </c>
      <c r="B88" s="1" t="s">
        <v>1853</v>
      </c>
      <c r="C88" s="1" t="s">
        <v>41</v>
      </c>
      <c r="D88" s="1" t="s">
        <v>58</v>
      </c>
      <c r="E88" s="4">
        <v>35.5</v>
      </c>
      <c r="F88" s="4">
        <v>36.96</v>
      </c>
      <c r="G88" s="4">
        <v>36.24</v>
      </c>
      <c r="H88" s="5">
        <f>G88/F88-1</f>
        <v>-0.01948051948051943</v>
      </c>
      <c r="I88" s="5">
        <f>G88/E88-1</f>
        <v>0.02084507042253536</v>
      </c>
      <c r="J88" s="5">
        <v>-0.06157894736842118</v>
      </c>
      <c r="K88" s="4">
        <v>4566240000.000001</v>
      </c>
    </row>
    <row r="89" spans="1:11">
      <c r="A89" s="1" t="s">
        <v>1854</v>
      </c>
      <c r="B89" s="1" t="s">
        <v>1855</v>
      </c>
      <c r="C89" s="1" t="s">
        <v>54</v>
      </c>
      <c r="D89" s="1" t="s">
        <v>165</v>
      </c>
      <c r="E89" s="4">
        <v>1.0975</v>
      </c>
      <c r="F89" s="4">
        <v>1.1495</v>
      </c>
      <c r="G89" s="4">
        <v>1.1485</v>
      </c>
      <c r="H89" s="5">
        <f>G89/F89-1</f>
        <v>-0.0008699434536754147</v>
      </c>
      <c r="I89" s="5">
        <f>G89/E89-1</f>
        <v>0.04646924829157184</v>
      </c>
      <c r="J89" s="5">
        <v>-0.004496402877697925</v>
      </c>
      <c r="K89" s="4">
        <v>17003114211.7165</v>
      </c>
    </row>
    <row r="90" spans="1:11">
      <c r="A90" s="1" t="s">
        <v>1856</v>
      </c>
      <c r="B90" s="1" t="s">
        <v>1857</v>
      </c>
      <c r="C90" s="1" t="s">
        <v>54</v>
      </c>
      <c r="D90" s="1" t="s">
        <v>165</v>
      </c>
      <c r="E90" s="4">
        <v>131.538873819086</v>
      </c>
      <c r="F90" s="4">
        <v>142.3505257900606</v>
      </c>
      <c r="G90" s="4">
        <v>141.4334924633814</v>
      </c>
      <c r="H90" s="5">
        <f>G90/F90-1</f>
        <v>-0.0064420789567837256</v>
      </c>
      <c r="I90" s="5">
        <f>G90/E90-1</f>
        <v>0.07522201123528016</v>
      </c>
      <c r="J90" s="5">
        <v>-0.006442078956783726</v>
      </c>
      <c r="K90" s="4">
        <v>12172035085.03428</v>
      </c>
    </row>
    <row r="91" spans="1:11">
      <c r="A91" s="1" t="s">
        <v>1858</v>
      </c>
      <c r="B91" s="1" t="s">
        <v>1859</v>
      </c>
      <c r="C91" s="1" t="s">
        <v>70</v>
      </c>
      <c r="D91" s="1" t="s">
        <v>100</v>
      </c>
      <c r="E91" s="4">
        <v>892.7760282359574</v>
      </c>
      <c r="F91" s="4">
        <v>895.6887016003815</v>
      </c>
      <c r="G91" s="4">
        <v>892.7324580677343</v>
      </c>
      <c r="H91" s="5">
        <f>G91/F91-1</f>
        <v>-0.0033005256484368584</v>
      </c>
      <c r="I91" s="5">
        <f>G91/E91-1</f>
        <v>-4.880302208509768e-05</v>
      </c>
      <c r="J91" s="5">
        <v>-0.06710233061150095</v>
      </c>
      <c r="K91" s="4">
        <v>10980609234.23313</v>
      </c>
    </row>
    <row r="92" spans="1:11">
      <c r="A92" s="1" t="s">
        <v>1860</v>
      </c>
      <c r="B92" s="1" t="s">
        <v>1861</v>
      </c>
      <c r="C92" s="1" t="s">
        <v>66</v>
      </c>
      <c r="D92" s="1" t="s">
        <v>240</v>
      </c>
      <c r="E92" s="4">
        <v>79.59999999999999</v>
      </c>
      <c r="F92" s="4">
        <v>76.42</v>
      </c>
      <c r="G92" s="4">
        <v>76.44</v>
      </c>
      <c r="H92" s="5">
        <f>G92/F92-1</f>
        <v>0.0002617115938234882</v>
      </c>
      <c r="I92" s="5">
        <f>G92/E92-1</f>
        <v>-0.0396984924623115</v>
      </c>
      <c r="J92" s="5">
        <v>-0.05979330708661412</v>
      </c>
      <c r="K92" s="4">
        <v>18429684000</v>
      </c>
    </row>
    <row r="93" spans="1:11">
      <c r="A93" s="1" t="s">
        <v>1862</v>
      </c>
      <c r="B93" s="1" t="s">
        <v>1863</v>
      </c>
      <c r="C93" s="1" t="s">
        <v>70</v>
      </c>
      <c r="D93" s="1" t="s">
        <v>100</v>
      </c>
      <c r="E93" s="4">
        <v>11.78524772182796</v>
      </c>
      <c r="F93" s="4">
        <v>12.44436495910452</v>
      </c>
      <c r="G93" s="4">
        <v>12.49921546950852</v>
      </c>
      <c r="H93" s="5">
        <f>G93/F93-1</f>
        <v>0.00440765845298241</v>
      </c>
      <c r="I93" s="5">
        <f>G93/E93-1</f>
        <v>0.06058147987489382</v>
      </c>
      <c r="J93" s="5">
        <v>-0.02195187513765195</v>
      </c>
      <c r="K93" s="4">
        <v>6363174681.56827</v>
      </c>
    </row>
    <row r="94" spans="1:11">
      <c r="A94" s="1" t="s">
        <v>1864</v>
      </c>
      <c r="B94" s="1" t="s">
        <v>1865</v>
      </c>
      <c r="C94" s="1" t="s">
        <v>41</v>
      </c>
      <c r="D94" s="1" t="s">
        <v>63</v>
      </c>
      <c r="E94" s="4">
        <v>212.8</v>
      </c>
      <c r="F94" s="4">
        <v>191.4</v>
      </c>
      <c r="G94" s="4">
        <v>196.65</v>
      </c>
      <c r="H94" s="5">
        <f>G94/F94-1</f>
        <v>0.02742946708463956</v>
      </c>
      <c r="I94" s="5">
        <f>G94/E94-1</f>
        <v>-0.0758928571428572</v>
      </c>
      <c r="J94" s="5">
        <v>-0.1005639097744361</v>
      </c>
      <c r="K94" s="4">
        <v>15957506027.7</v>
      </c>
    </row>
    <row r="95" spans="1:11">
      <c r="A95" s="1" t="s">
        <v>1866</v>
      </c>
      <c r="B95" s="1" t="s">
        <v>1867</v>
      </c>
      <c r="C95" s="1" t="s">
        <v>54</v>
      </c>
      <c r="D95" s="1" t="s">
        <v>55</v>
      </c>
      <c r="E95" s="4">
        <v>15.13442218798151</v>
      </c>
      <c r="F95" s="4">
        <v>15.13617942768755</v>
      </c>
      <c r="G95" s="4">
        <v>15.14179502624559</v>
      </c>
      <c r="H95" s="5">
        <f>G95/F95-1</f>
        <v>0.000371005020445736</v>
      </c>
      <c r="I95" s="5">
        <f>G95/E95-1</f>
        <v>0.00048715690447265203</v>
      </c>
      <c r="J95" s="5">
        <v>-0.003081086567274127</v>
      </c>
      <c r="K95" s="4">
        <v>9113948012.600052</v>
      </c>
    </row>
    <row r="96" spans="1:11">
      <c r="A96" s="1" t="s">
        <v>1868</v>
      </c>
      <c r="B96" s="1" t="s">
        <v>1869</v>
      </c>
      <c r="C96" s="1" t="s">
        <v>70</v>
      </c>
      <c r="D96" s="1" t="s">
        <v>71</v>
      </c>
      <c r="E96" s="4">
        <v>1251.277787713782</v>
      </c>
      <c r="F96" s="4">
        <v>1220.504908188184</v>
      </c>
      <c r="G96" s="4">
        <v>1223.404113573528</v>
      </c>
      <c r="H96" s="5">
        <f>G96/F96-1</f>
        <v>0.0023754147696528616</v>
      </c>
      <c r="I96" s="5">
        <f>G96/E96-1</f>
        <v>-0.02227616794123899</v>
      </c>
      <c r="J96" s="5">
        <v>-0.05065874589934949</v>
      </c>
      <c r="K96" s="4">
        <v>4038508361.878985</v>
      </c>
    </row>
    <row r="97" spans="1:11">
      <c r="A97" s="1" t="s">
        <v>1870</v>
      </c>
      <c r="B97" s="1" t="s">
        <v>1871</v>
      </c>
      <c r="C97" s="1" t="s">
        <v>54</v>
      </c>
      <c r="D97" s="1" t="s">
        <v>165</v>
      </c>
      <c r="E97" s="4">
        <v>176.2</v>
      </c>
      <c r="F97" s="4">
        <v>180.1</v>
      </c>
      <c r="G97" s="4">
        <v>178.4</v>
      </c>
      <c r="H97" s="5">
        <f>G97/F97-1</f>
        <v>-0.00943920044419766</v>
      </c>
      <c r="I97" s="5">
        <f>G97/E97-1</f>
        <v>0.012485811577752637</v>
      </c>
      <c r="J97" s="5">
        <v>-0.0199004806425771</v>
      </c>
      <c r="K97" s="4">
        <v>13736800000</v>
      </c>
    </row>
    <row r="98" spans="1:11">
      <c r="A98" s="1" t="s">
        <v>1872</v>
      </c>
      <c r="B98" s="1" t="s">
        <v>1873</v>
      </c>
      <c r="C98" s="1" t="s">
        <v>54</v>
      </c>
      <c r="D98" s="1" t="s">
        <v>165</v>
      </c>
      <c r="E98" s="4">
        <v>152.8623352165725</v>
      </c>
      <c r="F98" s="4">
        <v>157.5885193778465</v>
      </c>
      <c r="G98" s="4">
        <v>158.4565872128044</v>
      </c>
      <c r="H98" s="5">
        <f>G98/F98-1</f>
        <v>0.00550844590954358</v>
      </c>
      <c r="I98" s="5">
        <f>G98/E98-1</f>
        <v>0.036596667114277226</v>
      </c>
      <c r="J98" s="5">
        <v>-0.007633216331417114</v>
      </c>
      <c r="K98" s="4">
        <v>6823219239.850615</v>
      </c>
    </row>
    <row r="99" spans="1:11">
      <c r="A99" s="1" t="s">
        <v>1874</v>
      </c>
      <c r="B99" s="1" t="s">
        <v>1875</v>
      </c>
      <c r="C99" s="1" t="s">
        <v>54</v>
      </c>
      <c r="D99" s="1" t="s">
        <v>113</v>
      </c>
      <c r="E99" s="4">
        <v>66.8</v>
      </c>
      <c r="F99" s="4">
        <v>66.5</v>
      </c>
      <c r="G99" s="4">
        <v>66</v>
      </c>
      <c r="H99" s="5">
        <f>G99/F99-1</f>
        <v>-0.007518796992481258</v>
      </c>
      <c r="I99" s="5">
        <f>G99/E99-1</f>
        <v>-0.0119760479041916</v>
      </c>
      <c r="J99" s="5">
        <v>-0.02320359281437123</v>
      </c>
      <c r="K99" s="4">
        <v>7712208042</v>
      </c>
    </row>
    <row r="100" spans="1:11">
      <c r="A100" s="1" t="s">
        <v>1876</v>
      </c>
      <c r="B100" s="1" t="s">
        <v>1877</v>
      </c>
      <c r="C100" s="1" t="s">
        <v>37</v>
      </c>
      <c r="D100" s="1" t="s">
        <v>51</v>
      </c>
      <c r="E100" s="4">
        <v>74.5</v>
      </c>
      <c r="F100" s="4">
        <v>75.95</v>
      </c>
      <c r="G100" s="4">
        <v>74.25</v>
      </c>
      <c r="H100" s="5">
        <f>G100/F100-1</f>
        <v>-0.022383146807109955</v>
      </c>
      <c r="I100" s="5">
        <f>G100/E100-1</f>
        <v>-0.003355704697986628</v>
      </c>
      <c r="J100" s="5">
        <v>-0.02366867823177832</v>
      </c>
      <c r="K100" s="4">
        <v>8788320585</v>
      </c>
    </row>
    <row r="101" spans="1:11">
      <c r="A101" s="1" t="s">
        <v>1878</v>
      </c>
      <c r="B101" s="1" t="s">
        <v>1879</v>
      </c>
      <c r="C101" s="1" t="s">
        <v>54</v>
      </c>
      <c r="D101" s="1" t="s">
        <v>165</v>
      </c>
      <c r="E101" s="4">
        <v>19.175</v>
      </c>
      <c r="F101" s="4">
        <v>19.875</v>
      </c>
      <c r="G101" s="4">
        <v>19.975</v>
      </c>
      <c r="H101" s="5">
        <f>G101/F101-1</f>
        <v>0.005031446540880502</v>
      </c>
      <c r="I101" s="5">
        <f>G101/E101-1</f>
        <v>0.041720990873533204</v>
      </c>
      <c r="J101" s="5">
        <v>-0.02392717815344603</v>
      </c>
      <c r="K101" s="4">
        <v>18713237377.25</v>
      </c>
    </row>
    <row r="102" spans="1:11">
      <c r="A102" s="1" t="s">
        <v>1880</v>
      </c>
      <c r="B102" s="1" t="s">
        <v>1881</v>
      </c>
      <c r="C102" s="1" t="s">
        <v>47</v>
      </c>
      <c r="D102" s="1" t="s">
        <v>331</v>
      </c>
      <c r="E102" s="4">
        <v>41.50288306796782</v>
      </c>
      <c r="F102" s="4">
        <v>40.03726046231847</v>
      </c>
      <c r="G102" s="4">
        <v>40.2074864469495</v>
      </c>
      <c r="H102" s="5">
        <f>G102/F102-1</f>
        <v>0.004251689118221158</v>
      </c>
      <c r="I102" s="5">
        <f>G102/E102-1</f>
        <v>-0.031212208050628742</v>
      </c>
      <c r="J102" s="5">
        <v>-0.05555050306373355</v>
      </c>
      <c r="K102" s="4">
        <v>3666743961.269564</v>
      </c>
    </row>
    <row r="103" spans="1:11">
      <c r="A103" s="1" t="s">
        <v>1882</v>
      </c>
      <c r="B103" s="1" t="s">
        <v>1883</v>
      </c>
      <c r="C103" s="1" t="s">
        <v>54</v>
      </c>
      <c r="D103" s="1" t="s">
        <v>165</v>
      </c>
      <c r="E103" s="4">
        <v>16.66</v>
      </c>
      <c r="F103" s="4">
        <v>16.91</v>
      </c>
      <c r="G103" s="4">
        <v>16.87</v>
      </c>
      <c r="H103" s="5">
        <f>G103/F103-1</f>
        <v>-0.0023654642223536193</v>
      </c>
      <c r="I103" s="5">
        <f>G103/E103-1</f>
        <v>0.012605042016806678</v>
      </c>
      <c r="J103" s="5">
        <v>-0.02477145384842216</v>
      </c>
      <c r="K103" s="4">
        <v>15163872017.98</v>
      </c>
    </row>
    <row r="104" spans="1:11">
      <c r="A104" s="1" t="s">
        <v>1884</v>
      </c>
      <c r="B104" s="1" t="s">
        <v>1885</v>
      </c>
      <c r="C104" s="1" t="s">
        <v>76</v>
      </c>
      <c r="D104" s="1" t="s">
        <v>76</v>
      </c>
      <c r="E104" s="4">
        <v>134.10340100971</v>
      </c>
      <c r="F104" s="4">
        <v>133.6068979887236</v>
      </c>
      <c r="G104" s="4">
        <v>133.457919580108</v>
      </c>
      <c r="H104" s="5">
        <f>G104/F104-1</f>
        <v>-0.001115050277030849</v>
      </c>
      <c r="I104" s="5">
        <f>G104/E104-1</f>
        <v>-0.004813311405541976</v>
      </c>
      <c r="J104" s="5">
        <v>-0.03427131858812993</v>
      </c>
      <c r="K104" s="4">
        <v>7046578153.829701</v>
      </c>
    </row>
    <row r="105" spans="1:11">
      <c r="A105" s="1" t="s">
        <v>1886</v>
      </c>
      <c r="B105" s="1" t="s">
        <v>1887</v>
      </c>
      <c r="C105" s="1" t="s">
        <v>116</v>
      </c>
      <c r="D105" s="1" t="s">
        <v>117</v>
      </c>
      <c r="E105" s="4">
        <v>5.007438452319809</v>
      </c>
      <c r="F105" s="4">
        <v>4.825420984789894</v>
      </c>
      <c r="G105" s="4">
        <v>4.863058256604424</v>
      </c>
      <c r="H105" s="5">
        <f>G105/F105-1</f>
        <v>0.007799790304962917</v>
      </c>
      <c r="I105" s="5">
        <f>G105/E105-1</f>
        <v>-0.028833144349182716</v>
      </c>
      <c r="J105" s="5">
        <v>-0.04736809058834845</v>
      </c>
      <c r="K105" s="4">
        <v>4984323934.418586</v>
      </c>
    </row>
    <row r="106" spans="1:11">
      <c r="A106" s="1" t="s">
        <v>1888</v>
      </c>
      <c r="B106" s="1" t="s">
        <v>1889</v>
      </c>
      <c r="C106" s="1" t="s">
        <v>54</v>
      </c>
      <c r="D106" s="1" t="s">
        <v>113</v>
      </c>
      <c r="E106" s="4">
        <v>23.9</v>
      </c>
      <c r="F106" s="4">
        <v>23.81</v>
      </c>
      <c r="G106" s="4">
        <v>23.62</v>
      </c>
      <c r="H106" s="5">
        <f>G106/F106-1</f>
        <v>-0.007979840403191885</v>
      </c>
      <c r="I106" s="5">
        <f>G106/E106-1</f>
        <v>-0.01171548117154797</v>
      </c>
      <c r="J106" s="5">
        <v>-0.02924217462932455</v>
      </c>
      <c r="K106" s="4">
        <v>17608329505.42</v>
      </c>
    </row>
    <row r="107" spans="1:11">
      <c r="A107" s="1" t="s">
        <v>1890</v>
      </c>
      <c r="B107" s="1" t="s">
        <v>1891</v>
      </c>
      <c r="C107" s="1" t="s">
        <v>54</v>
      </c>
      <c r="D107" s="1" t="s">
        <v>165</v>
      </c>
      <c r="E107" s="4">
        <v>11.572</v>
      </c>
      <c r="F107" s="4">
        <v>11.576</v>
      </c>
      <c r="G107" s="4">
        <v>11.614</v>
      </c>
      <c r="H107" s="5">
        <f>G107/F107-1</f>
        <v>0.003282653766413235</v>
      </c>
      <c r="I107" s="5">
        <f>G107/E107-1</f>
        <v>0.003629450397511391</v>
      </c>
      <c r="J107" s="5">
        <v>-0.02587388622344078</v>
      </c>
      <c r="K107" s="4">
        <v>35316320184.93401</v>
      </c>
    </row>
    <row r="108" spans="1:11">
      <c r="A108" s="1" t="s">
        <v>1892</v>
      </c>
      <c r="B108" s="1" t="s">
        <v>1893</v>
      </c>
      <c r="C108" s="1" t="s">
        <v>47</v>
      </c>
      <c r="D108" s="1" t="s">
        <v>142</v>
      </c>
      <c r="E108" s="4">
        <v>58.88</v>
      </c>
      <c r="F108" s="4">
        <v>61.76</v>
      </c>
      <c r="G108" s="4">
        <v>62.8</v>
      </c>
      <c r="H108" s="5">
        <f>G108/F108-1</f>
        <v>0.01683937823834203</v>
      </c>
      <c r="I108" s="5">
        <f>G108/E108-1</f>
        <v>0.06657608695652173</v>
      </c>
      <c r="J108" s="5">
        <v>-0.03256707416792648</v>
      </c>
      <c r="K108" s="4">
        <v>38672895066.8</v>
      </c>
    </row>
    <row r="109" spans="1:11">
      <c r="A109" s="1" t="s">
        <v>1894</v>
      </c>
      <c r="B109" s="1" t="s">
        <v>1895</v>
      </c>
      <c r="C109" s="1" t="s">
        <v>66</v>
      </c>
      <c r="D109" s="1" t="s">
        <v>67</v>
      </c>
      <c r="E109" s="4">
        <v>66.31999999999999</v>
      </c>
      <c r="F109" s="4">
        <v>63.6</v>
      </c>
      <c r="G109" s="4">
        <v>63.72</v>
      </c>
      <c r="H109" s="5">
        <f>G109/F109-1</f>
        <v>0.0018867924528300772</v>
      </c>
      <c r="I109" s="5">
        <f>G109/E109-1</f>
        <v>-0.039203860072376306</v>
      </c>
      <c r="J109" s="5">
        <v>-0.04101326899879365</v>
      </c>
      <c r="K109" s="4">
        <v>43542244918.43999</v>
      </c>
    </row>
    <row r="110" spans="1:11">
      <c r="A110" s="1" t="s">
        <v>1896</v>
      </c>
      <c r="B110" s="1" t="s">
        <v>1897</v>
      </c>
      <c r="C110" s="1" t="s">
        <v>54</v>
      </c>
      <c r="D110" s="1" t="s">
        <v>165</v>
      </c>
      <c r="E110" s="4">
        <v>107.5</v>
      </c>
      <c r="F110" s="4">
        <v>104.14</v>
      </c>
      <c r="G110" s="4">
        <v>104.54</v>
      </c>
      <c r="H110" s="5">
        <f>G110/F110-1</f>
        <v>0.003840983291722777</v>
      </c>
      <c r="I110" s="5">
        <f>G110/E110-1</f>
        <v>-0.02753488372093016</v>
      </c>
      <c r="J110" s="5">
        <v>-0.06362790697674425</v>
      </c>
      <c r="K110" s="4">
        <v>115161327455.78</v>
      </c>
    </row>
    <row r="111" spans="1:11">
      <c r="A111" s="1" t="s">
        <v>1898</v>
      </c>
      <c r="B111" s="1" t="s">
        <v>1899</v>
      </c>
      <c r="C111" s="1" t="s">
        <v>70</v>
      </c>
      <c r="D111" s="1" t="s">
        <v>100</v>
      </c>
      <c r="E111" s="4">
        <v>60.48</v>
      </c>
      <c r="F111" s="4">
        <v>61.18</v>
      </c>
      <c r="G111" s="4">
        <v>61.16</v>
      </c>
      <c r="H111" s="5">
        <f>G111/F111-1</f>
        <v>-0.00032690421706449424</v>
      </c>
      <c r="I111" s="5">
        <f>G111/E111-1</f>
        <v>0.011243386243386277</v>
      </c>
      <c r="J111" s="5">
        <v>-0.02673456397199248</v>
      </c>
      <c r="K111" s="4">
        <v>8830609351.519999</v>
      </c>
    </row>
    <row r="112" spans="1:11">
      <c r="A112" s="1" t="s">
        <v>1900</v>
      </c>
      <c r="B112" s="1" t="s">
        <v>1901</v>
      </c>
      <c r="C112" s="1" t="s">
        <v>70</v>
      </c>
      <c r="D112" s="1" t="s">
        <v>100</v>
      </c>
      <c r="E112" s="4">
        <v>32.16064714946071</v>
      </c>
      <c r="F112" s="4">
        <v>31.09870928933574</v>
      </c>
      <c r="G112" s="4">
        <v>30.9234661388865</v>
      </c>
      <c r="H112" s="5">
        <f>G112/F112-1</f>
        <v>-0.005635061854780243</v>
      </c>
      <c r="I112" s="5">
        <f>G112/E112-1</f>
        <v>-0.038468784686596424</v>
      </c>
      <c r="J112" s="5">
        <v>-0.05448144108877828</v>
      </c>
      <c r="K112" s="4">
        <v>10028875054.27389</v>
      </c>
    </row>
    <row r="113" spans="1:11">
      <c r="A113" s="1" t="s">
        <v>1902</v>
      </c>
      <c r="B113" s="1" t="s">
        <v>1903</v>
      </c>
      <c r="C113" s="1" t="s">
        <v>129</v>
      </c>
      <c r="D113" s="1" t="s">
        <v>129</v>
      </c>
      <c r="E113" s="4">
        <v>3.838</v>
      </c>
      <c r="F113" s="4">
        <v>3.97</v>
      </c>
      <c r="G113" s="4">
        <v>3.824</v>
      </c>
      <c r="H113" s="5">
        <f>G113/F113-1</f>
        <v>-0.03677581863979862</v>
      </c>
      <c r="I113" s="5">
        <f>G113/E113-1</f>
        <v>-0.0036477331943721714</v>
      </c>
      <c r="J113" s="5">
        <v>-0.03677581863979862</v>
      </c>
      <c r="K113" s="4">
        <v>10744613258.848</v>
      </c>
    </row>
    <row r="114" spans="1:11">
      <c r="A114" s="1" t="s">
        <v>1904</v>
      </c>
      <c r="B114" s="1" t="s">
        <v>1905</v>
      </c>
      <c r="C114" s="1" t="s">
        <v>93</v>
      </c>
      <c r="D114" s="1" t="s">
        <v>93</v>
      </c>
      <c r="E114" s="4">
        <v>51.15683892145734</v>
      </c>
      <c r="F114" s="4">
        <v>49.50712605743682</v>
      </c>
      <c r="G114" s="4">
        <v>49.27696465876792</v>
      </c>
      <c r="H114" s="5">
        <f>G114/F114-1</f>
        <v>-0.004649055944024538</v>
      </c>
      <c r="I114" s="5">
        <f>G114/E114-1</f>
        <v>-0.036747271768993506</v>
      </c>
      <c r="J114" s="5">
        <v>-0.07291995430099063</v>
      </c>
      <c r="K114" s="4">
        <v>14005767651.88027</v>
      </c>
    </row>
    <row r="115" spans="1:11">
      <c r="A115" s="1" t="s">
        <v>1906</v>
      </c>
      <c r="B115" s="1" t="s">
        <v>1907</v>
      </c>
      <c r="C115" s="1" t="s">
        <v>129</v>
      </c>
      <c r="D115" s="1" t="s">
        <v>129</v>
      </c>
      <c r="E115" s="4">
        <v>6.416948296524568</v>
      </c>
      <c r="F115" s="4">
        <v>6.281427171951535</v>
      </c>
      <c r="G115" s="4">
        <v>6.27892952413734</v>
      </c>
      <c r="H115" s="5">
        <f>G115/F115-1</f>
        <v>-0.0003976242573260347</v>
      </c>
      <c r="I115" s="5">
        <f>G115/E115-1</f>
        <v>-0.02150847505846043</v>
      </c>
      <c r="J115" s="5">
        <v>-0.06328330432417095</v>
      </c>
      <c r="K115" s="4">
        <v>98639642259.03351</v>
      </c>
    </row>
    <row r="116" spans="1:11">
      <c r="A116" s="1" t="s">
        <v>1908</v>
      </c>
      <c r="B116" s="1" t="s">
        <v>1909</v>
      </c>
      <c r="C116" s="1" t="s">
        <v>54</v>
      </c>
      <c r="D116" s="1" t="s">
        <v>165</v>
      </c>
      <c r="E116" s="4">
        <v>14</v>
      </c>
      <c r="F116" s="4">
        <v>14.296</v>
      </c>
      <c r="G116" s="4">
        <v>14.27</v>
      </c>
      <c r="H116" s="5">
        <f>G116/F116-1</f>
        <v>-0.0018186905428091427</v>
      </c>
      <c r="I116" s="5">
        <f>G116/E116-1</f>
        <v>0.01928571428571435</v>
      </c>
      <c r="J116" s="5">
        <v>-0.01744758688616865</v>
      </c>
      <c r="K116" s="4">
        <v>29769852329.82</v>
      </c>
    </row>
    <row r="117" spans="1:11">
      <c r="A117" s="1" t="s">
        <v>1910</v>
      </c>
      <c r="B117" s="1" t="s">
        <v>1911</v>
      </c>
      <c r="C117" s="1" t="s">
        <v>54</v>
      </c>
      <c r="D117" s="1" t="s">
        <v>113</v>
      </c>
      <c r="E117" s="4">
        <v>3.748572162300976</v>
      </c>
      <c r="F117" s="4">
        <v>3.52886551516714</v>
      </c>
      <c r="G117" s="4">
        <v>3.54607692969624</v>
      </c>
      <c r="H117" s="5">
        <f>G117/F117-1</f>
        <v>0.004877322316513721</v>
      </c>
      <c r="I117" s="5">
        <f>G117/E117-1</f>
        <v>-0.05401929690488849</v>
      </c>
      <c r="J117" s="5">
        <v>-0.07671770616419438</v>
      </c>
      <c r="K117" s="4">
        <v>3162606510.929662</v>
      </c>
    </row>
    <row r="118" spans="1:11">
      <c r="A118" s="1" t="s">
        <v>1912</v>
      </c>
      <c r="B118" s="1" t="s">
        <v>1913</v>
      </c>
      <c r="C118" s="1" t="s">
        <v>47</v>
      </c>
      <c r="D118" s="1" t="s">
        <v>331</v>
      </c>
      <c r="E118" s="4">
        <v>12.48940164355419</v>
      </c>
      <c r="F118" s="4">
        <v>12.76769614161726</v>
      </c>
      <c r="G118" s="4">
        <v>12.83824111522244</v>
      </c>
      <c r="H118" s="5">
        <f>G118/F118-1</f>
        <v>0.00552527040295403</v>
      </c>
      <c r="I118" s="5">
        <f>G118/E118-1</f>
        <v>0.02793083941281438</v>
      </c>
      <c r="J118" s="5">
        <v>-0.02457920830031024</v>
      </c>
      <c r="K118" s="4">
        <v>4634741384.715946</v>
      </c>
    </row>
    <row r="119" spans="1:11">
      <c r="A119" s="1" t="s">
        <v>1914</v>
      </c>
      <c r="B119" s="1" t="s">
        <v>1915</v>
      </c>
      <c r="C119" s="1" t="s">
        <v>138</v>
      </c>
      <c r="D119" s="1" t="s">
        <v>258</v>
      </c>
      <c r="E119" s="4">
        <v>2.381102379729499</v>
      </c>
      <c r="F119" s="4">
        <v>2.366155538368996</v>
      </c>
      <c r="G119" s="4">
        <v>2.348926942603907</v>
      </c>
      <c r="H119" s="5">
        <f>G119/F119-1</f>
        <v>-0.007281260883198248</v>
      </c>
      <c r="I119" s="5">
        <f>G119/E119-1</f>
        <v>-0.01351283229125455</v>
      </c>
      <c r="J119" s="5">
        <v>-0.02673898233708205</v>
      </c>
      <c r="K119" s="4">
        <v>23413257835.4202</v>
      </c>
    </row>
    <row r="120" spans="1:11">
      <c r="A120" s="1" t="s">
        <v>1916</v>
      </c>
      <c r="B120" s="1" t="s">
        <v>1917</v>
      </c>
      <c r="C120" s="1" t="s">
        <v>47</v>
      </c>
      <c r="D120" s="1" t="s">
        <v>331</v>
      </c>
      <c r="E120" s="4">
        <v>3.648143126177025</v>
      </c>
      <c r="F120" s="4">
        <v>3.563781730686603</v>
      </c>
      <c r="G120" s="4">
        <v>3.540259874365374</v>
      </c>
      <c r="H120" s="5">
        <f>G120/F120-1</f>
        <v>-0.006600251670491053</v>
      </c>
      <c r="I120" s="5">
        <f>G120/E120-1</f>
        <v>-0.02957209958061724</v>
      </c>
      <c r="J120" s="5">
        <v>-0.05814484399143438</v>
      </c>
      <c r="K120" s="4">
        <v>4941161526.920073</v>
      </c>
    </row>
    <row r="121" spans="1:11">
      <c r="A121" s="1" t="s">
        <v>1918</v>
      </c>
      <c r="B121" s="1" t="s">
        <v>1919</v>
      </c>
      <c r="C121" s="1" t="s">
        <v>70</v>
      </c>
      <c r="D121" s="1" t="s">
        <v>100</v>
      </c>
      <c r="E121" s="4">
        <v>324.8401108123651</v>
      </c>
      <c r="F121" s="4">
        <v>346.546223833481</v>
      </c>
      <c r="G121" s="4">
        <v>353.5837311584535</v>
      </c>
      <c r="H121" s="5">
        <f>G121/F121-1</f>
        <v>0.020307557378995256</v>
      </c>
      <c r="I121" s="5">
        <f>G121/E121-1</f>
        <v>0.08848544065018915</v>
      </c>
      <c r="J121" s="5">
        <v>-0.004375621577165423</v>
      </c>
      <c r="K121" s="4">
        <v>3479263914.599182</v>
      </c>
    </row>
    <row r="122" spans="1:11">
      <c r="A122" s="1" t="s">
        <v>1920</v>
      </c>
      <c r="B122" s="1" t="s">
        <v>1921</v>
      </c>
      <c r="C122" s="1" t="s">
        <v>70</v>
      </c>
      <c r="D122" s="1" t="s">
        <v>71</v>
      </c>
      <c r="E122" s="4">
        <v>27.55</v>
      </c>
      <c r="F122" s="4">
        <v>27.25</v>
      </c>
      <c r="G122" s="4">
        <v>27.2</v>
      </c>
      <c r="H122" s="5">
        <f>G122/F122-1</f>
        <v>-0.0018348623853211565</v>
      </c>
      <c r="I122" s="5">
        <f>G122/E122-1</f>
        <v>-0.012704174228675202</v>
      </c>
      <c r="J122" s="5">
        <v>-0.02298850574712641</v>
      </c>
      <c r="K122" s="4">
        <v>12346072384</v>
      </c>
    </row>
    <row r="123" spans="1:11">
      <c r="A123" s="1" t="s">
        <v>1922</v>
      </c>
      <c r="B123" s="1" t="s">
        <v>1923</v>
      </c>
      <c r="C123" s="1" t="s">
        <v>47</v>
      </c>
      <c r="D123" s="1" t="s">
        <v>331</v>
      </c>
      <c r="E123" s="4">
        <v>24.68685841465503</v>
      </c>
      <c r="F123" s="4">
        <v>24.37151843258572</v>
      </c>
      <c r="G123" s="4">
        <v>24.43163238963945</v>
      </c>
      <c r="H123" s="5">
        <f>G123/F123-1</f>
        <v>0.0024665659310483257</v>
      </c>
      <c r="I123" s="5">
        <f>G123/E123-1</f>
        <v>-0.010338538048408341</v>
      </c>
      <c r="J123" s="5">
        <v>-0.05165181571575062</v>
      </c>
      <c r="K123" s="4">
        <v>2736259466.909904</v>
      </c>
    </row>
    <row r="124" spans="1:11">
      <c r="A124" s="1" t="s">
        <v>1924</v>
      </c>
      <c r="B124" s="1" t="s">
        <v>1925</v>
      </c>
      <c r="C124" s="1" t="s">
        <v>93</v>
      </c>
      <c r="D124" s="1" t="s">
        <v>93</v>
      </c>
      <c r="E124" s="4">
        <v>39.76</v>
      </c>
      <c r="F124" s="4">
        <v>40.09</v>
      </c>
      <c r="G124" s="4">
        <v>40.74</v>
      </c>
      <c r="H124" s="5">
        <f>G124/F124-1</f>
        <v>0.016213519580942748</v>
      </c>
      <c r="I124" s="5">
        <f>G124/E124-1</f>
        <v>0.02464788732394374</v>
      </c>
      <c r="J124" s="5">
        <v>-0.06043956043956045</v>
      </c>
      <c r="K124" s="4">
        <v>7191084539.52</v>
      </c>
    </row>
    <row r="125" spans="1:11">
      <c r="A125" s="1" t="s">
        <v>1926</v>
      </c>
      <c r="B125" s="1" t="s">
        <v>1927</v>
      </c>
      <c r="C125" s="1" t="s">
        <v>66</v>
      </c>
      <c r="D125" s="1" t="s">
        <v>214</v>
      </c>
      <c r="E125" s="4">
        <v>15.87</v>
      </c>
      <c r="F125" s="4">
        <v>16.33</v>
      </c>
      <c r="G125" s="4">
        <v>16.405</v>
      </c>
      <c r="H125" s="5">
        <f>G125/F125-1</f>
        <v>0.0045927740355176105</v>
      </c>
      <c r="I125" s="5">
        <f>G125/E125-1</f>
        <v>0.03371140516698179</v>
      </c>
      <c r="J125" s="5">
        <v>-0.02895392278953912</v>
      </c>
      <c r="K125" s="4">
        <v>12079244113.545</v>
      </c>
    </row>
    <row r="126" spans="1:11">
      <c r="A126" s="1" t="s">
        <v>1928</v>
      </c>
      <c r="B126" s="1" t="s">
        <v>1929</v>
      </c>
      <c r="C126" s="1" t="s">
        <v>54</v>
      </c>
      <c r="D126" s="1" t="s">
        <v>165</v>
      </c>
      <c r="E126" s="4">
        <v>12.98</v>
      </c>
      <c r="F126" s="4">
        <v>13.525</v>
      </c>
      <c r="G126" s="4">
        <v>13.515</v>
      </c>
      <c r="H126" s="5">
        <f>G126/F126-1</f>
        <v>-0.0007393715341958984</v>
      </c>
      <c r="I126" s="5">
        <f>G126/E126-1</f>
        <v>0.041217257318952205</v>
      </c>
      <c r="J126" s="5">
        <v>-0.01243874858650595</v>
      </c>
      <c r="K126" s="4">
        <v>94279693409.40001</v>
      </c>
    </row>
    <row r="127" spans="1:11">
      <c r="A127" s="1" t="s">
        <v>1930</v>
      </c>
      <c r="B127" s="1" t="s">
        <v>1931</v>
      </c>
      <c r="C127" s="1" t="s">
        <v>41</v>
      </c>
      <c r="D127" s="1" t="s">
        <v>58</v>
      </c>
      <c r="E127" s="4">
        <v>111.15</v>
      </c>
      <c r="F127" s="4">
        <v>110</v>
      </c>
      <c r="G127" s="4">
        <v>106.4</v>
      </c>
      <c r="H127" s="5">
        <f>G127/F127-1</f>
        <v>-0.032727272727272716</v>
      </c>
      <c r="I127" s="5">
        <f>G127/E127-1</f>
        <v>-0.042735042735042694</v>
      </c>
      <c r="J127" s="5">
        <v>-0.0565529622980252</v>
      </c>
      <c r="K127" s="4">
        <v>18080410594.4</v>
      </c>
    </row>
    <row r="128" spans="1:11">
      <c r="A128" s="1" t="s">
        <v>1932</v>
      </c>
      <c r="B128" s="1" t="s">
        <v>1933</v>
      </c>
      <c r="C128" s="1" t="s">
        <v>66</v>
      </c>
      <c r="D128" s="1" t="s">
        <v>67</v>
      </c>
      <c r="E128" s="4">
        <v>117.9275083661247</v>
      </c>
      <c r="F128" s="4">
        <v>115.9113501004078</v>
      </c>
      <c r="G128" s="4">
        <v>117.087631239505</v>
      </c>
      <c r="H128" s="5">
        <f>G128/F128-1</f>
        <v>0.010148110069274852</v>
      </c>
      <c r="I128" s="5">
        <f>G128/E128-1</f>
        <v>-0.007121978054621336</v>
      </c>
      <c r="J128" s="5">
        <v>-0.02622709341880691</v>
      </c>
      <c r="K128" s="4">
        <v>16343084360.24294</v>
      </c>
    </row>
    <row r="129" spans="1:11">
      <c r="A129" s="1" t="s">
        <v>1934</v>
      </c>
      <c r="B129" s="1" t="s">
        <v>1935</v>
      </c>
      <c r="C129" s="1" t="s">
        <v>116</v>
      </c>
      <c r="D129" s="1" t="s">
        <v>223</v>
      </c>
      <c r="E129" s="4">
        <v>12.02945469687734</v>
      </c>
      <c r="F129" s="4">
        <v>12.02534760168355</v>
      </c>
      <c r="G129" s="4">
        <v>11.95929255505891</v>
      </c>
      <c r="H129" s="5">
        <f>G129/F129-1</f>
        <v>-0.005492984387028943</v>
      </c>
      <c r="I129" s="5">
        <f>G129/E129-1</f>
        <v>-0.00583252887070973</v>
      </c>
      <c r="J129" s="5">
        <v>-0.02585959341425392</v>
      </c>
      <c r="K129" s="4">
        <v>5710877382.195916</v>
      </c>
    </row>
    <row r="130" spans="1:11">
      <c r="A130" s="1" t="s">
        <v>1936</v>
      </c>
      <c r="B130" s="1" t="s">
        <v>1937</v>
      </c>
      <c r="C130" s="1" t="s">
        <v>54</v>
      </c>
      <c r="D130" s="1" t="s">
        <v>165</v>
      </c>
      <c r="E130" s="4">
        <v>39.01</v>
      </c>
      <c r="F130" s="4">
        <v>41.6</v>
      </c>
      <c r="G130" s="4">
        <v>42.06</v>
      </c>
      <c r="H130" s="5">
        <f>G130/F130-1</f>
        <v>0.01105769230769238</v>
      </c>
      <c r="I130" s="5">
        <f>G130/E130-1</f>
        <v>0.07818508074852604</v>
      </c>
      <c r="J130" s="5">
        <v>-0.02736375828753912</v>
      </c>
      <c r="K130" s="4">
        <v>45460428815.7</v>
      </c>
    </row>
    <row r="131" spans="1:11">
      <c r="A131" s="1" t="s">
        <v>1938</v>
      </c>
      <c r="B131" s="1" t="s">
        <v>1939</v>
      </c>
      <c r="C131" s="1" t="s">
        <v>41</v>
      </c>
      <c r="D131" s="1" t="s">
        <v>58</v>
      </c>
      <c r="E131" s="4">
        <v>59.3815870570108</v>
      </c>
      <c r="F131" s="4">
        <v>62.50002577984018</v>
      </c>
      <c r="G131" s="4">
        <v>65.03467859908787</v>
      </c>
      <c r="H131" s="5">
        <f>G131/F131-1</f>
        <v>0.0405544283801762</v>
      </c>
      <c r="I131" s="5">
        <f>G131/E131-1</f>
        <v>0.09519940140113925</v>
      </c>
      <c r="J131" s="5">
        <v>-0.0655878284599567</v>
      </c>
      <c r="K131" s="4">
        <v>6909539905.688667</v>
      </c>
    </row>
    <row r="132" spans="1:11">
      <c r="A132" s="1" t="s">
        <v>1940</v>
      </c>
      <c r="B132" s="1" t="s">
        <v>1941</v>
      </c>
      <c r="C132" s="1" t="s">
        <v>66</v>
      </c>
      <c r="D132" s="1" t="s">
        <v>67</v>
      </c>
      <c r="E132" s="4">
        <v>53.06390001712036</v>
      </c>
      <c r="F132" s="4">
        <v>53.2123124516628</v>
      </c>
      <c r="G132" s="4">
        <v>52.74905774029775</v>
      </c>
      <c r="H132" s="5">
        <f>G132/F132-1</f>
        <v>-0.008705780486158443</v>
      </c>
      <c r="I132" s="5">
        <f>G132/E132-1</f>
        <v>-0.005933266810789095</v>
      </c>
      <c r="J132" s="5">
        <v>-0.03095379601912362</v>
      </c>
      <c r="K132" s="4">
        <v>19225161592.24163</v>
      </c>
    </row>
    <row r="133" spans="1:11">
      <c r="A133" s="1" t="s">
        <v>1942</v>
      </c>
      <c r="B133" s="1" t="s">
        <v>1943</v>
      </c>
      <c r="C133" s="1" t="s">
        <v>138</v>
      </c>
      <c r="D133" s="1" t="s">
        <v>139</v>
      </c>
      <c r="E133" s="4">
        <v>60.00103126627531</v>
      </c>
      <c r="F133" s="4">
        <v>53.84104116310717</v>
      </c>
      <c r="G133" s="4">
        <v>53.80658850219117</v>
      </c>
      <c r="H133" s="5">
        <f>G133/F133-1</f>
        <v>-0.0006398958893018003</v>
      </c>
      <c r="I133" s="5">
        <f>G133/E133-1</f>
        <v>-0.10323893828747976</v>
      </c>
      <c r="J133" s="5">
        <v>-0.1103745619975444</v>
      </c>
      <c r="K133" s="4">
        <v>5375843698.614056</v>
      </c>
    </row>
    <row r="134" spans="1:11">
      <c r="A134" s="1" t="s">
        <v>1944</v>
      </c>
      <c r="B134" s="1" t="s">
        <v>1945</v>
      </c>
      <c r="C134" s="1" t="s">
        <v>47</v>
      </c>
      <c r="D134" s="1" t="s">
        <v>331</v>
      </c>
      <c r="E134" s="4">
        <v>198.4837190243316</v>
      </c>
      <c r="F134" s="4">
        <v>195.8252738677501</v>
      </c>
      <c r="G134" s="4">
        <v>197.2093321604066</v>
      </c>
      <c r="H134" s="5">
        <f>G134/F134-1</f>
        <v>0.007067822581426464</v>
      </c>
      <c r="I134" s="5">
        <f>G134/E134-1</f>
        <v>-0.006420611575545965</v>
      </c>
      <c r="J134" s="5">
        <v>-0.0561172377724295</v>
      </c>
      <c r="K134" s="4">
        <v>116617825228.3949</v>
      </c>
    </row>
    <row r="135" spans="1:11">
      <c r="A135" s="1" t="s">
        <v>1946</v>
      </c>
      <c r="B135" s="1" t="s">
        <v>1947</v>
      </c>
      <c r="C135" s="1" t="s">
        <v>138</v>
      </c>
      <c r="D135" s="1" t="s">
        <v>258</v>
      </c>
      <c r="E135" s="4">
        <v>26.14</v>
      </c>
      <c r="F135" s="4">
        <v>25.99</v>
      </c>
      <c r="G135" s="4">
        <v>25.66</v>
      </c>
      <c r="H135" s="5">
        <f>G135/F135-1</f>
        <v>-0.0126971912273951</v>
      </c>
      <c r="I135" s="5">
        <f>G135/E135-1</f>
        <v>-0.018362662586074996</v>
      </c>
      <c r="J135" s="5">
        <v>-0.06111929307805597</v>
      </c>
      <c r="K135" s="4">
        <v>17040960575.84</v>
      </c>
    </row>
    <row r="136" spans="1:11">
      <c r="A136" s="1" t="s">
        <v>1948</v>
      </c>
      <c r="B136" s="1" t="s">
        <v>1949</v>
      </c>
      <c r="C136" s="1" t="s">
        <v>54</v>
      </c>
      <c r="D136" s="1" t="s">
        <v>113</v>
      </c>
      <c r="E136" s="4">
        <v>92.96411066011764</v>
      </c>
      <c r="F136" s="4">
        <v>96.55310944037446</v>
      </c>
      <c r="G136" s="4">
        <v>96.45126140171949</v>
      </c>
      <c r="H136" s="5">
        <f>G136/F136-1</f>
        <v>-0.001054839551468456</v>
      </c>
      <c r="I136" s="5">
        <f>G136/E136-1</f>
        <v>0.03751072017836088</v>
      </c>
      <c r="J136" s="5">
        <v>-0.0105846079300953</v>
      </c>
      <c r="K136" s="4">
        <v>2893537842.051584</v>
      </c>
    </row>
    <row r="137" spans="1:11">
      <c r="A137" s="1" t="s">
        <v>1950</v>
      </c>
      <c r="B137" s="1" t="s">
        <v>1951</v>
      </c>
      <c r="C137" s="1" t="s">
        <v>76</v>
      </c>
      <c r="D137" s="1" t="s">
        <v>76</v>
      </c>
      <c r="E137" s="4">
        <v>1.797212634822805</v>
      </c>
      <c r="F137" s="4">
        <v>1.72602492051216</v>
      </c>
      <c r="G137" s="4">
        <v>1.742789777127614</v>
      </c>
      <c r="H137" s="5">
        <f>G137/F137-1</f>
        <v>0.009712986421122949</v>
      </c>
      <c r="I137" s="5">
        <f>G137/E137-1</f>
        <v>-0.030281813426354498</v>
      </c>
      <c r="J137" s="5">
        <v>-0.05012341330823444</v>
      </c>
      <c r="K137" s="4">
        <v>8050734664.38098</v>
      </c>
    </row>
    <row r="138" spans="1:11">
      <c r="A138" s="1" t="s">
        <v>1952</v>
      </c>
      <c r="B138" s="1" t="s">
        <v>1953</v>
      </c>
      <c r="C138" s="1" t="s">
        <v>37</v>
      </c>
      <c r="D138" s="1" t="s">
        <v>51</v>
      </c>
      <c r="E138" s="4">
        <v>58.66947047343727</v>
      </c>
      <c r="F138" s="4">
        <v>62.06287547504522</v>
      </c>
      <c r="G138" s="4">
        <v>60.83151956650242</v>
      </c>
      <c r="H138" s="5">
        <f>G138/F138-1</f>
        <v>-0.01984045855300265</v>
      </c>
      <c r="I138" s="5">
        <f>G138/E138-1</f>
        <v>0.03685134833531567</v>
      </c>
      <c r="J138" s="5">
        <v>-0.05091026688603661</v>
      </c>
      <c r="K138" s="4">
        <v>13881752765.07585</v>
      </c>
    </row>
    <row r="139" spans="1:11">
      <c r="A139" s="1" t="s">
        <v>1954</v>
      </c>
      <c r="B139" s="1" t="s">
        <v>1955</v>
      </c>
      <c r="C139" s="1" t="s">
        <v>47</v>
      </c>
      <c r="D139" s="1" t="s">
        <v>142</v>
      </c>
      <c r="E139" s="4">
        <v>68.78</v>
      </c>
      <c r="F139" s="4">
        <v>70.22</v>
      </c>
      <c r="G139" s="4">
        <v>71.56</v>
      </c>
      <c r="H139" s="5">
        <f>G139/F139-1</f>
        <v>0.019082882369695353</v>
      </c>
      <c r="I139" s="5">
        <f>G139/E139-1</f>
        <v>0.040418726373945946</v>
      </c>
      <c r="J139" s="5">
        <v>-0.03112731351654519</v>
      </c>
      <c r="K139" s="4">
        <v>14312428143.48</v>
      </c>
    </row>
    <row r="140" spans="1:11">
      <c r="A140" s="1" t="s">
        <v>1956</v>
      </c>
      <c r="B140" s="1" t="s">
        <v>1957</v>
      </c>
      <c r="C140" s="1" t="s">
        <v>41</v>
      </c>
      <c r="D140" s="1" t="s">
        <v>42</v>
      </c>
      <c r="E140" s="4">
        <v>363.5217292709428</v>
      </c>
      <c r="F140" s="4">
        <v>359.5550359281531</v>
      </c>
      <c r="G140" s="4">
        <v>364.9622151385901</v>
      </c>
      <c r="H140" s="5">
        <f>G140/F140-1</f>
        <v>0.015038530044444887</v>
      </c>
      <c r="I140" s="5">
        <f>G140/E140-1</f>
        <v>0.00396258531927729</v>
      </c>
      <c r="J140" s="5">
        <v>-0.07438567089581616</v>
      </c>
      <c r="K140" s="4">
        <v>2837203851.772085</v>
      </c>
    </row>
    <row r="141" spans="1:11">
      <c r="A141" s="1" t="s">
        <v>1958</v>
      </c>
      <c r="B141" s="1" t="s">
        <v>1959</v>
      </c>
      <c r="C141" s="1" t="s">
        <v>116</v>
      </c>
      <c r="D141" s="1" t="s">
        <v>117</v>
      </c>
      <c r="E141" s="4">
        <v>51.55</v>
      </c>
      <c r="F141" s="4">
        <v>48.76</v>
      </c>
      <c r="G141" s="4">
        <v>49.04</v>
      </c>
      <c r="H141" s="5">
        <f>G141/F141-1</f>
        <v>0.005742411812961423</v>
      </c>
      <c r="I141" s="5">
        <f>G141/E141-1</f>
        <v>-0.048690591658583915</v>
      </c>
      <c r="J141" s="5">
        <v>-0.07206165703275536</v>
      </c>
      <c r="K141" s="4">
        <v>5474014870.719999</v>
      </c>
    </row>
    <row r="142" spans="1:11">
      <c r="A142" s="1" t="s">
        <v>1960</v>
      </c>
      <c r="B142" s="1" t="s">
        <v>1961</v>
      </c>
      <c r="C142" s="1" t="s">
        <v>47</v>
      </c>
      <c r="D142" s="1" t="s">
        <v>48</v>
      </c>
      <c r="E142" s="4">
        <v>26.47663071391885</v>
      </c>
      <c r="F142" s="4">
        <v>26.51886224972072</v>
      </c>
      <c r="G142" s="4">
        <v>26.46932277772997</v>
      </c>
      <c r="H142" s="5">
        <f>G142/F142-1</f>
        <v>-0.0018680843666762925</v>
      </c>
      <c r="I142" s="5">
        <f>G142/E142-1</f>
        <v>-0.0002760145831182115</v>
      </c>
      <c r="J142" s="5">
        <v>-0.03866167846364776</v>
      </c>
      <c r="K142" s="4">
        <v>45009559491.67886</v>
      </c>
    </row>
    <row r="143" spans="1:11">
      <c r="A143" s="1" t="s">
        <v>1962</v>
      </c>
      <c r="B143" s="1" t="s">
        <v>1963</v>
      </c>
      <c r="C143" s="1" t="s">
        <v>66</v>
      </c>
      <c r="D143" s="1" t="s">
        <v>67</v>
      </c>
      <c r="E143" s="4">
        <v>5.896</v>
      </c>
      <c r="F143" s="4">
        <v>5.7</v>
      </c>
      <c r="G143" s="4">
        <v>5.772</v>
      </c>
      <c r="H143" s="5">
        <f>G143/F143-1</f>
        <v>0.012631578947368327</v>
      </c>
      <c r="I143" s="5">
        <f>G143/E143-1</f>
        <v>-0.021031207598371737</v>
      </c>
      <c r="J143" s="5">
        <v>-0.04586544873365639</v>
      </c>
      <c r="K143" s="4">
        <v>7106877383.736</v>
      </c>
    </row>
    <row r="144" spans="1:11">
      <c r="A144" s="1" t="s">
        <v>1964</v>
      </c>
      <c r="B144" s="1" t="s">
        <v>1965</v>
      </c>
      <c r="C144" s="1" t="s">
        <v>93</v>
      </c>
      <c r="D144" s="1" t="s">
        <v>93</v>
      </c>
      <c r="E144" s="4">
        <v>40.08986988529362</v>
      </c>
      <c r="F144" s="4">
        <v>38.78027670361778</v>
      </c>
      <c r="G144" s="4">
        <v>38.3460287410722</v>
      </c>
      <c r="H144" s="5">
        <f>G144/F144-1</f>
        <v>-0.011197649925614561</v>
      </c>
      <c r="I144" s="5">
        <f>G144/E144-1</f>
        <v>-0.043498298927159174</v>
      </c>
      <c r="J144" s="5">
        <v>-0.05404406686138041</v>
      </c>
      <c r="K144" s="4">
        <v>5354464672.204321</v>
      </c>
    </row>
    <row r="145" spans="1:11">
      <c r="A145" s="1" t="s">
        <v>1966</v>
      </c>
      <c r="B145" s="1" t="s">
        <v>1967</v>
      </c>
      <c r="C145" s="1" t="s">
        <v>54</v>
      </c>
      <c r="D145" s="1" t="s">
        <v>55</v>
      </c>
      <c r="E145" s="4">
        <v>43.72</v>
      </c>
      <c r="F145" s="4">
        <v>44.21</v>
      </c>
      <c r="G145" s="4">
        <v>44.64</v>
      </c>
      <c r="H145" s="5">
        <f>G145/F145-1</f>
        <v>0.009726306265550821</v>
      </c>
      <c r="I145" s="5">
        <f>G145/E145-1</f>
        <v>0.02104300091491318</v>
      </c>
      <c r="J145" s="5">
        <v>-0.02697800952165041</v>
      </c>
      <c r="K145" s="4">
        <v>93337852155.84001</v>
      </c>
    </row>
    <row r="146" spans="1:11">
      <c r="A146" s="1" t="s">
        <v>1968</v>
      </c>
      <c r="B146" s="1" t="s">
        <v>1969</v>
      </c>
      <c r="C146" s="1" t="s">
        <v>70</v>
      </c>
      <c r="D146" s="1" t="s">
        <v>100</v>
      </c>
      <c r="E146" s="4">
        <v>18.482</v>
      </c>
      <c r="F146" s="4">
        <v>17.032</v>
      </c>
      <c r="G146" s="4">
        <v>16.602</v>
      </c>
      <c r="H146" s="5">
        <f>G146/F146-1</f>
        <v>-0.025246594645373377</v>
      </c>
      <c r="I146" s="5">
        <f>G146/E146-1</f>
        <v>-0.1017205930094145</v>
      </c>
      <c r="J146" s="5">
        <v>-0.1302388935456832</v>
      </c>
      <c r="K146" s="4">
        <v>16602000000</v>
      </c>
    </row>
    <row r="147" spans="1:11">
      <c r="A147" s="1" t="s">
        <v>1970</v>
      </c>
      <c r="B147" s="1" t="s">
        <v>1971</v>
      </c>
      <c r="C147" s="1" t="s">
        <v>37</v>
      </c>
      <c r="D147" s="1" t="s">
        <v>51</v>
      </c>
      <c r="E147" s="4">
        <v>2.639181646978257</v>
      </c>
      <c r="F147" s="4">
        <v>2.646649136375355</v>
      </c>
      <c r="G147" s="4">
        <v>2.654904053007487</v>
      </c>
      <c r="H147" s="5">
        <f>G147/F147-1</f>
        <v>0.0031190067919004694</v>
      </c>
      <c r="I147" s="5">
        <f>G147/E147-1</f>
        <v>0.005957303487325927</v>
      </c>
      <c r="J147" s="5">
        <v>-0.02713218992874178</v>
      </c>
      <c r="K147" s="4">
        <v>5149171267.235302</v>
      </c>
    </row>
    <row r="148" spans="1:11">
      <c r="A148" s="1" t="s">
        <v>1972</v>
      </c>
      <c r="B148" s="1" t="s">
        <v>1973</v>
      </c>
      <c r="C148" s="1" t="s">
        <v>54</v>
      </c>
      <c r="D148" s="1" t="s">
        <v>113</v>
      </c>
      <c r="E148" s="4">
        <v>15.12</v>
      </c>
      <c r="F148" s="4">
        <v>14.12</v>
      </c>
      <c r="G148" s="4">
        <v>13.9</v>
      </c>
      <c r="H148" s="5">
        <f>G148/F148-1</f>
        <v>-0.015580736543909235</v>
      </c>
      <c r="I148" s="5">
        <f>G148/E148-1</f>
        <v>-0.08068783068783059</v>
      </c>
      <c r="J148" s="5">
        <v>-0.1031537450722734</v>
      </c>
      <c r="K148" s="4">
        <v>14521809202.5</v>
      </c>
    </row>
    <row r="149" spans="1:11">
      <c r="A149" s="1" t="s">
        <v>1974</v>
      </c>
      <c r="B149" s="1" t="s">
        <v>1975</v>
      </c>
      <c r="C149" s="1" t="s">
        <v>66</v>
      </c>
      <c r="D149" s="1" t="s">
        <v>67</v>
      </c>
      <c r="E149" s="4">
        <v>62.59298065399761</v>
      </c>
      <c r="F149" s="4">
        <v>60.75421500386698</v>
      </c>
      <c r="G149" s="4">
        <v>60.84639876086396</v>
      </c>
      <c r="H149" s="5">
        <f>G149/F149-1</f>
        <v>0.0015173228226403879</v>
      </c>
      <c r="I149" s="5">
        <f>G149/E149-1</f>
        <v>-0.027903798075832653</v>
      </c>
      <c r="J149" s="5">
        <v>-0.0427922966365154</v>
      </c>
      <c r="K149" s="4">
        <v>3304336700.38723</v>
      </c>
    </row>
    <row r="150" spans="1:11">
      <c r="A150" s="1" t="s">
        <v>1976</v>
      </c>
      <c r="B150" s="1" t="s">
        <v>1977</v>
      </c>
      <c r="C150" s="1" t="s">
        <v>54</v>
      </c>
      <c r="D150" s="1" t="s">
        <v>165</v>
      </c>
      <c r="E150" s="4">
        <v>49.21226216866751</v>
      </c>
      <c r="F150" s="4">
        <v>49.95533024872146</v>
      </c>
      <c r="G150" s="4">
        <v>50.08867588673522</v>
      </c>
      <c r="H150" s="5">
        <f>G150/F150-1</f>
        <v>0.0026692974973809847</v>
      </c>
      <c r="I150" s="5">
        <f>G150/E150-1</f>
        <v>0.01780884843423647</v>
      </c>
      <c r="J150" s="5">
        <v>-0.009211688549122021</v>
      </c>
      <c r="K150" s="4">
        <v>40863118263.05219</v>
      </c>
    </row>
    <row r="151" spans="1:11">
      <c r="A151" s="1" t="s">
        <v>1978</v>
      </c>
      <c r="B151" s="1" t="s">
        <v>1979</v>
      </c>
      <c r="C151" s="1" t="s">
        <v>54</v>
      </c>
      <c r="D151" s="1" t="s">
        <v>113</v>
      </c>
      <c r="E151" s="4">
        <v>282.9</v>
      </c>
      <c r="F151" s="4">
        <v>283.9</v>
      </c>
      <c r="G151" s="4">
        <v>281.3</v>
      </c>
      <c r="H151" s="5">
        <f>G151/F151-1</f>
        <v>-0.009158154279675812</v>
      </c>
      <c r="I151" s="5">
        <f>G151/E151-1</f>
        <v>-0.005655708731000186</v>
      </c>
      <c r="J151" s="5">
        <v>-0.04223901098901106</v>
      </c>
      <c r="K151" s="4">
        <v>52406190000</v>
      </c>
    </row>
    <row r="152" spans="1:11">
      <c r="A152" s="1" t="s">
        <v>1980</v>
      </c>
      <c r="B152" s="1" t="s">
        <v>1981</v>
      </c>
      <c r="C152" s="1" t="s">
        <v>54</v>
      </c>
      <c r="D152" s="1" t="s">
        <v>113</v>
      </c>
      <c r="E152" s="4">
        <v>32.375</v>
      </c>
      <c r="F152" s="4">
        <v>35.55</v>
      </c>
      <c r="G152" s="4">
        <v>35.57</v>
      </c>
      <c r="H152" s="5">
        <f>G152/F152-1</f>
        <v>0.0005625879043600346</v>
      </c>
      <c r="I152" s="5">
        <f>G152/E152-1</f>
        <v>0.0986872586872587</v>
      </c>
      <c r="J152" s="5">
        <v>-0.02377880639050411</v>
      </c>
      <c r="K152" s="4">
        <v>67959294211.88999</v>
      </c>
    </row>
    <row r="153" spans="1:11">
      <c r="A153" s="1" t="s">
        <v>1982</v>
      </c>
      <c r="B153" s="1" t="s">
        <v>1983</v>
      </c>
      <c r="C153" s="1" t="s">
        <v>129</v>
      </c>
      <c r="D153" s="1" t="s">
        <v>129</v>
      </c>
      <c r="E153" s="4">
        <v>74.38755350111283</v>
      </c>
      <c r="F153" s="4">
        <v>73.73140843860101</v>
      </c>
      <c r="G153" s="4">
        <v>73.702091042079</v>
      </c>
      <c r="H153" s="5">
        <f>G153/F153-1</f>
        <v>-0.0003976242573260347</v>
      </c>
      <c r="I153" s="5">
        <f>G153/E153-1</f>
        <v>-0.00921474664472699</v>
      </c>
      <c r="J153" s="5">
        <v>-0.01137369494193152</v>
      </c>
      <c r="K153" s="4">
        <v>6295937374.960849</v>
      </c>
    </row>
    <row r="154" spans="1:11">
      <c r="A154" s="1" t="s">
        <v>1984</v>
      </c>
      <c r="B154" s="1" t="s">
        <v>1985</v>
      </c>
      <c r="C154" s="1" t="s">
        <v>37</v>
      </c>
      <c r="D154" s="1" t="s">
        <v>51</v>
      </c>
      <c r="E154" s="4">
        <v>38.39064757381782</v>
      </c>
      <c r="F154" s="4">
        <v>39.30604185076156</v>
      </c>
      <c r="G154" s="4">
        <v>39.03812933693733</v>
      </c>
      <c r="H154" s="5">
        <f>G154/F154-1</f>
        <v>-0.006816064432064839</v>
      </c>
      <c r="I154" s="5">
        <f>G154/E154-1</f>
        <v>0.016865611914321788</v>
      </c>
      <c r="J154" s="5">
        <v>-0.009485044762444383</v>
      </c>
      <c r="K154" s="4">
        <v>8266452361.580128</v>
      </c>
    </row>
    <row r="155" spans="1:11">
      <c r="A155" s="1" t="s">
        <v>1986</v>
      </c>
      <c r="B155" s="1" t="s">
        <v>1987</v>
      </c>
      <c r="C155" s="1" t="s">
        <v>70</v>
      </c>
      <c r="D155" s="1" t="s">
        <v>100</v>
      </c>
      <c r="E155" s="4">
        <v>119.3</v>
      </c>
      <c r="F155" s="4">
        <v>113.15</v>
      </c>
      <c r="G155" s="4">
        <v>113.95</v>
      </c>
      <c r="H155" s="5">
        <f>G155/F155-1</f>
        <v>0.007070260715863919</v>
      </c>
      <c r="I155" s="5">
        <f>G155/E155-1</f>
        <v>-0.04484492875104773</v>
      </c>
      <c r="J155" s="5">
        <v>-0.06688963210702337</v>
      </c>
      <c r="K155" s="4">
        <v>66892484873.3</v>
      </c>
    </row>
    <row r="156" spans="1:11">
      <c r="A156" s="1" t="s">
        <v>1988</v>
      </c>
      <c r="B156" s="1" t="s">
        <v>1989</v>
      </c>
      <c r="C156" s="1" t="s">
        <v>66</v>
      </c>
      <c r="D156" s="1" t="s">
        <v>67</v>
      </c>
      <c r="E156" s="4">
        <v>20.07412942989214</v>
      </c>
      <c r="F156" s="4">
        <v>19.39595772106213</v>
      </c>
      <c r="G156" s="4">
        <v>19.2777213664917</v>
      </c>
      <c r="H156" s="5">
        <f>G156/F156-1</f>
        <v>-0.006095927629396591</v>
      </c>
      <c r="I156" s="5">
        <f>G156/E156-1</f>
        <v>-0.03967335501057978</v>
      </c>
      <c r="J156" s="5">
        <v>-0.06874902918811243</v>
      </c>
      <c r="K156" s="4">
        <v>42924877003.18169</v>
      </c>
    </row>
    <row r="157" spans="1:11">
      <c r="A157" s="1" t="s">
        <v>1990</v>
      </c>
      <c r="B157" s="1" t="s">
        <v>1991</v>
      </c>
      <c r="C157" s="1" t="s">
        <v>47</v>
      </c>
      <c r="D157" s="1" t="s">
        <v>48</v>
      </c>
      <c r="E157" s="4">
        <v>36.83</v>
      </c>
      <c r="F157" s="4">
        <v>36.55</v>
      </c>
      <c r="G157" s="4">
        <v>36.47</v>
      </c>
      <c r="H157" s="5">
        <f>G157/F157-1</f>
        <v>-0.002188782489740082</v>
      </c>
      <c r="I157" s="5">
        <f>G157/E157-1</f>
        <v>-0.009774640238935595</v>
      </c>
      <c r="J157" s="5">
        <v>-0.01565452091767872</v>
      </c>
      <c r="K157" s="4">
        <v>11177763859.99</v>
      </c>
    </row>
    <row r="158" spans="1:11">
      <c r="A158" s="1" t="s">
        <v>1992</v>
      </c>
      <c r="B158" s="1" t="s">
        <v>1993</v>
      </c>
      <c r="C158" s="1" t="s">
        <v>70</v>
      </c>
      <c r="D158" s="1" t="s">
        <v>243</v>
      </c>
      <c r="E158" s="4">
        <v>55.98</v>
      </c>
      <c r="F158" s="4">
        <v>55.2</v>
      </c>
      <c r="G158" s="4">
        <v>54.96</v>
      </c>
      <c r="H158" s="5">
        <f>G158/F158-1</f>
        <v>-0.004347826086956608</v>
      </c>
      <c r="I158" s="5">
        <f>G158/E158-1</f>
        <v>-0.018220793140407254</v>
      </c>
      <c r="J158" s="5">
        <v>-0.03448275862068961</v>
      </c>
      <c r="K158" s="4">
        <v>63204000000</v>
      </c>
    </row>
    <row r="159" spans="1:11">
      <c r="A159" s="1" t="s">
        <v>1994</v>
      </c>
      <c r="B159" s="1" t="s">
        <v>1995</v>
      </c>
      <c r="C159" s="1" t="s">
        <v>47</v>
      </c>
      <c r="D159" s="1" t="s">
        <v>120</v>
      </c>
      <c r="E159" s="4">
        <v>178.3</v>
      </c>
      <c r="F159" s="4">
        <v>174.4</v>
      </c>
      <c r="G159" s="4">
        <v>180.4</v>
      </c>
      <c r="H159" s="5">
        <f>G159/F159-1</f>
        <v>0.034403669724770714</v>
      </c>
      <c r="I159" s="5">
        <f>G159/E159-1</f>
        <v>0.011777902411665764</v>
      </c>
      <c r="J159" s="5">
        <v>-0.02742025741466136</v>
      </c>
      <c r="K159" s="4">
        <v>9685690792.799999</v>
      </c>
    </row>
    <row r="160" spans="1:11">
      <c r="A160" s="1" t="s">
        <v>1996</v>
      </c>
      <c r="B160" s="1" t="s">
        <v>1997</v>
      </c>
      <c r="C160" s="1" t="s">
        <v>37</v>
      </c>
      <c r="D160" s="1" t="s">
        <v>38</v>
      </c>
      <c r="E160" s="4">
        <v>193.5</v>
      </c>
      <c r="F160" s="4">
        <v>198.6</v>
      </c>
      <c r="G160" s="4">
        <v>190.3</v>
      </c>
      <c r="H160" s="5">
        <f>G160/F160-1</f>
        <v>-0.041792547834843874</v>
      </c>
      <c r="I160" s="5">
        <f>G160/E160-1</f>
        <v>-0.016537467700258324</v>
      </c>
      <c r="J160" s="5">
        <v>-0.04179254783484387</v>
      </c>
      <c r="K160" s="4">
        <v>18521976071.5</v>
      </c>
    </row>
    <row r="161" spans="1:11">
      <c r="A161" s="1" t="s">
        <v>1998</v>
      </c>
      <c r="B161" s="1" t="s">
        <v>1999</v>
      </c>
      <c r="C161" s="1" t="s">
        <v>70</v>
      </c>
      <c r="D161" s="1" t="s">
        <v>100</v>
      </c>
      <c r="E161" s="4">
        <v>71.05877424020487</v>
      </c>
      <c r="F161" s="4">
        <v>71.12194809136362</v>
      </c>
      <c r="G161" s="4">
        <v>70.50406428813673</v>
      </c>
      <c r="H161" s="5">
        <f>G161/F161-1</f>
        <v>-0.008687667025559453</v>
      </c>
      <c r="I161" s="5">
        <f>G161/E161-1</f>
        <v>-0.007806354078006117</v>
      </c>
      <c r="J161" s="5">
        <v>-0.02673454894823279</v>
      </c>
      <c r="K161" s="4">
        <v>4585793244.842898</v>
      </c>
    </row>
    <row r="162" spans="1:11">
      <c r="A162" s="1" t="s">
        <v>2000</v>
      </c>
      <c r="B162" s="1" t="s">
        <v>2001</v>
      </c>
      <c r="C162" s="1" t="s">
        <v>47</v>
      </c>
      <c r="D162" s="1" t="s">
        <v>331</v>
      </c>
      <c r="E162" s="4">
        <v>40.5</v>
      </c>
      <c r="F162" s="4">
        <v>39.92</v>
      </c>
      <c r="G162" s="4">
        <v>40.34</v>
      </c>
      <c r="H162" s="5">
        <f>G162/F162-1</f>
        <v>0.010521042084168375</v>
      </c>
      <c r="I162" s="5">
        <f>G162/E162-1</f>
        <v>-0.003950617283950519</v>
      </c>
      <c r="J162" s="5">
        <v>-0.05671077504725897</v>
      </c>
      <c r="K162" s="4">
        <v>6103229690.58</v>
      </c>
    </row>
    <row r="163" spans="1:11">
      <c r="A163" s="1" t="s">
        <v>2002</v>
      </c>
      <c r="B163" s="1" t="s">
        <v>2003</v>
      </c>
      <c r="C163" s="1" t="s">
        <v>116</v>
      </c>
      <c r="D163" s="1" t="s">
        <v>117</v>
      </c>
      <c r="E163" s="4">
        <v>23.96283513097073</v>
      </c>
      <c r="F163" s="4">
        <v>22.70717882615795</v>
      </c>
      <c r="G163" s="4">
        <v>22.83775922898202</v>
      </c>
      <c r="H163" s="5">
        <f>G163/F163-1</f>
        <v>0.005750622031198693</v>
      </c>
      <c r="I163" s="5">
        <f>G163/E163-1</f>
        <v>-0.046950867701568755</v>
      </c>
      <c r="J163" s="5">
        <v>-0.06513857960115665</v>
      </c>
      <c r="K163" s="4">
        <v>2511219702.050908</v>
      </c>
    </row>
    <row r="164" spans="1:11">
      <c r="A164" s="1" t="s">
        <v>2004</v>
      </c>
      <c r="B164" s="1" t="s">
        <v>2005</v>
      </c>
      <c r="C164" s="1" t="s">
        <v>54</v>
      </c>
      <c r="D164" s="1" t="s">
        <v>165</v>
      </c>
      <c r="E164" s="4">
        <v>28.80009981136478</v>
      </c>
      <c r="F164" s="4">
        <v>29.51328454157152</v>
      </c>
      <c r="G164" s="4">
        <v>29.645661124227</v>
      </c>
      <c r="H164" s="5">
        <f>G164/F164-1</f>
        <v>0.004485321939312392</v>
      </c>
      <c r="I164" s="5">
        <f>G164/E164-1</f>
        <v>0.029359666056732125</v>
      </c>
      <c r="J164" s="5">
        <v>-0.003954988888363764</v>
      </c>
      <c r="K164" s="4">
        <v>42709462351.72459</v>
      </c>
    </row>
    <row r="165" spans="1:11">
      <c r="A165" s="1" t="s">
        <v>2006</v>
      </c>
      <c r="B165" s="1" t="s">
        <v>2007</v>
      </c>
      <c r="C165" s="1" t="s">
        <v>66</v>
      </c>
      <c r="D165" s="1" t="s">
        <v>214</v>
      </c>
      <c r="E165" s="4">
        <v>8.066624922462525</v>
      </c>
      <c r="F165" s="4">
        <v>8.292492115538295</v>
      </c>
      <c r="G165" s="4">
        <v>8.34465971684844</v>
      </c>
      <c r="H165" s="5">
        <f>G165/F165-1</f>
        <v>0.006290943733596732</v>
      </c>
      <c r="I165" s="5">
        <f>G165/E165-1</f>
        <v>0.03446730163586653</v>
      </c>
      <c r="J165" s="5">
        <v>-0.02776364238705797</v>
      </c>
      <c r="K165" s="4">
        <v>8181104386.39821</v>
      </c>
    </row>
    <row r="166" spans="1:11">
      <c r="A166" s="1" t="s">
        <v>2008</v>
      </c>
      <c r="B166" s="1" t="s">
        <v>2009</v>
      </c>
      <c r="C166" s="1" t="s">
        <v>70</v>
      </c>
      <c r="D166" s="1" t="s">
        <v>100</v>
      </c>
      <c r="E166" s="4">
        <v>84.08012326656394</v>
      </c>
      <c r="F166" s="4">
        <v>83.33336770645356</v>
      </c>
      <c r="G166" s="4">
        <v>82.83486791153946</v>
      </c>
      <c r="H166" s="5">
        <f>G166/F166-1</f>
        <v>-0.005981995071531077</v>
      </c>
      <c r="I166" s="5">
        <f>G166/E166-1</f>
        <v>-0.014810341691300577</v>
      </c>
      <c r="J166" s="5">
        <v>-0.034605056231793</v>
      </c>
      <c r="K166" s="4">
        <v>11126163921.55168</v>
      </c>
    </row>
    <row r="167" spans="1:11">
      <c r="A167" s="1" t="s">
        <v>2010</v>
      </c>
      <c r="B167" s="1" t="s">
        <v>2011</v>
      </c>
      <c r="C167" s="1" t="s">
        <v>76</v>
      </c>
      <c r="D167" s="1" t="s">
        <v>76</v>
      </c>
      <c r="E167" s="4">
        <v>8.694118301660676</v>
      </c>
      <c r="F167" s="4">
        <v>8.996744865515167</v>
      </c>
      <c r="G167" s="4">
        <v>9.278203252732123</v>
      </c>
      <c r="H167" s="5">
        <f>G167/F167-1</f>
        <v>0.031284469152370376</v>
      </c>
      <c r="I167" s="5">
        <f>G167/E167-1</f>
        <v>0.06718161989581839</v>
      </c>
      <c r="J167" s="5">
        <v>-0.04268733159273186</v>
      </c>
      <c r="K167" s="4">
        <v>3124218642.605112</v>
      </c>
    </row>
    <row r="168" spans="1:11">
      <c r="A168" s="1" t="s">
        <v>2012</v>
      </c>
      <c r="B168" s="1" t="s">
        <v>2013</v>
      </c>
      <c r="C168" s="1" t="s">
        <v>93</v>
      </c>
      <c r="D168" s="1" t="s">
        <v>93</v>
      </c>
      <c r="E168" s="4">
        <v>90.76000000000001</v>
      </c>
      <c r="F168" s="4">
        <v>93.76000000000001</v>
      </c>
      <c r="G168" s="4">
        <v>93.06</v>
      </c>
      <c r="H168" s="5">
        <f>G168/F168-1</f>
        <v>-0.007465870307167277</v>
      </c>
      <c r="I168" s="5">
        <f>G168/E168-1</f>
        <v>0.02534156015866018</v>
      </c>
      <c r="J168" s="5">
        <v>-0.02799247963233753</v>
      </c>
      <c r="K168" s="4">
        <v>23602523687.82</v>
      </c>
    </row>
    <row r="169" spans="1:11">
      <c r="A169" s="1" t="s">
        <v>2014</v>
      </c>
      <c r="B169" s="1" t="s">
        <v>2015</v>
      </c>
      <c r="C169" s="1" t="s">
        <v>70</v>
      </c>
      <c r="D169" s="1" t="s">
        <v>243</v>
      </c>
      <c r="E169" s="4">
        <v>187.0708035957639</v>
      </c>
      <c r="F169" s="4">
        <v>177.1313798856648</v>
      </c>
      <c r="G169" s="4">
        <v>176.7953664111127</v>
      </c>
      <c r="H169" s="5">
        <f>G169/F169-1</f>
        <v>-0.001896973166295668</v>
      </c>
      <c r="I169" s="5">
        <f>G169/E169-1</f>
        <v>-0.054928064599835014</v>
      </c>
      <c r="J169" s="5">
        <v>-0.06551316748419223</v>
      </c>
      <c r="K169" s="4">
        <v>42509477545.33022</v>
      </c>
    </row>
    <row r="170" spans="1:11">
      <c r="A170" s="1" t="s">
        <v>2016</v>
      </c>
      <c r="B170" s="1" t="s">
        <v>2017</v>
      </c>
      <c r="C170" s="1" t="s">
        <v>41</v>
      </c>
      <c r="D170" s="1" t="s">
        <v>58</v>
      </c>
      <c r="E170" s="4">
        <v>22.43</v>
      </c>
      <c r="F170" s="4">
        <v>22.48</v>
      </c>
      <c r="G170" s="4">
        <v>21.02</v>
      </c>
      <c r="H170" s="5">
        <f>G170/F170-1</f>
        <v>-0.06494661921708189</v>
      </c>
      <c r="I170" s="5">
        <f>G170/E170-1</f>
        <v>-0.06286223807400804</v>
      </c>
      <c r="J170" s="5">
        <v>-0.08964919878735389</v>
      </c>
      <c r="K170" s="4">
        <v>28228073909.58</v>
      </c>
    </row>
    <row r="171" spans="1:11">
      <c r="A171" s="1" t="s">
        <v>2018</v>
      </c>
      <c r="B171" s="1" t="s">
        <v>2019</v>
      </c>
      <c r="C171" s="1" t="s">
        <v>138</v>
      </c>
      <c r="D171" s="1" t="s">
        <v>258</v>
      </c>
      <c r="E171" s="4">
        <v>28.94</v>
      </c>
      <c r="F171" s="4">
        <v>28.75</v>
      </c>
      <c r="G171" s="4">
        <v>28.4</v>
      </c>
      <c r="H171" s="5">
        <f>G171/F171-1</f>
        <v>-0.012173913043478257</v>
      </c>
      <c r="I171" s="5">
        <f>G171/E171-1</f>
        <v>-0.018659295093296557</v>
      </c>
      <c r="J171" s="5">
        <v>-0.03470789853649869</v>
      </c>
      <c r="K171" s="4">
        <v>137733696818.8</v>
      </c>
    </row>
    <row r="172" spans="1:11">
      <c r="A172" s="1" t="s">
        <v>2020</v>
      </c>
      <c r="B172" s="1" t="s">
        <v>2021</v>
      </c>
      <c r="C172" s="1" t="s">
        <v>70</v>
      </c>
      <c r="D172" s="1" t="s">
        <v>100</v>
      </c>
      <c r="E172" s="4">
        <v>45.43</v>
      </c>
      <c r="F172" s="4">
        <v>45.63</v>
      </c>
      <c r="G172" s="4">
        <v>45.73</v>
      </c>
      <c r="H172" s="5">
        <f>G172/F172-1</f>
        <v>0.002191540653079027</v>
      </c>
      <c r="I172" s="5">
        <f>G172/E172-1</f>
        <v>0.0066035659255998524</v>
      </c>
      <c r="J172" s="5">
        <v>-0.04205607476635509</v>
      </c>
      <c r="K172" s="4">
        <v>35010906246.27</v>
      </c>
    </row>
    <row r="173" spans="1:11">
      <c r="A173" s="1" t="s">
        <v>2022</v>
      </c>
      <c r="B173" s="1" t="s">
        <v>2023</v>
      </c>
      <c r="C173" s="1" t="s">
        <v>54</v>
      </c>
      <c r="D173" s="1" t="s">
        <v>165</v>
      </c>
      <c r="E173" s="4">
        <v>168.5224171552982</v>
      </c>
      <c r="F173" s="4">
        <v>167.7933951503452</v>
      </c>
      <c r="G173" s="4">
        <v>172.9232430484213</v>
      </c>
      <c r="H173" s="5">
        <f>G173/F173-1</f>
        <v>0.030572406580602784</v>
      </c>
      <c r="I173" s="5">
        <f>G173/E173-1</f>
        <v>0.026114186868489986</v>
      </c>
      <c r="J173" s="5">
        <v>-0.02946781003813981</v>
      </c>
      <c r="K173" s="4">
        <v>17670907581.77344</v>
      </c>
    </row>
    <row r="174" spans="1:11">
      <c r="A174" s="1" t="s">
        <v>2024</v>
      </c>
      <c r="B174" s="1" t="s">
        <v>2025</v>
      </c>
      <c r="C174" s="1" t="s">
        <v>54</v>
      </c>
      <c r="D174" s="1" t="s">
        <v>165</v>
      </c>
      <c r="E174" s="4">
        <v>121.8</v>
      </c>
      <c r="F174" s="4">
        <v>123.8</v>
      </c>
      <c r="G174" s="4">
        <v>123.9</v>
      </c>
      <c r="H174" s="5">
        <f>G174/F174-1</f>
        <v>0.0008077544426494665</v>
      </c>
      <c r="I174" s="5">
        <f>G174/E174-1</f>
        <v>0.017241379310344973</v>
      </c>
      <c r="J174" s="5">
        <v>-0.03346613545816735</v>
      </c>
      <c r="K174" s="4">
        <v>50862732177.60001</v>
      </c>
    </row>
    <row r="175" spans="1:11">
      <c r="A175" s="1" t="s">
        <v>2026</v>
      </c>
      <c r="B175" s="1" t="s">
        <v>2027</v>
      </c>
      <c r="C175" s="1" t="s">
        <v>54</v>
      </c>
      <c r="D175" s="1" t="s">
        <v>113</v>
      </c>
      <c r="E175" s="4">
        <v>29.24</v>
      </c>
      <c r="F175" s="4">
        <v>30</v>
      </c>
      <c r="G175" s="4">
        <v>30.45</v>
      </c>
      <c r="H175" s="5">
        <f>G175/F175-1</f>
        <v>0.014999999999999902</v>
      </c>
      <c r="I175" s="5">
        <f>G175/E175-1</f>
        <v>0.04138166894664841</v>
      </c>
      <c r="J175" s="5">
        <v>-0.02423842399189846</v>
      </c>
      <c r="K175" s="4">
        <v>7215876052.349999</v>
      </c>
    </row>
    <row r="176" spans="1:11">
      <c r="A176" s="1" t="s">
        <v>2028</v>
      </c>
      <c r="B176" s="1" t="s">
        <v>2029</v>
      </c>
      <c r="C176" s="1" t="s">
        <v>76</v>
      </c>
      <c r="D176" s="1" t="s">
        <v>76</v>
      </c>
      <c r="E176" s="4">
        <v>4.618</v>
      </c>
      <c r="F176" s="4">
        <v>4.633</v>
      </c>
      <c r="G176" s="4">
        <v>4.649</v>
      </c>
      <c r="H176" s="5">
        <f>G176/F176-1</f>
        <v>0.003453485862292327</v>
      </c>
      <c r="I176" s="5">
        <f>G176/E176-1</f>
        <v>0.006712862711130363</v>
      </c>
      <c r="J176" s="5">
        <v>-0.01676568229610453</v>
      </c>
      <c r="K176" s="4">
        <v>19451516529.976</v>
      </c>
    </row>
    <row r="177" spans="1:11">
      <c r="A177" s="1" t="s">
        <v>2030</v>
      </c>
      <c r="B177" s="1" t="s">
        <v>2031</v>
      </c>
      <c r="C177" s="1" t="s">
        <v>76</v>
      </c>
      <c r="D177" s="1" t="s">
        <v>76</v>
      </c>
      <c r="E177" s="4">
        <v>13.47</v>
      </c>
      <c r="F177" s="4">
        <v>13.2</v>
      </c>
      <c r="G177" s="4">
        <v>13.14</v>
      </c>
      <c r="H177" s="5">
        <f>G177/F177-1</f>
        <v>-0.004545454545454408</v>
      </c>
      <c r="I177" s="5">
        <f>G177/E177-1</f>
        <v>-0.024498886414253906</v>
      </c>
      <c r="J177" s="5">
        <v>-0.04989154013015185</v>
      </c>
      <c r="K177" s="4">
        <v>13924444400.1</v>
      </c>
    </row>
    <row r="178" spans="1:11">
      <c r="A178" s="1" t="s">
        <v>2032</v>
      </c>
      <c r="B178" s="1" t="s">
        <v>2033</v>
      </c>
      <c r="C178" s="1" t="s">
        <v>37</v>
      </c>
      <c r="D178" s="1" t="s">
        <v>51</v>
      </c>
      <c r="E178" s="4">
        <v>163.2</v>
      </c>
      <c r="F178" s="4">
        <v>152.95</v>
      </c>
      <c r="G178" s="4">
        <v>149.8</v>
      </c>
      <c r="H178" s="5">
        <f>G178/F178-1</f>
        <v>-0.02059496567505703</v>
      </c>
      <c r="I178" s="5">
        <f>G178/E178-1</f>
        <v>-0.08210784313725472</v>
      </c>
      <c r="J178" s="5">
        <v>-0.08210784313725472</v>
      </c>
      <c r="K178" s="4">
        <v>69544282690.40001</v>
      </c>
    </row>
    <row r="179" spans="1:11">
      <c r="A179" s="1" t="s">
        <v>2034</v>
      </c>
      <c r="B179" s="1" t="s">
        <v>2035</v>
      </c>
      <c r="C179" s="1" t="s">
        <v>76</v>
      </c>
      <c r="D179" s="1" t="s">
        <v>76</v>
      </c>
      <c r="E179" s="4">
        <v>41.23</v>
      </c>
      <c r="F179" s="4">
        <v>41.2</v>
      </c>
      <c r="G179" s="4">
        <v>41.22</v>
      </c>
      <c r="H179" s="5">
        <f>G179/F179-1</f>
        <v>0.00048543689320368344</v>
      </c>
      <c r="I179" s="5">
        <f>G179/E179-1</f>
        <v>-0.00024254183846705857</v>
      </c>
      <c r="J179" s="5">
        <v>-0.02742316784869969</v>
      </c>
      <c r="K179" s="4">
        <v>42940710392.21999</v>
      </c>
    </row>
    <row r="180" spans="1:11">
      <c r="A180" s="1" t="s">
        <v>2036</v>
      </c>
      <c r="B180" s="1" t="s">
        <v>2037</v>
      </c>
      <c r="C180" s="1" t="s">
        <v>76</v>
      </c>
      <c r="D180" s="1" t="s">
        <v>76</v>
      </c>
      <c r="E180" s="4">
        <v>126.5</v>
      </c>
      <c r="F180" s="4">
        <v>118.7</v>
      </c>
      <c r="G180" s="4">
        <v>119.1</v>
      </c>
      <c r="H180" s="5">
        <f>G180/F180-1</f>
        <v>0.0033698399326032025</v>
      </c>
      <c r="I180" s="5">
        <f>G180/E180-1</f>
        <v>-0.058498023715415015</v>
      </c>
      <c r="J180" s="5">
        <v>-0.07482462977396731</v>
      </c>
      <c r="K180" s="4">
        <v>12990547493.7</v>
      </c>
    </row>
    <row r="181" spans="1:11">
      <c r="A181" s="1" t="s">
        <v>2038</v>
      </c>
      <c r="B181" s="1" t="s">
        <v>2039</v>
      </c>
      <c r="C181" s="1" t="s">
        <v>70</v>
      </c>
      <c r="D181" s="1" t="s">
        <v>71</v>
      </c>
      <c r="E181" s="4">
        <v>24.38</v>
      </c>
      <c r="F181" s="4">
        <v>23.42</v>
      </c>
      <c r="G181" s="4">
        <v>23.42</v>
      </c>
      <c r="H181" s="5">
        <f>G181/F181-1</f>
        <v>0.0</v>
      </c>
      <c r="I181" s="5">
        <f>G181/E181-1</f>
        <v>-0.03937653814602127</v>
      </c>
      <c r="J181" s="5">
        <v>-0.04486133768352352</v>
      </c>
      <c r="K181" s="4">
        <v>5453313930.96</v>
      </c>
    </row>
    <row r="182" spans="1:11">
      <c r="A182" s="1" t="s">
        <v>2040</v>
      </c>
      <c r="B182" s="1" t="s">
        <v>2041</v>
      </c>
      <c r="C182" s="1" t="s">
        <v>138</v>
      </c>
      <c r="D182" s="1" t="s">
        <v>258</v>
      </c>
      <c r="E182" s="4">
        <v>36</v>
      </c>
      <c r="F182" s="4">
        <v>35.74</v>
      </c>
      <c r="G182" s="4">
        <v>35.46</v>
      </c>
      <c r="H182" s="5">
        <f>G182/F182-1</f>
        <v>-0.007834359261331914</v>
      </c>
      <c r="I182" s="5">
        <f>G182/E182-1</f>
        <v>-0.015000000000000013</v>
      </c>
      <c r="J182" s="5">
        <v>-0.03723986856516992</v>
      </c>
      <c r="K182" s="4">
        <v>5933701688.58</v>
      </c>
    </row>
    <row r="183" spans="1:11">
      <c r="A183" s="1" t="s">
        <v>2042</v>
      </c>
      <c r="B183" s="1" t="s">
        <v>2043</v>
      </c>
      <c r="C183" s="1" t="s">
        <v>54</v>
      </c>
      <c r="D183" s="1" t="s">
        <v>113</v>
      </c>
      <c r="E183" s="4">
        <v>3.547714090053074</v>
      </c>
      <c r="F183" s="4">
        <v>3.570764973790496</v>
      </c>
      <c r="G183" s="4">
        <v>3.578652439549093</v>
      </c>
      <c r="H183" s="5">
        <f>G183/F183-1</f>
        <v>0.0022089008423942236</v>
      </c>
      <c r="I183" s="5">
        <f>G183/E183-1</f>
        <v>0.008720643408882012</v>
      </c>
      <c r="J183" s="5">
        <v>-0.03156498083999926</v>
      </c>
      <c r="K183" s="4">
        <v>4087934447.682837</v>
      </c>
    </row>
    <row r="184" spans="1:11">
      <c r="A184" s="1" t="s">
        <v>2044</v>
      </c>
      <c r="B184" s="1" t="s">
        <v>2045</v>
      </c>
      <c r="C184" s="1" t="s">
        <v>93</v>
      </c>
      <c r="D184" s="1" t="s">
        <v>93</v>
      </c>
      <c r="E184" s="4">
        <v>829.7314014664523</v>
      </c>
      <c r="F184" s="4">
        <v>842.3738979336921</v>
      </c>
      <c r="G184" s="4">
        <v>839.0302673203603</v>
      </c>
      <c r="H184" s="5">
        <f>G184/F184-1</f>
        <v>-0.0039692951331156134</v>
      </c>
      <c r="I184" s="5">
        <f>G184/E184-1</f>
        <v>0.011207079589218072</v>
      </c>
      <c r="J184" s="5">
        <v>-0.01056718747564056</v>
      </c>
      <c r="K184" s="4">
        <v>19624102415.20339</v>
      </c>
    </row>
    <row r="185" spans="1:11">
      <c r="A185" s="1" t="s">
        <v>2046</v>
      </c>
      <c r="B185" s="1" t="s">
        <v>2047</v>
      </c>
      <c r="C185" s="1" t="s">
        <v>70</v>
      </c>
      <c r="D185" s="1" t="s">
        <v>100</v>
      </c>
      <c r="E185" s="4">
        <v>46.19</v>
      </c>
      <c r="F185" s="4">
        <v>44.21</v>
      </c>
      <c r="G185" s="4">
        <v>44.51</v>
      </c>
      <c r="H185" s="5">
        <f>G185/F185-1</f>
        <v>0.006785795068988909</v>
      </c>
      <c r="I185" s="5">
        <f>G185/E185-1</f>
        <v>-0.03637150898462871</v>
      </c>
      <c r="J185" s="5">
        <v>-0.05066031608573274</v>
      </c>
      <c r="K185" s="4">
        <v>17287444936.79</v>
      </c>
    </row>
    <row r="186" spans="1:11">
      <c r="A186" s="1" t="s">
        <v>2048</v>
      </c>
      <c r="B186" s="1" t="s">
        <v>2049</v>
      </c>
      <c r="C186" s="1" t="s">
        <v>76</v>
      </c>
      <c r="D186" s="1" t="s">
        <v>76</v>
      </c>
      <c r="E186" s="4">
        <v>9.503</v>
      </c>
      <c r="F186" s="4">
        <v>9.02</v>
      </c>
      <c r="G186" s="4">
        <v>9.066000000000001</v>
      </c>
      <c r="H186" s="5">
        <f>G186/F186-1</f>
        <v>0.0050997782705100025</v>
      </c>
      <c r="I186" s="5">
        <f>G186/E186-1</f>
        <v>-0.045985478270019975</v>
      </c>
      <c r="J186" s="5">
        <v>-0.05768425460636517</v>
      </c>
      <c r="K186" s="4">
        <v>92171120390.43602</v>
      </c>
    </row>
    <row r="187" spans="1:11">
      <c r="A187" s="1" t="s">
        <v>2050</v>
      </c>
      <c r="B187" s="1" t="s">
        <v>2051</v>
      </c>
      <c r="C187" s="1" t="s">
        <v>76</v>
      </c>
      <c r="D187" s="1" t="s">
        <v>76</v>
      </c>
      <c r="E187" s="4">
        <v>16.78</v>
      </c>
      <c r="F187" s="4">
        <v>16.5</v>
      </c>
      <c r="G187" s="4">
        <v>16.6</v>
      </c>
      <c r="H187" s="5">
        <f>G187/F187-1</f>
        <v>0.0060606060606061</v>
      </c>
      <c r="I187" s="5">
        <f>G187/E187-1</f>
        <v>-0.010727056019070313</v>
      </c>
      <c r="J187" s="5">
        <v>-0.0230905861456483</v>
      </c>
      <c r="K187" s="4">
        <v>4349035228.4</v>
      </c>
    </row>
    <row r="188" spans="1:11">
      <c r="A188" s="1" t="s">
        <v>2052</v>
      </c>
      <c r="B188" s="1" t="s">
        <v>2053</v>
      </c>
      <c r="C188" s="1" t="s">
        <v>76</v>
      </c>
      <c r="D188" s="1" t="s">
        <v>76</v>
      </c>
      <c r="E188" s="4">
        <v>25.29</v>
      </c>
      <c r="F188" s="4">
        <v>23.79</v>
      </c>
      <c r="G188" s="4">
        <v>24.01</v>
      </c>
      <c r="H188" s="5">
        <f>G188/F188-1</f>
        <v>0.009247583018074934</v>
      </c>
      <c r="I188" s="5">
        <f>G188/E188-1</f>
        <v>-0.05061289047054163</v>
      </c>
      <c r="J188" s="5">
        <v>-0.06079747335175678</v>
      </c>
      <c r="K188" s="4">
        <v>61043693110.68001</v>
      </c>
    </row>
    <row r="189" spans="1:11">
      <c r="A189" s="1" t="s">
        <v>2054</v>
      </c>
      <c r="B189" s="1" t="s">
        <v>2055</v>
      </c>
      <c r="C189" s="1" t="s">
        <v>129</v>
      </c>
      <c r="D189" s="1" t="s">
        <v>129</v>
      </c>
      <c r="E189" s="4">
        <v>24.14</v>
      </c>
      <c r="F189" s="4">
        <v>23.86</v>
      </c>
      <c r="G189" s="4">
        <v>23.075</v>
      </c>
      <c r="H189" s="5">
        <f>G189/F189-1</f>
        <v>-0.03290025146689024</v>
      </c>
      <c r="I189" s="5">
        <f>G189/E189-1</f>
        <v>-0.044117647058823595</v>
      </c>
      <c r="J189" s="5">
        <v>-0.05923777961888976</v>
      </c>
      <c r="K189" s="4">
        <v>69870688941.95001</v>
      </c>
    </row>
    <row r="190" spans="1:11">
      <c r="A190" s="1" t="s">
        <v>2056</v>
      </c>
      <c r="B190" s="1" t="s">
        <v>2057</v>
      </c>
      <c r="C190" s="1" t="s">
        <v>70</v>
      </c>
      <c r="D190" s="1" t="s">
        <v>100</v>
      </c>
      <c r="E190" s="4">
        <v>153.36</v>
      </c>
      <c r="F190" s="4">
        <v>145.4</v>
      </c>
      <c r="G190" s="4">
        <v>146.52</v>
      </c>
      <c r="H190" s="5">
        <f>G190/F190-1</f>
        <v>0.007702888583218659</v>
      </c>
      <c r="I190" s="5">
        <f>G190/E190-1</f>
        <v>-0.04460093896713613</v>
      </c>
      <c r="J190" s="5">
        <v>-0.081377119960795</v>
      </c>
      <c r="K190" s="4">
        <v>126169091999.28</v>
      </c>
    </row>
    <row r="191" spans="1:11">
      <c r="A191" s="1" t="s">
        <v>2058</v>
      </c>
      <c r="B191" s="1" t="s">
        <v>2059</v>
      </c>
      <c r="C191" s="1" t="s">
        <v>47</v>
      </c>
      <c r="D191" s="1" t="s">
        <v>48</v>
      </c>
      <c r="E191" s="4">
        <v>6.277982537236776</v>
      </c>
      <c r="F191" s="4">
        <v>6.119648706711351</v>
      </c>
      <c r="G191" s="4">
        <v>6.140483607262714</v>
      </c>
      <c r="H191" s="5">
        <f>G191/F191-1</f>
        <v>0.0034045909413906728</v>
      </c>
      <c r="I191" s="5">
        <f>G191/E191-1</f>
        <v>-0.021901770060446912</v>
      </c>
      <c r="J191" s="5">
        <v>-0.0603073362210842</v>
      </c>
      <c r="K191" s="4">
        <v>3929584621.80096</v>
      </c>
    </row>
    <row r="192" spans="1:11">
      <c r="A192" s="1" t="s">
        <v>2060</v>
      </c>
      <c r="B192" s="1" t="s">
        <v>2061</v>
      </c>
      <c r="C192" s="1" t="s">
        <v>54</v>
      </c>
      <c r="D192" s="1" t="s">
        <v>113</v>
      </c>
      <c r="E192" s="4">
        <v>163.2</v>
      </c>
      <c r="F192" s="4">
        <v>161.7</v>
      </c>
      <c r="G192" s="4">
        <v>160.3</v>
      </c>
      <c r="H192" s="5">
        <f>G192/F192-1</f>
        <v>-0.008658008658008476</v>
      </c>
      <c r="I192" s="5">
        <f>G192/E192-1</f>
        <v>-0.01776960784313708</v>
      </c>
      <c r="J192" s="5">
        <v>-0.03871748336358138</v>
      </c>
      <c r="K192" s="4">
        <v>16306026982</v>
      </c>
    </row>
    <row r="193" spans="1:11">
      <c r="A193" s="1" t="s">
        <v>2062</v>
      </c>
      <c r="B193" s="1" t="s">
        <v>2063</v>
      </c>
      <c r="C193" s="1" t="s">
        <v>76</v>
      </c>
      <c r="D193" s="1" t="s">
        <v>76</v>
      </c>
      <c r="E193" s="4">
        <v>17.41</v>
      </c>
      <c r="F193" s="4">
        <v>17.455</v>
      </c>
      <c r="G193" s="4">
        <v>17.5</v>
      </c>
      <c r="H193" s="5">
        <f>G193/F193-1</f>
        <v>0.0025780578630765216</v>
      </c>
      <c r="I193" s="5">
        <f>G193/E193-1</f>
        <v>0.005169442848937278</v>
      </c>
      <c r="J193" s="5">
        <v>-0.02404249370981282</v>
      </c>
      <c r="K193" s="4">
        <v>46223079000</v>
      </c>
    </row>
    <row r="194" spans="1:11">
      <c r="A194" s="1" t="s">
        <v>2064</v>
      </c>
      <c r="B194" s="1" t="s">
        <v>2065</v>
      </c>
      <c r="C194" s="1" t="s">
        <v>70</v>
      </c>
      <c r="D194" s="1" t="s">
        <v>100</v>
      </c>
      <c r="E194" s="4">
        <v>23.72425539090923</v>
      </c>
      <c r="F194" s="4">
        <v>23.35683850398184</v>
      </c>
      <c r="G194" s="4">
        <v>23.60363007668887</v>
      </c>
      <c r="H194" s="5">
        <f>G194/F194-1</f>
        <v>0.010566137735848136</v>
      </c>
      <c r="I194" s="5">
        <f>G194/E194-1</f>
        <v>-0.005084472082802716</v>
      </c>
      <c r="J194" s="5">
        <v>-0.06811161379745545</v>
      </c>
      <c r="K194" s="4">
        <v>27241428252.83035</v>
      </c>
    </row>
    <row r="195" spans="1:11">
      <c r="A195" s="1" t="s">
        <v>2066</v>
      </c>
      <c r="B195" s="1" t="s">
        <v>2067</v>
      </c>
      <c r="C195" s="1" t="s">
        <v>129</v>
      </c>
      <c r="D195" s="1" t="s">
        <v>129</v>
      </c>
      <c r="E195" s="4">
        <v>36.75765856960565</v>
      </c>
      <c r="F195" s="4">
        <v>37.09289571734671</v>
      </c>
      <c r="G195" s="4">
        <v>36.44138731572689</v>
      </c>
      <c r="H195" s="5">
        <f>G195/F195-1</f>
        <v>-0.017564236736447025</v>
      </c>
      <c r="I195" s="5">
        <f>G195/E195-1</f>
        <v>-0.00860422742324185</v>
      </c>
      <c r="J195" s="5">
        <v>-0.03865740729663281</v>
      </c>
      <c r="K195" s="4">
        <v>87122211741.34224</v>
      </c>
    </row>
    <row r="196" spans="1:11">
      <c r="A196" s="1" t="s">
        <v>2068</v>
      </c>
      <c r="B196" s="1" t="s">
        <v>2069</v>
      </c>
      <c r="C196" s="1" t="s">
        <v>54</v>
      </c>
      <c r="D196" s="1" t="s">
        <v>113</v>
      </c>
      <c r="E196" s="4">
        <v>30.46255896171646</v>
      </c>
      <c r="F196" s="4">
        <v>29.09692574435083</v>
      </c>
      <c r="G196" s="4">
        <v>28.73289776396019</v>
      </c>
      <c r="H196" s="5">
        <f>G196/F196-1</f>
        <v>-0.01251087429610409</v>
      </c>
      <c r="I196" s="5">
        <f>G196/E196-1</f>
        <v>-0.05677990479821515</v>
      </c>
      <c r="J196" s="5">
        <v>-0.06378432039848747</v>
      </c>
      <c r="K196" s="4">
        <v>35243854688.29276</v>
      </c>
    </row>
    <row r="197" spans="1:11">
      <c r="A197" s="1" t="s">
        <v>2070</v>
      </c>
      <c r="B197" s="1" t="s">
        <v>2071</v>
      </c>
      <c r="C197" s="1" t="s">
        <v>37</v>
      </c>
      <c r="D197" s="1" t="s">
        <v>38</v>
      </c>
      <c r="E197" s="4">
        <v>72.84</v>
      </c>
      <c r="F197" s="4">
        <v>73.45999999999999</v>
      </c>
      <c r="G197" s="4">
        <v>72.72</v>
      </c>
      <c r="H197" s="5">
        <f>G197/F197-1</f>
        <v>-0.010073509392866775</v>
      </c>
      <c r="I197" s="5">
        <f>G197/E197-1</f>
        <v>-0.0016474464579901982</v>
      </c>
      <c r="J197" s="5">
        <v>-0.02321814254859611</v>
      </c>
      <c r="K197" s="4">
        <v>12798720000</v>
      </c>
    </row>
    <row r="198" spans="1:11">
      <c r="A198" s="1" t="s">
        <v>2072</v>
      </c>
      <c r="B198" s="1" t="s">
        <v>2073</v>
      </c>
      <c r="C198" s="1" t="s">
        <v>41</v>
      </c>
      <c r="D198" s="1" t="s">
        <v>42</v>
      </c>
      <c r="E198" s="4">
        <v>8.74080076621223</v>
      </c>
      <c r="F198" s="4">
        <v>8.722769935129023</v>
      </c>
      <c r="G198" s="4">
        <v>8.734153012746557</v>
      </c>
      <c r="H198" s="5">
        <f>G198/F198-1</f>
        <v>0.0013049842770347375</v>
      </c>
      <c r="I198" s="5">
        <f>G198/E198-1</f>
        <v>-0.0007605428430962347</v>
      </c>
      <c r="J198" s="5">
        <v>-0.02488379803306484</v>
      </c>
      <c r="K198" s="4">
        <v>29475109710.94322</v>
      </c>
    </row>
    <row r="199" spans="1:11">
      <c r="A199" s="1" t="s">
        <v>2074</v>
      </c>
      <c r="B199" s="1" t="s">
        <v>2075</v>
      </c>
      <c r="C199" s="1" t="s">
        <v>66</v>
      </c>
      <c r="D199" s="1" t="s">
        <v>240</v>
      </c>
      <c r="E199" s="4">
        <v>24.73726210222521</v>
      </c>
      <c r="F199" s="4">
        <v>24.60938501326174</v>
      </c>
      <c r="G199" s="4">
        <v>24.49450288553073</v>
      </c>
      <c r="H199" s="5">
        <f>G199/F199-1</f>
        <v>-0.004668224243275287</v>
      </c>
      <c r="I199" s="5">
        <f>G199/E199-1</f>
        <v>-0.009813503842554971</v>
      </c>
      <c r="J199" s="5">
        <v>-0.03517900065812529</v>
      </c>
      <c r="K199" s="4">
        <v>16702904367.37941</v>
      </c>
    </row>
    <row r="200" spans="1:11">
      <c r="A200" s="1" t="s">
        <v>2076</v>
      </c>
      <c r="B200" s="1" t="s">
        <v>2077</v>
      </c>
      <c r="C200" s="1" t="s">
        <v>138</v>
      </c>
      <c r="D200" s="1" t="s">
        <v>139</v>
      </c>
      <c r="E200" s="4">
        <v>59.65</v>
      </c>
      <c r="F200" s="4">
        <v>58.95</v>
      </c>
      <c r="G200" s="4">
        <v>58.65</v>
      </c>
      <c r="H200" s="5">
        <f>G200/F200-1</f>
        <v>-0.0050890585241730735</v>
      </c>
      <c r="I200" s="5">
        <f>G200/E200-1</f>
        <v>-0.01676445934618609</v>
      </c>
      <c r="J200" s="5">
        <v>-0.05427631578947367</v>
      </c>
      <c r="K200" s="4">
        <v>5630400000</v>
      </c>
    </row>
    <row r="201" spans="1:11">
      <c r="A201" s="1" t="s">
        <v>2078</v>
      </c>
      <c r="B201" s="1" t="s">
        <v>2079</v>
      </c>
      <c r="C201" s="1" t="s">
        <v>93</v>
      </c>
      <c r="D201" s="1" t="s">
        <v>93</v>
      </c>
      <c r="E201" s="4">
        <v>18.38</v>
      </c>
      <c r="F201" s="4">
        <v>18.78</v>
      </c>
      <c r="G201" s="4">
        <v>18.6</v>
      </c>
      <c r="H201" s="5">
        <f>G201/F201-1</f>
        <v>-0.009584664536741228</v>
      </c>
      <c r="I201" s="5">
        <f>G201/E201-1</f>
        <v>0.011969532100108982</v>
      </c>
      <c r="J201" s="5">
        <v>-0.02156759600210412</v>
      </c>
      <c r="K201" s="4">
        <v>8667600000</v>
      </c>
    </row>
    <row r="202" spans="1:11">
      <c r="A202" s="1" t="s">
        <v>2080</v>
      </c>
      <c r="B202" s="1" t="s">
        <v>2081</v>
      </c>
      <c r="C202" s="1" t="s">
        <v>47</v>
      </c>
      <c r="D202" s="1" t="s">
        <v>48</v>
      </c>
      <c r="E202" s="4">
        <v>74.1665627927776</v>
      </c>
      <c r="F202" s="4">
        <v>76.18005891692226</v>
      </c>
      <c r="G202" s="4">
        <v>76.1291309373953</v>
      </c>
      <c r="H202" s="5">
        <f>G202/F202-1</f>
        <v>-0.0006685211359904741</v>
      </c>
      <c r="I202" s="5">
        <f>G202/E202-1</f>
        <v>0.026461630021889393</v>
      </c>
      <c r="J202" s="5">
        <v>-0.02001800864207748</v>
      </c>
      <c r="K202" s="4">
        <v>15166948907.29078</v>
      </c>
    </row>
    <row r="203" spans="1:11">
      <c r="A203" s="1" t="s">
        <v>2082</v>
      </c>
      <c r="B203" s="1" t="s">
        <v>2083</v>
      </c>
      <c r="C203" s="1" t="s">
        <v>54</v>
      </c>
      <c r="D203" s="1" t="s">
        <v>113</v>
      </c>
      <c r="E203" s="4">
        <v>71.2</v>
      </c>
      <c r="F203" s="4">
        <v>73.5</v>
      </c>
      <c r="G203" s="4">
        <v>73.84999999999999</v>
      </c>
      <c r="H203" s="5">
        <f>G203/F203-1</f>
        <v>0.004761904761904745</v>
      </c>
      <c r="I203" s="5">
        <f>G203/E203-1</f>
        <v>0.03721910112359539</v>
      </c>
      <c r="J203" s="5">
        <v>-0.008885850991114275</v>
      </c>
      <c r="K203" s="4">
        <v>15344534685.2</v>
      </c>
    </row>
    <row r="204" spans="1:11">
      <c r="A204" s="1" t="s">
        <v>2084</v>
      </c>
      <c r="B204" s="1" t="s">
        <v>2085</v>
      </c>
      <c r="C204" s="1" t="s">
        <v>70</v>
      </c>
      <c r="D204" s="1" t="s">
        <v>71</v>
      </c>
      <c r="E204" s="4">
        <v>34.43781715459682</v>
      </c>
      <c r="F204" s="4">
        <v>34.25280742459397</v>
      </c>
      <c r="G204" s="4">
        <v>32.73838740211686</v>
      </c>
      <c r="H204" s="5">
        <f>G204/F204-1</f>
        <v>-0.044213018912713675</v>
      </c>
      <c r="I204" s="5">
        <f>G204/E204-1</f>
        <v>-0.04934777790505562</v>
      </c>
      <c r="J204" s="5">
        <v>-0.07942068244863887</v>
      </c>
      <c r="K204" s="4">
        <v>29057665867.10996</v>
      </c>
    </row>
    <row r="205" spans="1:11">
      <c r="A205" s="1" t="s">
        <v>2086</v>
      </c>
      <c r="B205" s="1" t="s">
        <v>2087</v>
      </c>
      <c r="C205" s="1" t="s">
        <v>54</v>
      </c>
      <c r="D205" s="1" t="s">
        <v>165</v>
      </c>
      <c r="E205" s="4">
        <v>23.63</v>
      </c>
      <c r="F205" s="4">
        <v>23.42</v>
      </c>
      <c r="G205" s="4">
        <v>23.37</v>
      </c>
      <c r="H205" s="5">
        <f>G205/F205-1</f>
        <v>-0.002134927412468013</v>
      </c>
      <c r="I205" s="5">
        <f>G205/E205-1</f>
        <v>-0.0110029623360135</v>
      </c>
      <c r="J205" s="5">
        <v>-0.03144654088050314</v>
      </c>
      <c r="K205" s="4">
        <v>14299883392.11</v>
      </c>
    </row>
    <row r="206" spans="1:11">
      <c r="A206" s="1" t="s">
        <v>2088</v>
      </c>
      <c r="B206" s="1" t="s">
        <v>2089</v>
      </c>
      <c r="C206" s="1" t="s">
        <v>47</v>
      </c>
      <c r="D206" s="1" t="s">
        <v>48</v>
      </c>
      <c r="E206" s="4">
        <v>22.15</v>
      </c>
      <c r="F206" s="4">
        <v>22.37</v>
      </c>
      <c r="G206" s="4">
        <v>22.29</v>
      </c>
      <c r="H206" s="5">
        <f>G206/F206-1</f>
        <v>-0.0035762181493071976</v>
      </c>
      <c r="I206" s="5">
        <f>G206/E206-1</f>
        <v>0.006320541760722387</v>
      </c>
      <c r="J206" s="5">
        <v>-0.01338087246951847</v>
      </c>
      <c r="K206" s="4">
        <v>4129668300</v>
      </c>
    </row>
    <row r="207" spans="1:11">
      <c r="A207" s="1" t="s">
        <v>2090</v>
      </c>
      <c r="B207" s="1" t="s">
        <v>2091</v>
      </c>
      <c r="C207" s="1" t="s">
        <v>70</v>
      </c>
      <c r="D207" s="1" t="s">
        <v>100</v>
      </c>
      <c r="E207" s="4">
        <v>53.76</v>
      </c>
      <c r="F207" s="4">
        <v>49.81</v>
      </c>
      <c r="G207" s="4">
        <v>50</v>
      </c>
      <c r="H207" s="5">
        <f>G207/F207-1</f>
        <v>0.003814495081308822</v>
      </c>
      <c r="I207" s="5">
        <f>G207/E207-1</f>
        <v>-0.06994047619047616</v>
      </c>
      <c r="J207" s="5">
        <v>-0.08003696857670972</v>
      </c>
      <c r="K207" s="4">
        <v>36477768600</v>
      </c>
    </row>
    <row r="208" spans="1:11">
      <c r="A208" s="1" t="s">
        <v>2092</v>
      </c>
      <c r="B208" s="1" t="s">
        <v>2093</v>
      </c>
      <c r="C208" s="1" t="s">
        <v>70</v>
      </c>
      <c r="D208" s="1" t="s">
        <v>100</v>
      </c>
      <c r="E208" s="4">
        <v>118</v>
      </c>
      <c r="F208" s="4">
        <v>109.25</v>
      </c>
      <c r="G208" s="4">
        <v>108.9</v>
      </c>
      <c r="H208" s="5">
        <f>G208/F208-1</f>
        <v>-0.0032036613272310444</v>
      </c>
      <c r="I208" s="5">
        <f>G208/E208-1</f>
        <v>-0.07711864406779656</v>
      </c>
      <c r="J208" s="5">
        <v>-0.09650231774125584</v>
      </c>
      <c r="K208" s="4">
        <v>10672200000</v>
      </c>
    </row>
    <row r="209" spans="1:11">
      <c r="A209" s="1" t="s">
        <v>2094</v>
      </c>
      <c r="B209" s="1" t="s">
        <v>2095</v>
      </c>
      <c r="C209" s="1" t="s">
        <v>70</v>
      </c>
      <c r="D209" s="1" t="s">
        <v>243</v>
      </c>
      <c r="E209" s="4">
        <v>243.2026619108365</v>
      </c>
      <c r="F209" s="4">
        <v>220.5100279654272</v>
      </c>
      <c r="G209" s="4">
        <v>220.3384935218994</v>
      </c>
      <c r="H209" s="5">
        <f>G209/F209-1</f>
        <v>-0.0007778986067460414</v>
      </c>
      <c r="I209" s="5">
        <f>G209/E209-1</f>
        <v>-0.09401282127956145</v>
      </c>
      <c r="J209" s="5">
        <v>-0.1202895667855524</v>
      </c>
      <c r="K209" s="4">
        <v>6764804885.797666</v>
      </c>
    </row>
    <row r="210" spans="1:11">
      <c r="A210" s="1" t="s">
        <v>2096</v>
      </c>
      <c r="B210" s="1" t="s">
        <v>2097</v>
      </c>
      <c r="C210" s="1" t="s">
        <v>70</v>
      </c>
      <c r="D210" s="1" t="s">
        <v>100</v>
      </c>
      <c r="E210" s="4">
        <v>78.05206571192578</v>
      </c>
      <c r="F210" s="4">
        <v>75.72232705082044</v>
      </c>
      <c r="G210" s="4">
        <v>76.79193365113787</v>
      </c>
      <c r="H210" s="5">
        <f>G210/F210-1</f>
        <v>0.014125379422103235</v>
      </c>
      <c r="I210" s="5">
        <f>G210/E210-1</f>
        <v>-0.016144762464568196</v>
      </c>
      <c r="J210" s="5">
        <v>-0.07156358775197424</v>
      </c>
      <c r="K210" s="4">
        <v>4427054974.988098</v>
      </c>
    </row>
    <row r="211" spans="1:11">
      <c r="A211" s="1" t="s">
        <v>2098</v>
      </c>
      <c r="B211" s="1" t="s">
        <v>2099</v>
      </c>
      <c r="C211" s="1" t="s">
        <v>37</v>
      </c>
      <c r="D211" s="1" t="s">
        <v>51</v>
      </c>
      <c r="E211" s="4">
        <v>40.14</v>
      </c>
      <c r="F211" s="4">
        <v>38.6</v>
      </c>
      <c r="G211" s="4">
        <v>39.22</v>
      </c>
      <c r="H211" s="5">
        <f>G211/F211-1</f>
        <v>0.016062176165803077</v>
      </c>
      <c r="I211" s="5">
        <f>G211/E211-1</f>
        <v>-0.02291978076731449</v>
      </c>
      <c r="J211" s="5">
        <v>-0.04360753221010893</v>
      </c>
      <c r="K211" s="4">
        <v>10436821845.7</v>
      </c>
    </row>
    <row r="212" spans="1:11">
      <c r="A212" s="1" t="s">
        <v>2100</v>
      </c>
      <c r="B212" s="1" t="s">
        <v>2101</v>
      </c>
      <c r="C212" s="1" t="s">
        <v>138</v>
      </c>
      <c r="D212" s="1" t="s">
        <v>258</v>
      </c>
      <c r="E212" s="4">
        <v>24.34</v>
      </c>
      <c r="F212" s="4">
        <v>24.34</v>
      </c>
      <c r="G212" s="4">
        <v>24.38</v>
      </c>
      <c r="H212" s="5">
        <f>G212/F212-1</f>
        <v>0.0016433853738702098</v>
      </c>
      <c r="I212" s="5">
        <f>G212/E212-1</f>
        <v>0.0016433853738702098</v>
      </c>
      <c r="J212" s="5">
        <v>-0.01059491904460019</v>
      </c>
      <c r="K212" s="4">
        <v>2898796579.24</v>
      </c>
    </row>
    <row r="213" spans="1:11">
      <c r="A213" s="1" t="s">
        <v>2102</v>
      </c>
      <c r="B213" s="1" t="s">
        <v>2103</v>
      </c>
      <c r="C213" s="1" t="s">
        <v>76</v>
      </c>
      <c r="D213" s="1" t="s">
        <v>76</v>
      </c>
      <c r="E213" s="4">
        <v>19.965</v>
      </c>
      <c r="F213" s="4">
        <v>20.38</v>
      </c>
      <c r="G213" s="4">
        <v>20.98</v>
      </c>
      <c r="H213" s="5">
        <f>G213/F213-1</f>
        <v>0.02944062806673209</v>
      </c>
      <c r="I213" s="5">
        <f>G213/E213-1</f>
        <v>0.050838968194340195</v>
      </c>
      <c r="J213" s="5">
        <v>-0.03182897862232792</v>
      </c>
      <c r="K213" s="4">
        <v>18824608475.7</v>
      </c>
    </row>
    <row r="214" spans="1:11">
      <c r="A214" s="1" t="s">
        <v>2104</v>
      </c>
      <c r="B214" s="1" t="s">
        <v>2105</v>
      </c>
      <c r="C214" s="1" t="s">
        <v>93</v>
      </c>
      <c r="D214" s="1" t="s">
        <v>93</v>
      </c>
      <c r="E214" s="4">
        <v>40.06</v>
      </c>
      <c r="F214" s="4">
        <v>42.18</v>
      </c>
      <c r="G214" s="4">
        <v>42.58</v>
      </c>
      <c r="H214" s="5">
        <f>G214/F214-1</f>
        <v>0.009483167377904111</v>
      </c>
      <c r="I214" s="5">
        <f>G214/E214-1</f>
        <v>0.0629056415376934</v>
      </c>
      <c r="J214" s="5">
        <v>-0.01148277583624568</v>
      </c>
      <c r="K214" s="4">
        <v>5156815000</v>
      </c>
    </row>
    <row r="215" spans="1:11">
      <c r="A215" s="1" t="s">
        <v>2106</v>
      </c>
      <c r="B215" s="1" t="s">
        <v>2107</v>
      </c>
      <c r="C215" s="1" t="s">
        <v>47</v>
      </c>
      <c r="D215" s="1" t="s">
        <v>142</v>
      </c>
      <c r="E215" s="4">
        <v>14.25</v>
      </c>
      <c r="F215" s="4">
        <v>14.485</v>
      </c>
      <c r="G215" s="4">
        <v>14.52</v>
      </c>
      <c r="H215" s="5">
        <f>G215/F215-1</f>
        <v>0.0024162927166033743</v>
      </c>
      <c r="I215" s="5">
        <f>G215/E215-1</f>
        <v>0.0189473684210526</v>
      </c>
      <c r="J215" s="5">
        <v>-0.04245614035087719</v>
      </c>
      <c r="K215" s="4">
        <v>3566222700.48</v>
      </c>
    </row>
    <row r="216" spans="1:11">
      <c r="A216" s="1" t="s">
        <v>2108</v>
      </c>
      <c r="B216" s="1" t="s">
        <v>2109</v>
      </c>
      <c r="C216" s="1" t="s">
        <v>70</v>
      </c>
      <c r="D216" s="1" t="s">
        <v>243</v>
      </c>
      <c r="E216" s="4">
        <v>63</v>
      </c>
      <c r="F216" s="4">
        <v>61.95</v>
      </c>
      <c r="G216" s="4">
        <v>62.45</v>
      </c>
      <c r="H216" s="5">
        <f>G216/F216-1</f>
        <v>0.008071025020177647</v>
      </c>
      <c r="I216" s="5">
        <f>G216/E216-1</f>
        <v>-0.0087301587301587</v>
      </c>
      <c r="J216" s="5">
        <v>-0.05635948210205644</v>
      </c>
      <c r="K216" s="4">
        <v>5774670564.8</v>
      </c>
    </row>
    <row r="217" spans="1:11">
      <c r="A217" s="1" t="s">
        <v>2110</v>
      </c>
      <c r="B217" s="1" t="s">
        <v>2111</v>
      </c>
      <c r="C217" s="1" t="s">
        <v>37</v>
      </c>
      <c r="D217" s="1" t="s">
        <v>51</v>
      </c>
      <c r="E217" s="4">
        <v>46.6</v>
      </c>
      <c r="F217" s="4">
        <v>44.225</v>
      </c>
      <c r="G217" s="4">
        <v>43.63</v>
      </c>
      <c r="H217" s="5">
        <f>G217/F217-1</f>
        <v>-0.013453928773318191</v>
      </c>
      <c r="I217" s="5">
        <f>G217/E217-1</f>
        <v>-0.06373390557939906</v>
      </c>
      <c r="J217" s="5">
        <v>-0.06373390557939906</v>
      </c>
      <c r="K217" s="4">
        <v>24574042395.51</v>
      </c>
    </row>
    <row r="218" spans="1:11">
      <c r="A218" s="1" t="s">
        <v>2112</v>
      </c>
      <c r="B218" s="1" t="s">
        <v>2113</v>
      </c>
      <c r="C218" s="1" t="s">
        <v>93</v>
      </c>
      <c r="D218" s="1" t="s">
        <v>93</v>
      </c>
      <c r="E218" s="4">
        <v>37.59082177709297</v>
      </c>
      <c r="F218" s="4">
        <v>36.80169115751482</v>
      </c>
      <c r="G218" s="4">
        <v>36.60091214181224</v>
      </c>
      <c r="H218" s="5">
        <f>G218/F218-1</f>
        <v>-0.005455700794923413</v>
      </c>
      <c r="I218" s="5">
        <f>G218/E218-1</f>
        <v>-0.02633381204461871</v>
      </c>
      <c r="J218" s="5">
        <v>-0.07637673780376542</v>
      </c>
      <c r="K218" s="4">
        <v>26970977508.8537</v>
      </c>
    </row>
    <row r="219" spans="1:11">
      <c r="A219" s="1" t="s">
        <v>2114</v>
      </c>
      <c r="B219" s="1" t="s">
        <v>2115</v>
      </c>
      <c r="C219" s="1" t="s">
        <v>129</v>
      </c>
      <c r="D219" s="1" t="s">
        <v>129</v>
      </c>
      <c r="E219" s="4">
        <v>38.12075891245246</v>
      </c>
      <c r="F219" s="4">
        <v>39.16595176542198</v>
      </c>
      <c r="G219" s="4">
        <v>40.30217453896319</v>
      </c>
      <c r="H219" s="5">
        <f>G219/F219-1</f>
        <v>0.029010472676533672</v>
      </c>
      <c r="I219" s="5">
        <f>G219/E219-1</f>
        <v>0.0572238247281629</v>
      </c>
      <c r="J219" s="5">
        <v>-0.05860884851950854</v>
      </c>
      <c r="K219" s="4">
        <v>8972186528.84623</v>
      </c>
    </row>
    <row r="220" spans="1:11">
      <c r="A220" s="1" t="s">
        <v>2116</v>
      </c>
      <c r="B220" s="1" t="s">
        <v>2117</v>
      </c>
      <c r="C220" s="1" t="s">
        <v>54</v>
      </c>
      <c r="D220" s="1" t="s">
        <v>113</v>
      </c>
      <c r="E220" s="4">
        <v>35.8</v>
      </c>
      <c r="F220" s="4">
        <v>37.46</v>
      </c>
      <c r="G220" s="4">
        <v>36.14</v>
      </c>
      <c r="H220" s="5">
        <f>G220/F220-1</f>
        <v>-0.03523758675920985</v>
      </c>
      <c r="I220" s="5">
        <f>G220/E220-1</f>
        <v>0.009497206703910743</v>
      </c>
      <c r="J220" s="5">
        <v>-0.06032239052780708</v>
      </c>
      <c r="K220" s="4">
        <v>3980262564.72</v>
      </c>
    </row>
    <row r="221" spans="1:11">
      <c r="A221" s="1" t="s">
        <v>2118</v>
      </c>
      <c r="B221" s="1" t="s">
        <v>2119</v>
      </c>
      <c r="C221" s="1" t="s">
        <v>54</v>
      </c>
      <c r="D221" s="1" t="s">
        <v>55</v>
      </c>
      <c r="E221" s="4">
        <v>42.99</v>
      </c>
      <c r="F221" s="4">
        <v>44.72</v>
      </c>
      <c r="G221" s="4">
        <v>44.87</v>
      </c>
      <c r="H221" s="5">
        <f>G221/F221-1</f>
        <v>0.0033542039355991538</v>
      </c>
      <c r="I221" s="5">
        <f>G221/E221-1</f>
        <v>0.043731100255873345</v>
      </c>
      <c r="J221" s="5">
        <v>-0.01032084361678265</v>
      </c>
      <c r="K221" s="4">
        <v>68858331152.73</v>
      </c>
    </row>
    <row r="222" spans="1:11">
      <c r="A222" s="1" t="s">
        <v>2120</v>
      </c>
      <c r="B222" s="1" t="s">
        <v>2121</v>
      </c>
      <c r="C222" s="1" t="s">
        <v>70</v>
      </c>
      <c r="D222" s="1" t="s">
        <v>100</v>
      </c>
      <c r="E222" s="4">
        <v>65.8</v>
      </c>
      <c r="F222" s="4">
        <v>64.09999999999999</v>
      </c>
      <c r="G222" s="4">
        <v>64.95</v>
      </c>
      <c r="H222" s="5">
        <f>G222/F222-1</f>
        <v>0.013260530421216998</v>
      </c>
      <c r="I222" s="5">
        <f>G222/E222-1</f>
        <v>-0.012917933130699</v>
      </c>
      <c r="J222" s="5">
        <v>-0.05317577548005925</v>
      </c>
      <c r="K222" s="4">
        <v>10573968076.8</v>
      </c>
    </row>
    <row r="223" spans="1:11">
      <c r="A223" s="1" t="s">
        <v>2122</v>
      </c>
      <c r="B223" s="1" t="s">
        <v>2123</v>
      </c>
      <c r="C223" s="1" t="s">
        <v>138</v>
      </c>
      <c r="D223" s="1" t="s">
        <v>139</v>
      </c>
      <c r="E223" s="4">
        <v>77.45</v>
      </c>
      <c r="F223" s="4">
        <v>77.75</v>
      </c>
      <c r="G223" s="4">
        <v>76.09999999999999</v>
      </c>
      <c r="H223" s="5">
        <f>G223/F223-1</f>
        <v>-0.021221864951768588</v>
      </c>
      <c r="I223" s="5">
        <f>G223/E223-1</f>
        <v>-0.017430600387346784</v>
      </c>
      <c r="J223" s="5">
        <v>-0.06338461538461548</v>
      </c>
      <c r="K223" s="4">
        <v>5479200000</v>
      </c>
    </row>
    <row r="224" spans="1:11">
      <c r="A224" s="1" t="s">
        <v>2124</v>
      </c>
      <c r="B224" s="1" t="s">
        <v>2125</v>
      </c>
      <c r="C224" s="1" t="s">
        <v>37</v>
      </c>
      <c r="D224" s="1" t="s">
        <v>38</v>
      </c>
      <c r="E224" s="4">
        <v>183.3102664798067</v>
      </c>
      <c r="F224" s="4">
        <v>173.6463155424073</v>
      </c>
      <c r="G224" s="4">
        <v>168.7099517241764</v>
      </c>
      <c r="H224" s="5">
        <f>G224/F224-1</f>
        <v>-0.028427691096189034</v>
      </c>
      <c r="I224" s="5">
        <f>G224/E224-1</f>
        <v>-0.07964810174578352</v>
      </c>
      <c r="J224" s="5">
        <v>-0.07964810174578352</v>
      </c>
      <c r="K224" s="4">
        <v>40135698516.14573</v>
      </c>
    </row>
    <row r="225" spans="1:11">
      <c r="A225" s="1" t="s">
        <v>2126</v>
      </c>
      <c r="B225" s="1" t="s">
        <v>2127</v>
      </c>
      <c r="C225" s="1" t="s">
        <v>37</v>
      </c>
      <c r="D225" s="1" t="s">
        <v>51</v>
      </c>
      <c r="E225" s="4">
        <v>87.56791802984645</v>
      </c>
      <c r="F225" s="4">
        <v>88.60920369403773</v>
      </c>
      <c r="G225" s="4">
        <v>88.15666560311517</v>
      </c>
      <c r="H225" s="5">
        <f>G225/F225-1</f>
        <v>-0.005107122872756498</v>
      </c>
      <c r="I225" s="5">
        <f>G225/E225-1</f>
        <v>0.006723325008915371</v>
      </c>
      <c r="J225" s="5">
        <v>-0.01994462309540124</v>
      </c>
      <c r="K225" s="4">
        <v>4407833280.155758</v>
      </c>
    </row>
    <row r="226" spans="1:11">
      <c r="A226" s="1" t="s">
        <v>2128</v>
      </c>
      <c r="B226" s="1" t="s">
        <v>2129</v>
      </c>
      <c r="C226" s="1" t="s">
        <v>129</v>
      </c>
      <c r="D226" s="1" t="s">
        <v>129</v>
      </c>
      <c r="E226" s="4">
        <v>21.93</v>
      </c>
      <c r="F226" s="4">
        <v>21</v>
      </c>
      <c r="G226" s="4">
        <v>20.52</v>
      </c>
      <c r="H226" s="5">
        <f>G226/F226-1</f>
        <v>-0.02285714285714291</v>
      </c>
      <c r="I226" s="5">
        <f>G226/E226-1</f>
        <v>-0.06429548563611487</v>
      </c>
      <c r="J226" s="5">
        <v>-0.06429548563611487</v>
      </c>
      <c r="K226" s="4">
        <v>15123709866.96</v>
      </c>
    </row>
    <row r="227" spans="1:11">
      <c r="A227" s="1" t="s">
        <v>2130</v>
      </c>
      <c r="B227" s="1" t="s">
        <v>2131</v>
      </c>
      <c r="C227" s="1" t="s">
        <v>47</v>
      </c>
      <c r="D227" s="1" t="s">
        <v>331</v>
      </c>
      <c r="E227" s="4">
        <v>217.9076527991783</v>
      </c>
      <c r="F227" s="4">
        <v>212.5233651284695</v>
      </c>
      <c r="G227" s="4">
        <v>214.6493417089752</v>
      </c>
      <c r="H227" s="5">
        <f>G227/F227-1</f>
        <v>0.010003495753139635</v>
      </c>
      <c r="I227" s="5">
        <f>G227/E227-1</f>
        <v>-0.014952715282587903</v>
      </c>
      <c r="J227" s="5">
        <v>-0.03943904514546093</v>
      </c>
      <c r="K227" s="4">
        <v>7093128280.148008</v>
      </c>
    </row>
    <row r="228" spans="1:11">
      <c r="A228" s="1" t="s">
        <v>2132</v>
      </c>
      <c r="B228" s="1" t="s">
        <v>2133</v>
      </c>
      <c r="C228" s="1" t="s">
        <v>70</v>
      </c>
      <c r="D228" s="1" t="s">
        <v>71</v>
      </c>
      <c r="E228" s="4">
        <v>75.2</v>
      </c>
      <c r="F228" s="4">
        <v>81.34999999999999</v>
      </c>
      <c r="G228" s="4">
        <v>82.5</v>
      </c>
      <c r="H228" s="5">
        <f>G228/F228-1</f>
        <v>0.014136447449293321</v>
      </c>
      <c r="I228" s="5">
        <f>G228/E228-1</f>
        <v>0.09707446808510634</v>
      </c>
      <c r="J228" s="5">
        <v>-0.04893867924528295</v>
      </c>
      <c r="K228" s="4">
        <v>3102525690</v>
      </c>
    </row>
    <row r="229" spans="1:11">
      <c r="A229" s="1" t="s">
        <v>2134</v>
      </c>
      <c r="B229" s="1" t="s">
        <v>2135</v>
      </c>
      <c r="C229" s="1" t="s">
        <v>54</v>
      </c>
      <c r="D229" s="1" t="s">
        <v>113</v>
      </c>
      <c r="E229" s="4">
        <v>73.05</v>
      </c>
      <c r="F229" s="4">
        <v>73.8</v>
      </c>
      <c r="G229" s="4">
        <v>73.95</v>
      </c>
      <c r="H229" s="5">
        <f>G229/F229-1</f>
        <v>0.002032520325203402</v>
      </c>
      <c r="I229" s="5">
        <f>G229/E229-1</f>
        <v>0.012320328542094527</v>
      </c>
      <c r="J229" s="5">
        <v>-0.008124576844955933</v>
      </c>
      <c r="K229" s="4">
        <v>9598710000</v>
      </c>
    </row>
    <row r="230" spans="1:11">
      <c r="A230" s="1" t="s">
        <v>2136</v>
      </c>
      <c r="B230" s="1" t="s">
        <v>2137</v>
      </c>
      <c r="C230" s="1" t="s">
        <v>70</v>
      </c>
      <c r="D230" s="1" t="s">
        <v>100</v>
      </c>
      <c r="E230" s="4">
        <v>619.3333165356803</v>
      </c>
      <c r="F230" s="4">
        <v>601.8175037895896</v>
      </c>
      <c r="G230" s="4">
        <v>599.1250349914967</v>
      </c>
      <c r="H230" s="5">
        <f>G230/F230-1</f>
        <v>-0.0044738957925595235</v>
      </c>
      <c r="I230" s="5">
        <f>G230/E230-1</f>
        <v>-0.032629088415945695</v>
      </c>
      <c r="J230" s="5">
        <v>-0.0414367126826467</v>
      </c>
      <c r="K230" s="4">
        <v>19988399447.78409</v>
      </c>
    </row>
    <row r="231" spans="1:11">
      <c r="A231" s="1" t="s">
        <v>2138</v>
      </c>
      <c r="B231" s="1" t="s">
        <v>2139</v>
      </c>
      <c r="C231" s="1" t="s">
        <v>70</v>
      </c>
      <c r="D231" s="1" t="s">
        <v>243</v>
      </c>
      <c r="E231" s="4">
        <v>19.28</v>
      </c>
      <c r="F231" s="4">
        <v>18.58</v>
      </c>
      <c r="G231" s="4">
        <v>18.61</v>
      </c>
      <c r="H231" s="5">
        <f>G231/F231-1</f>
        <v>0.0016146393972014117</v>
      </c>
      <c r="I231" s="5">
        <f>G231/E231-1</f>
        <v>-0.03475103734439844</v>
      </c>
      <c r="J231" s="5">
        <v>-0.04690721649484542</v>
      </c>
      <c r="K231" s="4">
        <v>10235500000</v>
      </c>
    </row>
    <row r="232" spans="1:11">
      <c r="A232" s="1" t="s">
        <v>2140</v>
      </c>
      <c r="B232" s="1" t="s">
        <v>2141</v>
      </c>
      <c r="C232" s="1" t="s">
        <v>37</v>
      </c>
      <c r="D232" s="1" t="s">
        <v>51</v>
      </c>
      <c r="E232" s="4">
        <v>22.09620889057996</v>
      </c>
      <c r="F232" s="4">
        <v>22.00516960907548</v>
      </c>
      <c r="G232" s="4">
        <v>21.75889345231937</v>
      </c>
      <c r="H232" s="5">
        <f>G232/F232-1</f>
        <v>-0.011191740901399183</v>
      </c>
      <c r="I232" s="5">
        <f>G232/E232-1</f>
        <v>-0.015265760743436663</v>
      </c>
      <c r="J232" s="5">
        <v>-0.0204097135497836</v>
      </c>
      <c r="K232" s="4">
        <v>5926460518.560721</v>
      </c>
    </row>
    <row r="233" spans="1:11">
      <c r="A233" s="1" t="s">
        <v>2142</v>
      </c>
      <c r="B233" s="1" t="s">
        <v>2143</v>
      </c>
      <c r="C233" s="1" t="s">
        <v>70</v>
      </c>
      <c r="D233" s="1" t="s">
        <v>100</v>
      </c>
      <c r="E233" s="4">
        <v>57.32786824040588</v>
      </c>
      <c r="F233" s="4">
        <v>59.60595049935871</v>
      </c>
      <c r="G233" s="4">
        <v>59.23192127977702</v>
      </c>
      <c r="H233" s="5">
        <f>G233/F233-1</f>
        <v>-0.006275031543800602</v>
      </c>
      <c r="I233" s="5">
        <f>G233/E233-1</f>
        <v>0.03321339337765794</v>
      </c>
      <c r="J233" s="5">
        <v>-0.03802916709158244</v>
      </c>
      <c r="K233" s="4">
        <v>4858081350.2479</v>
      </c>
    </row>
    <row r="234" spans="1:11">
      <c r="A234" s="1" t="s">
        <v>2144</v>
      </c>
      <c r="B234" s="1" t="s">
        <v>2145</v>
      </c>
      <c r="C234" s="1" t="s">
        <v>116</v>
      </c>
      <c r="D234" s="1" t="s">
        <v>117</v>
      </c>
      <c r="E234" s="4">
        <v>72.55</v>
      </c>
      <c r="F234" s="4">
        <v>68.09999999999999</v>
      </c>
      <c r="G234" s="4">
        <v>68.2</v>
      </c>
      <c r="H234" s="5">
        <f>G234/F234-1</f>
        <v>0.001468428781204345</v>
      </c>
      <c r="I234" s="5">
        <f>G234/E234-1</f>
        <v>-0.05995864920744309</v>
      </c>
      <c r="J234" s="5">
        <v>-0.07305306685044788</v>
      </c>
      <c r="K234" s="4">
        <v>5237237383.4</v>
      </c>
    </row>
    <row r="235" spans="1:11">
      <c r="A235" s="1" t="s">
        <v>2146</v>
      </c>
      <c r="B235" s="1" t="s">
        <v>2147</v>
      </c>
      <c r="C235" s="1" t="s">
        <v>93</v>
      </c>
      <c r="D235" s="1" t="s">
        <v>93</v>
      </c>
      <c r="E235" s="4">
        <v>3489.894085240738</v>
      </c>
      <c r="F235" s="4">
        <v>3499.58371268149</v>
      </c>
      <c r="G235" s="4">
        <v>3456.081582751801</v>
      </c>
      <c r="H235" s="5">
        <f>G235/F235-1</f>
        <v>-0.012430658472906475</v>
      </c>
      <c r="I235" s="5">
        <f>G235/E235-1</f>
        <v>-0.009688690161668623</v>
      </c>
      <c r="J235" s="5">
        <v>-0.05356956304237726</v>
      </c>
      <c r="K235" s="4">
        <v>31912026517.35487</v>
      </c>
    </row>
    <row r="236" spans="1:11">
      <c r="A236" s="1" t="s">
        <v>2148</v>
      </c>
      <c r="B236" s="1" t="s">
        <v>2149</v>
      </c>
      <c r="C236" s="1" t="s">
        <v>54</v>
      </c>
      <c r="D236" s="1" t="s">
        <v>55</v>
      </c>
      <c r="E236" s="4">
        <v>25.93574706389614</v>
      </c>
      <c r="F236" s="4">
        <v>26.26487975195359</v>
      </c>
      <c r="G236" s="4">
        <v>26.12743775533061</v>
      </c>
      <c r="H236" s="5">
        <f>G236/F236-1</f>
        <v>-0.005232919317392226</v>
      </c>
      <c r="I236" s="5">
        <f>G236/E236-1</f>
        <v>0.0073909839944925615</v>
      </c>
      <c r="J236" s="5">
        <v>-0.01106246850880799</v>
      </c>
      <c r="K236" s="4">
        <v>13063718877.6653</v>
      </c>
    </row>
    <row r="237" spans="1:11">
      <c r="A237" s="1" t="s">
        <v>2150</v>
      </c>
      <c r="B237" s="1" t="s">
        <v>2151</v>
      </c>
      <c r="C237" s="1" t="s">
        <v>66</v>
      </c>
      <c r="D237" s="1" t="s">
        <v>67</v>
      </c>
      <c r="E237" s="4">
        <v>22.36</v>
      </c>
      <c r="F237" s="4">
        <v>22.2</v>
      </c>
      <c r="G237" s="4">
        <v>22.24</v>
      </c>
      <c r="H237" s="5">
        <f>G237/F237-1</f>
        <v>0.0018018018018017834</v>
      </c>
      <c r="I237" s="5">
        <f>G237/E237-1</f>
        <v>-0.00536672629695889</v>
      </c>
      <c r="J237" s="5">
        <v>-0.02809482001755925</v>
      </c>
      <c r="K237" s="4">
        <v>5313455299.679999</v>
      </c>
    </row>
    <row r="238" spans="1:11">
      <c r="A238" s="1" t="s">
        <v>2152</v>
      </c>
      <c r="B238" s="1" t="s">
        <v>2153</v>
      </c>
      <c r="C238" s="1" t="s">
        <v>54</v>
      </c>
      <c r="D238" s="1" t="s">
        <v>165</v>
      </c>
      <c r="E238" s="4">
        <v>76.12</v>
      </c>
      <c r="F238" s="4">
        <v>74.38</v>
      </c>
      <c r="G238" s="4">
        <v>74.18000000000001</v>
      </c>
      <c r="H238" s="5">
        <f>G238/F238-1</f>
        <v>-0.0026888948642106447</v>
      </c>
      <c r="I238" s="5">
        <f>G238/E238-1</f>
        <v>-0.025486074619022525</v>
      </c>
      <c r="J238" s="5">
        <v>-0.06686810299527068</v>
      </c>
      <c r="K238" s="4">
        <v>55701811774.78001</v>
      </c>
    </row>
    <row r="239" spans="1:11">
      <c r="A239" s="1" t="s">
        <v>2154</v>
      </c>
      <c r="B239" s="1" t="s">
        <v>2155</v>
      </c>
      <c r="C239" s="1" t="s">
        <v>93</v>
      </c>
      <c r="D239" s="1" t="s">
        <v>93</v>
      </c>
      <c r="E239" s="4">
        <v>6.9693079952063</v>
      </c>
      <c r="F239" s="4">
        <v>7.050747787230385</v>
      </c>
      <c r="G239" s="4">
        <v>7.000244385164789</v>
      </c>
      <c r="H239" s="5">
        <f>G239/F239-1</f>
        <v>-0.0071628433734450825</v>
      </c>
      <c r="I239" s="5">
        <f>G239/E239-1</f>
        <v>0.004438947163730944</v>
      </c>
      <c r="J239" s="5">
        <v>-0.01334665252522627</v>
      </c>
      <c r="K239" s="4">
        <v>82168725032.05243</v>
      </c>
    </row>
    <row r="240" spans="1:11">
      <c r="A240" s="1" t="s">
        <v>2156</v>
      </c>
      <c r="B240" s="1" t="s">
        <v>2157</v>
      </c>
      <c r="C240" s="1" t="s">
        <v>37</v>
      </c>
      <c r="D240" s="1" t="s">
        <v>38</v>
      </c>
      <c r="E240" s="4">
        <v>287.7292088197984</v>
      </c>
      <c r="F240" s="4">
        <v>293.9257111848984</v>
      </c>
      <c r="G240" s="4">
        <v>289.6420493984555</v>
      </c>
      <c r="H240" s="5">
        <f>G240/F240-1</f>
        <v>-0.01457396077796047</v>
      </c>
      <c r="I240" s="5">
        <f>G240/E240-1</f>
        <v>0.006648058382752398</v>
      </c>
      <c r="J240" s="5">
        <v>-0.03725088445034153</v>
      </c>
      <c r="K240" s="4">
        <v>18067246573.21716</v>
      </c>
    </row>
    <row r="241" spans="1:11">
      <c r="A241" s="1" t="s">
        <v>2158</v>
      </c>
      <c r="B241" s="1" t="s">
        <v>2159</v>
      </c>
      <c r="C241" s="1" t="s">
        <v>37</v>
      </c>
      <c r="D241" s="1" t="s">
        <v>38</v>
      </c>
      <c r="E241" s="4">
        <v>9.912000000000001</v>
      </c>
      <c r="F241" s="4">
        <v>9.928000000000001</v>
      </c>
      <c r="G241" s="4">
        <v>9.894</v>
      </c>
      <c r="H241" s="5">
        <f>G241/F241-1</f>
        <v>-0.0034246575342467</v>
      </c>
      <c r="I241" s="5">
        <f>G241/E241-1</f>
        <v>-0.001815980629540026</v>
      </c>
      <c r="J241" s="5">
        <v>-0.0225758260900496</v>
      </c>
      <c r="K241" s="4">
        <v>5975519211.712001</v>
      </c>
    </row>
    <row r="242" spans="1:11">
      <c r="A242" s="1" t="s">
        <v>2160</v>
      </c>
      <c r="B242" s="1" t="s">
        <v>2161</v>
      </c>
      <c r="C242" s="1" t="s">
        <v>37</v>
      </c>
      <c r="D242" s="1" t="s">
        <v>38</v>
      </c>
      <c r="E242" s="4">
        <v>22.40384951206985</v>
      </c>
      <c r="F242" s="4">
        <v>21.72370542235971</v>
      </c>
      <c r="G242" s="4">
        <v>21.48238533689011</v>
      </c>
      <c r="H242" s="5">
        <f>G242/F242-1</f>
        <v>-0.011108606049371916</v>
      </c>
      <c r="I242" s="5">
        <f>G242/E242-1</f>
        <v>-0.041129725259192895</v>
      </c>
      <c r="J242" s="5">
        <v>-0.0411297252591929</v>
      </c>
      <c r="K242" s="4">
        <v>86905299538.89873</v>
      </c>
    </row>
    <row r="243" spans="1:11">
      <c r="A243" s="1" t="s">
        <v>2162</v>
      </c>
      <c r="B243" s="1" t="s">
        <v>2163</v>
      </c>
      <c r="C243" s="1" t="s">
        <v>129</v>
      </c>
      <c r="D243" s="1" t="s">
        <v>129</v>
      </c>
      <c r="E243" s="4">
        <v>205.4</v>
      </c>
      <c r="F243" s="4">
        <v>208</v>
      </c>
      <c r="G243" s="4">
        <v>216.2</v>
      </c>
      <c r="H243" s="5">
        <f>G243/F243-1</f>
        <v>0.03942307692307678</v>
      </c>
      <c r="I243" s="5">
        <f>G243/E243-1</f>
        <v>0.052580331061343744</v>
      </c>
      <c r="J243" s="5">
        <v>-0.01794145420207749</v>
      </c>
      <c r="K243" s="4">
        <v>8024862306.400001</v>
      </c>
    </row>
    <row r="244" spans="1:11">
      <c r="A244" s="1" t="s">
        <v>2164</v>
      </c>
      <c r="B244" s="1" t="s">
        <v>2165</v>
      </c>
      <c r="C244" s="1" t="s">
        <v>70</v>
      </c>
      <c r="D244" s="1" t="s">
        <v>100</v>
      </c>
      <c r="E244" s="4">
        <v>89.3</v>
      </c>
      <c r="F244" s="4">
        <v>81.76000000000001</v>
      </c>
      <c r="G244" s="4">
        <v>79.7</v>
      </c>
      <c r="H244" s="5">
        <f>G244/F244-1</f>
        <v>-0.025195694716242722</v>
      </c>
      <c r="I244" s="5">
        <f>G244/E244-1</f>
        <v>-0.10750279955207165</v>
      </c>
      <c r="J244" s="5">
        <v>-0.1075027995520716</v>
      </c>
      <c r="K244" s="4">
        <v>9205350000</v>
      </c>
    </row>
    <row r="245" spans="1:11">
      <c r="A245" s="1" t="s">
        <v>2166</v>
      </c>
      <c r="B245" s="1" t="s">
        <v>2167</v>
      </c>
      <c r="C245" s="1" t="s">
        <v>54</v>
      </c>
      <c r="D245" s="1" t="s">
        <v>55</v>
      </c>
      <c r="E245" s="4">
        <v>223.968707981157</v>
      </c>
      <c r="F245" s="4">
        <v>230.9597294840984</v>
      </c>
      <c r="G245" s="4">
        <v>227.5696796027339</v>
      </c>
      <c r="H245" s="5">
        <f>G245/F245-1</f>
        <v>-0.014678099463213301</v>
      </c>
      <c r="I245" s="5">
        <f>G245/E245-1</f>
        <v>0.016078012209991055</v>
      </c>
      <c r="J245" s="5">
        <v>-0.0146780994632133</v>
      </c>
      <c r="K245" s="4">
        <v>22624543343.15513</v>
      </c>
    </row>
    <row r="246" spans="1:11">
      <c r="A246" s="1" t="s">
        <v>2168</v>
      </c>
      <c r="B246" s="1" t="s">
        <v>2169</v>
      </c>
      <c r="C246" s="1" t="s">
        <v>93</v>
      </c>
      <c r="D246" s="1" t="s">
        <v>93</v>
      </c>
      <c r="E246" s="4">
        <v>159.6</v>
      </c>
      <c r="F246" s="4">
        <v>163.6</v>
      </c>
      <c r="G246" s="4">
        <v>166.6</v>
      </c>
      <c r="H246" s="5">
        <f>G246/F246-1</f>
        <v>0.01833740831295838</v>
      </c>
      <c r="I246" s="5">
        <f>G246/E246-1</f>
        <v>0.04385964912280693</v>
      </c>
      <c r="J246" s="5">
        <v>-0.05155243116578778</v>
      </c>
      <c r="K246" s="4">
        <v>29382419829</v>
      </c>
    </row>
    <row r="247" spans="1:11">
      <c r="A247" s="1" t="s">
        <v>2170</v>
      </c>
      <c r="B247" s="1" t="s">
        <v>2171</v>
      </c>
      <c r="C247" s="1" t="s">
        <v>66</v>
      </c>
      <c r="D247" s="1" t="s">
        <v>67</v>
      </c>
      <c r="E247" s="4">
        <v>72.42</v>
      </c>
      <c r="F247" s="4">
        <v>72.73999999999999</v>
      </c>
      <c r="G247" s="4">
        <v>73.02</v>
      </c>
      <c r="H247" s="5">
        <f>G247/F247-1</f>
        <v>0.003849326367885597</v>
      </c>
      <c r="I247" s="5">
        <f>G247/E247-1</f>
        <v>0.008285004142501995</v>
      </c>
      <c r="J247" s="5">
        <v>-0.019836956521739</v>
      </c>
      <c r="K247" s="4">
        <v>41287727661.95999</v>
      </c>
    </row>
    <row r="248" spans="1:11">
      <c r="A248" s="1" t="s">
        <v>2172</v>
      </c>
      <c r="B248" s="1" t="s">
        <v>2173</v>
      </c>
      <c r="C248" s="1" t="s">
        <v>66</v>
      </c>
      <c r="D248" s="1" t="s">
        <v>67</v>
      </c>
      <c r="E248" s="4">
        <v>68</v>
      </c>
      <c r="F248" s="4">
        <v>68</v>
      </c>
      <c r="G248" s="4">
        <v>68.25</v>
      </c>
      <c r="H248" s="5">
        <f>G248/F248-1</f>
        <v>0.003676470588235281</v>
      </c>
      <c r="I248" s="5">
        <f>G248/E248-1</f>
        <v>0.003676470588235281</v>
      </c>
      <c r="J248" s="5">
        <v>-0.02382671480144416</v>
      </c>
      <c r="K248" s="4">
        <v>19297249744.5</v>
      </c>
    </row>
    <row r="249" spans="1:11">
      <c r="A249" s="1" t="s">
        <v>2174</v>
      </c>
      <c r="B249" s="1" t="s">
        <v>2175</v>
      </c>
      <c r="C249" s="1" t="s">
        <v>66</v>
      </c>
      <c r="D249" s="1" t="s">
        <v>240</v>
      </c>
      <c r="E249" s="4">
        <v>75.84</v>
      </c>
      <c r="F249" s="4">
        <v>75.48</v>
      </c>
      <c r="G249" s="4">
        <v>76.42</v>
      </c>
      <c r="H249" s="5">
        <f>G249/F249-1</f>
        <v>0.012453630100688784</v>
      </c>
      <c r="I249" s="5">
        <f>G249/E249-1</f>
        <v>0.0076476793248945185</v>
      </c>
      <c r="J249" s="5">
        <v>-0.01645768025078376</v>
      </c>
      <c r="K249" s="4">
        <v>31870467168.75</v>
      </c>
    </row>
    <row r="250" spans="1:11">
      <c r="A250" s="1" t="s">
        <v>2176</v>
      </c>
      <c r="B250" s="1" t="s">
        <v>2177</v>
      </c>
      <c r="C250" s="1" t="s">
        <v>76</v>
      </c>
      <c r="D250" s="1" t="s">
        <v>76</v>
      </c>
      <c r="E250" s="4">
        <v>3.868</v>
      </c>
      <c r="F250" s="4">
        <v>3.668</v>
      </c>
      <c r="G250" s="4">
        <v>3.726</v>
      </c>
      <c r="H250" s="5">
        <f>G250/F250-1</f>
        <v>0.015812431842966213</v>
      </c>
      <c r="I250" s="5">
        <f>G250/E250-1</f>
        <v>-0.03671147880041359</v>
      </c>
      <c r="J250" s="5">
        <v>-0.06332992849846775</v>
      </c>
      <c r="K250" s="4">
        <v>5550021363.870001</v>
      </c>
    </row>
    <row r="251" spans="1:11">
      <c r="A251" s="1" t="s">
        <v>2178</v>
      </c>
      <c r="B251" s="1" t="s">
        <v>2179</v>
      </c>
      <c r="C251" s="1" t="s">
        <v>41</v>
      </c>
      <c r="D251" s="1" t="s">
        <v>42</v>
      </c>
      <c r="E251" s="4">
        <v>9.058269833776436</v>
      </c>
      <c r="F251" s="4">
        <v>8.805672294016611</v>
      </c>
      <c r="G251" s="4">
        <v>8.667562519964438</v>
      </c>
      <c r="H251" s="5">
        <f>G251/F251-1</f>
        <v>-0.015684182813164416</v>
      </c>
      <c r="I251" s="5">
        <f>G251/E251-1</f>
        <v>-0.04313266451338538</v>
      </c>
      <c r="J251" s="5">
        <v>-0.05548611526980918</v>
      </c>
      <c r="K251" s="4">
        <v>23449898740.62134</v>
      </c>
    </row>
    <row r="252" spans="1:11">
      <c r="A252" s="1" t="s">
        <v>2180</v>
      </c>
      <c r="B252" s="1" t="s">
        <v>2181</v>
      </c>
      <c r="C252" s="1" t="s">
        <v>70</v>
      </c>
      <c r="D252" s="1" t="s">
        <v>100</v>
      </c>
      <c r="E252" s="4">
        <v>62.35</v>
      </c>
      <c r="F252" s="4">
        <v>61.65</v>
      </c>
      <c r="G252" s="4">
        <v>61.55</v>
      </c>
      <c r="H252" s="5">
        <f>G252/F252-1</f>
        <v>-0.0016220600162206722</v>
      </c>
      <c r="I252" s="5">
        <f>G252/E252-1</f>
        <v>-0.012830793905373006</v>
      </c>
      <c r="J252" s="5">
        <v>-0.08448540706605212</v>
      </c>
      <c r="K252" s="4">
        <v>3982787740.4</v>
      </c>
    </row>
    <row r="253" spans="1:11">
      <c r="A253" s="1" t="s">
        <v>2182</v>
      </c>
      <c r="B253" s="1" t="s">
        <v>2183</v>
      </c>
      <c r="C253" s="1" t="s">
        <v>37</v>
      </c>
      <c r="D253" s="1" t="s">
        <v>38</v>
      </c>
      <c r="E253" s="4">
        <v>19.10487245334703</v>
      </c>
      <c r="F253" s="4">
        <v>18.68017530291312</v>
      </c>
      <c r="G253" s="4">
        <v>18.53313828414078</v>
      </c>
      <c r="H253" s="5">
        <f>G253/F253-1</f>
        <v>-0.007871286879701178</v>
      </c>
      <c r="I253" s="5">
        <f>G253/E253-1</f>
        <v>-0.02992609192248674</v>
      </c>
      <c r="J253" s="5">
        <v>-0.03262411990085046</v>
      </c>
      <c r="K253" s="4">
        <v>3868748693.276654</v>
      </c>
    </row>
    <row r="254" spans="1:11">
      <c r="A254" s="1" t="s">
        <v>2184</v>
      </c>
      <c r="B254" s="1" t="s">
        <v>2185</v>
      </c>
      <c r="C254" s="1" t="s">
        <v>41</v>
      </c>
      <c r="D254" s="1" t="s">
        <v>42</v>
      </c>
      <c r="E254" s="4">
        <v>40.98906009244993</v>
      </c>
      <c r="F254" s="4">
        <v>41.80634871530464</v>
      </c>
      <c r="G254" s="4">
        <v>41.92933482488599</v>
      </c>
      <c r="H254" s="5">
        <f>G254/F254-1</f>
        <v>0.002941804614865484</v>
      </c>
      <c r="I254" s="5">
        <f>G254/E254-1</f>
        <v>0.022939650977975345</v>
      </c>
      <c r="J254" s="5">
        <v>-0.03476110694492185</v>
      </c>
      <c r="K254" s="4">
        <v>15918276240.133</v>
      </c>
    </row>
    <row r="255" spans="1:11">
      <c r="A255" s="1" t="s">
        <v>2186</v>
      </c>
      <c r="B255" s="1" t="s">
        <v>2187</v>
      </c>
      <c r="C255" s="1" t="s">
        <v>37</v>
      </c>
      <c r="D255" s="1" t="s">
        <v>38</v>
      </c>
      <c r="E255" s="4">
        <v>4.240207327512413</v>
      </c>
      <c r="F255" s="4">
        <v>4.162012889920083</v>
      </c>
      <c r="G255" s="4">
        <v>4.104514241459428</v>
      </c>
      <c r="H255" s="5">
        <f>G255/F255-1</f>
        <v>-0.01381510581091927</v>
      </c>
      <c r="I255" s="5">
        <f>G255/E255-1</f>
        <v>-0.03200152152290903</v>
      </c>
      <c r="J255" s="5">
        <v>-0.05750666035568386</v>
      </c>
      <c r="K255" s="4">
        <v>36105559759.62061</v>
      </c>
    </row>
    <row r="256" spans="1:11">
      <c r="A256" s="1" t="s">
        <v>2188</v>
      </c>
      <c r="B256" s="1" t="s">
        <v>2189</v>
      </c>
      <c r="C256" s="1" t="s">
        <v>47</v>
      </c>
      <c r="D256" s="1" t="s">
        <v>120</v>
      </c>
      <c r="E256" s="4">
        <v>16.51562727556243</v>
      </c>
      <c r="F256" s="4">
        <v>15.53518116545706</v>
      </c>
      <c r="G256" s="4">
        <v>15.79274524765115</v>
      </c>
      <c r="H256" s="5">
        <f>G256/F256-1</f>
        <v>0.01657940640993605</v>
      </c>
      <c r="I256" s="5">
        <f>G256/E256-1</f>
        <v>-0.04376957749469801</v>
      </c>
      <c r="J256" s="5">
        <v>-0.07664396781905447</v>
      </c>
      <c r="K256" s="4">
        <v>25250594019.72598</v>
      </c>
    </row>
    <row r="257" spans="1:11">
      <c r="A257" s="1" t="s">
        <v>2190</v>
      </c>
      <c r="B257" s="1" t="s">
        <v>2191</v>
      </c>
      <c r="C257" s="1" t="s">
        <v>54</v>
      </c>
      <c r="D257" s="1" t="s">
        <v>55</v>
      </c>
      <c r="E257" s="4">
        <v>250.8</v>
      </c>
      <c r="F257" s="4">
        <v>263.4</v>
      </c>
      <c r="G257" s="4">
        <v>260.6</v>
      </c>
      <c r="H257" s="5">
        <f>G257/F257-1</f>
        <v>-0.010630220197418216</v>
      </c>
      <c r="I257" s="5">
        <f>G257/E257-1</f>
        <v>0.03907496012759171</v>
      </c>
      <c r="J257" s="5">
        <v>-0.01063022019741822</v>
      </c>
      <c r="K257" s="4">
        <v>31427613120.4</v>
      </c>
    </row>
    <row r="258" spans="1:11">
      <c r="A258" s="1" t="s">
        <v>2192</v>
      </c>
      <c r="B258" s="1" t="s">
        <v>2193</v>
      </c>
      <c r="C258" s="1" t="s">
        <v>70</v>
      </c>
      <c r="D258" s="1" t="s">
        <v>100</v>
      </c>
      <c r="E258" s="4">
        <v>253.1</v>
      </c>
      <c r="F258" s="4">
        <v>234.7</v>
      </c>
      <c r="G258" s="4">
        <v>233.6</v>
      </c>
      <c r="H258" s="5">
        <f>G258/F258-1</f>
        <v>-0.0046868342564976295</v>
      </c>
      <c r="I258" s="5">
        <f>G258/E258-1</f>
        <v>-0.07704464638482811</v>
      </c>
      <c r="J258" s="5">
        <v>-0.07704464638482811</v>
      </c>
      <c r="K258" s="4">
        <v>48108030876.8</v>
      </c>
    </row>
    <row r="259" spans="1:11">
      <c r="A259" s="1" t="s">
        <v>2194</v>
      </c>
      <c r="B259" s="1" t="s">
        <v>2195</v>
      </c>
      <c r="C259" s="1" t="s">
        <v>93</v>
      </c>
      <c r="D259" s="1" t="s">
        <v>93</v>
      </c>
      <c r="E259" s="4">
        <v>7.473788734805686</v>
      </c>
      <c r="F259" s="4">
        <v>7.803774168600156</v>
      </c>
      <c r="G259" s="4">
        <v>7.701781258067293</v>
      </c>
      <c r="H259" s="5">
        <f>G259/F259-1</f>
        <v>-0.013069690169052905</v>
      </c>
      <c r="I259" s="5">
        <f>G259/E259-1</f>
        <v>0.030505615204218683</v>
      </c>
      <c r="J259" s="5">
        <v>-0.07670937508577369</v>
      </c>
      <c r="K259" s="4">
        <v>3962246325.035849</v>
      </c>
    </row>
    <row r="260" spans="1:11">
      <c r="A260" s="1" t="s">
        <v>2196</v>
      </c>
      <c r="B260" s="1" t="s">
        <v>2197</v>
      </c>
      <c r="C260" s="1" t="s">
        <v>93</v>
      </c>
      <c r="D260" s="1" t="s">
        <v>93</v>
      </c>
      <c r="E260" s="4">
        <v>28.90687008362405</v>
      </c>
      <c r="F260" s="4">
        <v>29.23209263384147</v>
      </c>
      <c r="G260" s="4">
        <v>29.38980397654055</v>
      </c>
      <c r="H260" s="5">
        <f>G260/F260-1</f>
        <v>0.00539514377826289</v>
      </c>
      <c r="I260" s="5">
        <f>G260/E260-1</f>
        <v>0.016706543860315115</v>
      </c>
      <c r="J260" s="5">
        <v>-0.009796232578691777</v>
      </c>
      <c r="K260" s="4">
        <v>4519877451.032489</v>
      </c>
    </row>
    <row r="261" spans="1:11">
      <c r="A261" s="1" t="s">
        <v>2198</v>
      </c>
      <c r="B261" s="1" t="s">
        <v>2199</v>
      </c>
      <c r="C261" s="1" t="s">
        <v>93</v>
      </c>
      <c r="D261" s="1" t="s">
        <v>93</v>
      </c>
      <c r="E261" s="4">
        <v>75.11927562535942</v>
      </c>
      <c r="F261" s="4">
        <v>76.92259873029943</v>
      </c>
      <c r="G261" s="4">
        <v>78.5221735601209</v>
      </c>
      <c r="H261" s="5">
        <f>G261/F261-1</f>
        <v>0.020794602057449874</v>
      </c>
      <c r="I261" s="5">
        <f>G261/E261-1</f>
        <v>0.045299930096939</v>
      </c>
      <c r="J261" s="5">
        <v>-0.04201956573339727</v>
      </c>
      <c r="K261" s="4">
        <v>44512297418.76858</v>
      </c>
    </row>
    <row r="262" spans="1:11">
      <c r="A262" s="1" t="s">
        <v>2200</v>
      </c>
      <c r="B262" s="1" t="s">
        <v>2201</v>
      </c>
      <c r="C262" s="1" t="s">
        <v>70</v>
      </c>
      <c r="D262" s="1" t="s">
        <v>100</v>
      </c>
      <c r="E262" s="4">
        <v>427.6</v>
      </c>
      <c r="F262" s="4">
        <v>422.8</v>
      </c>
      <c r="G262" s="4">
        <v>426</v>
      </c>
      <c r="H262" s="5">
        <f>G262/F262-1</f>
        <v>0.007568590350047311</v>
      </c>
      <c r="I262" s="5">
        <f>G262/E262-1</f>
        <v>-0.00374181478016844</v>
      </c>
      <c r="J262" s="5">
        <v>-0.04536950420954167</v>
      </c>
      <c r="K262" s="4">
        <v>33105013800</v>
      </c>
    </row>
    <row r="263" spans="1:11">
      <c r="A263" s="1" t="s">
        <v>2202</v>
      </c>
      <c r="B263" s="1" t="s">
        <v>2203</v>
      </c>
      <c r="C263" s="1" t="s">
        <v>54</v>
      </c>
      <c r="D263" s="1" t="s">
        <v>165</v>
      </c>
      <c r="E263" s="4">
        <v>17.73156377332649</v>
      </c>
      <c r="F263" s="4">
        <v>18.19833152874452</v>
      </c>
      <c r="G263" s="4">
        <v>18.3842216676706</v>
      </c>
      <c r="H263" s="5">
        <f>G263/F263-1</f>
        <v>0.0102146803201415</v>
      </c>
      <c r="I263" s="5">
        <f>G263/E263-1</f>
        <v>0.03680768953530755</v>
      </c>
      <c r="J263" s="5">
        <v>-0.01821421150908031</v>
      </c>
      <c r="K263" s="4">
        <v>315584721748.0442</v>
      </c>
    </row>
    <row r="264" spans="1:11">
      <c r="A264" s="1" t="s">
        <v>2204</v>
      </c>
      <c r="B264" s="1" t="s">
        <v>2205</v>
      </c>
      <c r="C264" s="1" t="s">
        <v>54</v>
      </c>
      <c r="D264" s="1" t="s">
        <v>55</v>
      </c>
      <c r="E264" s="4">
        <v>20.96164184215032</v>
      </c>
      <c r="F264" s="4">
        <v>21.91574460771677</v>
      </c>
      <c r="G264" s="4">
        <v>21.84885982273471</v>
      </c>
      <c r="H264" s="5">
        <f>G264/F264-1</f>
        <v>-0.0030519056586610915</v>
      </c>
      <c r="I264" s="5">
        <f>G264/E264-1</f>
        <v>0.042325786656670195</v>
      </c>
      <c r="J264" s="5">
        <v>-0.003327346675206955</v>
      </c>
      <c r="K264" s="4">
        <v>6969277641.995699</v>
      </c>
    </row>
    <row r="265" spans="1:11">
      <c r="A265" s="1" t="s">
        <v>2206</v>
      </c>
      <c r="B265" s="1" t="s">
        <v>2207</v>
      </c>
      <c r="C265" s="1" t="s">
        <v>70</v>
      </c>
      <c r="D265" s="1" t="s">
        <v>100</v>
      </c>
      <c r="E265" s="4">
        <v>175.6701125577396</v>
      </c>
      <c r="F265" s="4">
        <v>175.9388521000749</v>
      </c>
      <c r="G265" s="4">
        <v>175.8879673191224</v>
      </c>
      <c r="H265" s="5">
        <f>G265/F265-1</f>
        <v>-0.00028921855715868805</v>
      </c>
      <c r="I265" s="5">
        <f>G265/E265-1</f>
        <v>0.0012401356053732826</v>
      </c>
      <c r="J265" s="5">
        <v>-0.050923522025627</v>
      </c>
      <c r="K265" s="4">
        <v>3375290092.85396</v>
      </c>
    </row>
    <row r="266" spans="1:11">
      <c r="A266" s="1" t="s">
        <v>2208</v>
      </c>
      <c r="B266" s="1" t="s">
        <v>2209</v>
      </c>
      <c r="C266" s="1" t="s">
        <v>93</v>
      </c>
      <c r="D266" s="1" t="s">
        <v>93</v>
      </c>
      <c r="E266" s="4">
        <v>31.62</v>
      </c>
      <c r="F266" s="4">
        <v>31.48</v>
      </c>
      <c r="G266" s="4">
        <v>31.68</v>
      </c>
      <c r="H266" s="5">
        <f>G266/F266-1</f>
        <v>0.006353240152477735</v>
      </c>
      <c r="I266" s="5">
        <f>G266/E266-1</f>
        <v>0.00189753320683117</v>
      </c>
      <c r="J266" s="5">
        <v>-0.02899444787168415</v>
      </c>
      <c r="K266" s="4">
        <v>3413848996.8</v>
      </c>
    </row>
    <row r="267" spans="1:11">
      <c r="A267" s="1" t="s">
        <v>2210</v>
      </c>
      <c r="B267" s="1" t="s">
        <v>2211</v>
      </c>
      <c r="C267" s="1" t="s">
        <v>70</v>
      </c>
      <c r="D267" s="1" t="s">
        <v>100</v>
      </c>
      <c r="E267" s="4">
        <v>9.318880328710838</v>
      </c>
      <c r="F267" s="4">
        <v>8.996744865515167</v>
      </c>
      <c r="G267" s="4">
        <v>9.01643576284313</v>
      </c>
      <c r="H267" s="5">
        <f>G267/F267-1</f>
        <v>0.0021886690822410237</v>
      </c>
      <c r="I267" s="5">
        <f>G267/E267-1</f>
        <v>-0.03245503270772743</v>
      </c>
      <c r="J267" s="5">
        <v>-0.06199964571114991</v>
      </c>
      <c r="K267" s="4">
        <v>4920523764.192411</v>
      </c>
    </row>
    <row r="268" spans="1:11">
      <c r="A268" s="1" t="s">
        <v>2212</v>
      </c>
      <c r="B268" s="1" t="s">
        <v>2213</v>
      </c>
      <c r="C268" s="1" t="s">
        <v>70</v>
      </c>
      <c r="D268" s="1" t="s">
        <v>243</v>
      </c>
      <c r="E268" s="4">
        <v>4.938539462420819</v>
      </c>
      <c r="F268" s="4">
        <v>4.966249720718398</v>
      </c>
      <c r="G268" s="4">
        <v>5.016628517339299</v>
      </c>
      <c r="H268" s="5">
        <f>G268/F268-1</f>
        <v>0.010144233466699903</v>
      </c>
      <c r="I268" s="5">
        <f>G268/E268-1</f>
        <v>0.01581217595053941</v>
      </c>
      <c r="J268" s="5">
        <v>-0.05384070537749441</v>
      </c>
      <c r="K268" s="4">
        <v>21946795731.04778</v>
      </c>
    </row>
    <row r="269" spans="1:11">
      <c r="A269" s="1" t="s">
        <v>2214</v>
      </c>
      <c r="B269" s="1" t="s">
        <v>2215</v>
      </c>
      <c r="C269" s="1" t="s">
        <v>76</v>
      </c>
      <c r="D269" s="1" t="s">
        <v>76</v>
      </c>
      <c r="E269" s="4">
        <v>20.05</v>
      </c>
      <c r="F269" s="4">
        <v>19.75</v>
      </c>
      <c r="G269" s="4">
        <v>19.89</v>
      </c>
      <c r="H269" s="5">
        <f>G269/F269-1</f>
        <v>0.007088607594936791</v>
      </c>
      <c r="I269" s="5">
        <f>G269/E269-1</f>
        <v>-0.007980049875311757</v>
      </c>
      <c r="J269" s="5">
        <v>-0.03032544378698232</v>
      </c>
      <c r="K269" s="4">
        <v>132728784753.24</v>
      </c>
    </row>
    <row r="270" spans="1:11">
      <c r="A270" s="1" t="s">
        <v>2216</v>
      </c>
      <c r="B270" s="1" t="s">
        <v>2217</v>
      </c>
      <c r="C270" s="1" t="s">
        <v>54</v>
      </c>
      <c r="D270" s="1" t="s">
        <v>113</v>
      </c>
      <c r="E270" s="4">
        <v>23.54243451463791</v>
      </c>
      <c r="F270" s="4">
        <v>22.56751396408009</v>
      </c>
      <c r="G270" s="4">
        <v>22.63997934773256</v>
      </c>
      <c r="H270" s="5">
        <f>G270/F270-1</f>
        <v>0.003211048579289999</v>
      </c>
      <c r="I270" s="5">
        <f>G270/E270-1</f>
        <v>-0.03833312847676129</v>
      </c>
      <c r="J270" s="5">
        <v>-0.05777339396493186</v>
      </c>
      <c r="K270" s="4">
        <v>6251871613.261097</v>
      </c>
    </row>
    <row r="271" spans="1:11">
      <c r="A271" s="1" t="s">
        <v>2218</v>
      </c>
      <c r="B271" s="1" t="s">
        <v>2219</v>
      </c>
      <c r="C271" s="1" t="s">
        <v>41</v>
      </c>
      <c r="D271" s="1" t="s">
        <v>58</v>
      </c>
      <c r="E271" s="4">
        <v>61.28</v>
      </c>
      <c r="F271" s="4">
        <v>58.9</v>
      </c>
      <c r="G271" s="4">
        <v>59.3</v>
      </c>
      <c r="H271" s="5">
        <f>G271/F271-1</f>
        <v>0.00679117147707986</v>
      </c>
      <c r="I271" s="5">
        <f>G271/E271-1</f>
        <v>-0.032310704960835546</v>
      </c>
      <c r="J271" s="5">
        <v>-0.05759999999999998</v>
      </c>
      <c r="K271" s="4">
        <v>10475606038.6</v>
      </c>
    </row>
    <row r="272" spans="1:11">
      <c r="A272" s="1" t="s">
        <v>2220</v>
      </c>
      <c r="B272" s="1" t="s">
        <v>2221</v>
      </c>
      <c r="C272" s="1" t="s">
        <v>41</v>
      </c>
      <c r="D272" s="1" t="s">
        <v>42</v>
      </c>
      <c r="E272" s="4">
        <v>176.3112443553955</v>
      </c>
      <c r="F272" s="4">
        <v>176.1521113147417</v>
      </c>
      <c r="G272" s="4">
        <v>179.5035603595397</v>
      </c>
      <c r="H272" s="5">
        <f>G272/F272-1</f>
        <v>0.01902588064249633</v>
      </c>
      <c r="I272" s="5">
        <f>G272/E272-1</f>
        <v>0.018106139604513016</v>
      </c>
      <c r="J272" s="5">
        <v>-0.03930495159584879</v>
      </c>
      <c r="K272" s="4">
        <v>4389151051.522923</v>
      </c>
    </row>
    <row r="273" spans="1:11">
      <c r="A273" s="1" t="s">
        <v>2222</v>
      </c>
      <c r="B273" s="1" t="s">
        <v>2223</v>
      </c>
      <c r="C273" s="1" t="s">
        <v>41</v>
      </c>
      <c r="D273" s="1" t="s">
        <v>63</v>
      </c>
      <c r="E273" s="4">
        <v>55.97</v>
      </c>
      <c r="F273" s="4">
        <v>55.53</v>
      </c>
      <c r="G273" s="4">
        <v>56.86</v>
      </c>
      <c r="H273" s="5">
        <f>G273/F273-1</f>
        <v>0.023951017468035296</v>
      </c>
      <c r="I273" s="5">
        <f>G273/E273-1</f>
        <v>0.0159013757370019</v>
      </c>
      <c r="J273" s="5">
        <v>-0.03233875290334109</v>
      </c>
      <c r="K273" s="4">
        <v>74254675849.82001</v>
      </c>
    </row>
    <row r="274" spans="1:11">
      <c r="A274" s="1" t="s">
        <v>2224</v>
      </c>
      <c r="B274" s="1" t="s">
        <v>2225</v>
      </c>
      <c r="C274" s="1" t="s">
        <v>76</v>
      </c>
      <c r="D274" s="1" t="s">
        <v>76</v>
      </c>
      <c r="E274" s="4">
        <v>8.734</v>
      </c>
      <c r="F274" s="4">
        <v>8.382</v>
      </c>
      <c r="G274" s="4">
        <v>8.390000000000001</v>
      </c>
      <c r="H274" s="5">
        <f>G274/F274-1</f>
        <v>0.0009544261512766106</v>
      </c>
      <c r="I274" s="5">
        <f>G274/E274-1</f>
        <v>-0.03938630638882523</v>
      </c>
      <c r="J274" s="5">
        <v>-0.05180995475113126</v>
      </c>
      <c r="K274" s="4">
        <v>8537542244.320001</v>
      </c>
    </row>
    <row r="275" spans="1:11">
      <c r="A275" s="1" t="s">
        <v>2226</v>
      </c>
      <c r="B275" s="1" t="s">
        <v>2227</v>
      </c>
      <c r="C275" s="1" t="s">
        <v>54</v>
      </c>
      <c r="D275" s="1" t="s">
        <v>113</v>
      </c>
      <c r="E275" s="4">
        <v>15.5781783941106</v>
      </c>
      <c r="F275" s="4">
        <v>15.84032310733007</v>
      </c>
      <c r="G275" s="4">
        <v>15.53153773341365</v>
      </c>
      <c r="H275" s="5">
        <f>G275/F275-1</f>
        <v>-0.019493628496348725</v>
      </c>
      <c r="I275" s="5">
        <f>G275/E275-1</f>
        <v>-0.0029939739754543115</v>
      </c>
      <c r="J275" s="5">
        <v>-0.05041247946335459</v>
      </c>
      <c r="K275" s="4">
        <v>5161684697.683504</v>
      </c>
    </row>
    <row r="276" spans="1:11">
      <c r="A276" s="1" t="s">
        <v>2228</v>
      </c>
      <c r="B276" s="1" t="s">
        <v>2229</v>
      </c>
      <c r="C276" s="1" t="s">
        <v>47</v>
      </c>
      <c r="D276" s="1" t="s">
        <v>48</v>
      </c>
      <c r="E276" s="4">
        <v>136.4920390344119</v>
      </c>
      <c r="F276" s="4">
        <v>136.6331528744522</v>
      </c>
      <c r="G276" s="4">
        <v>137.5096807503657</v>
      </c>
      <c r="H276" s="5">
        <f>G276/F276-1</f>
        <v>0.006415191755978711</v>
      </c>
      <c r="I276" s="5">
        <f>G276/E276-1</f>
        <v>0.0074556854975056375</v>
      </c>
      <c r="J276" s="5">
        <v>-0.03329696493677603</v>
      </c>
      <c r="K276" s="4">
        <v>20332010471.2159</v>
      </c>
    </row>
    <row r="277" spans="1:11">
      <c r="A277" s="1" t="s">
        <v>2230</v>
      </c>
      <c r="B277" s="1" t="s">
        <v>2231</v>
      </c>
      <c r="C277" s="1" t="s">
        <v>54</v>
      </c>
      <c r="D277" s="1" t="s">
        <v>113</v>
      </c>
      <c r="E277" s="4">
        <v>33.76050505050505</v>
      </c>
      <c r="F277" s="4">
        <v>32.89107501933488</v>
      </c>
      <c r="G277" s="4">
        <v>32.23812064366234</v>
      </c>
      <c r="H277" s="5">
        <f>G277/F277-1</f>
        <v>-0.01985202293596966</v>
      </c>
      <c r="I277" s="5">
        <f>G277/E277-1</f>
        <v>-0.0450936502450201</v>
      </c>
      <c r="J277" s="5">
        <v>-0.06412379905816912</v>
      </c>
      <c r="K277" s="4">
        <v>33058559246.74083</v>
      </c>
    </row>
    <row r="278" spans="1:11">
      <c r="A278" s="1" t="s">
        <v>2232</v>
      </c>
      <c r="B278" s="1" t="s">
        <v>2233</v>
      </c>
      <c r="C278" s="1" t="s">
        <v>66</v>
      </c>
      <c r="D278" s="1" t="s">
        <v>67</v>
      </c>
      <c r="E278" s="4">
        <v>29.22952063002911</v>
      </c>
      <c r="F278" s="4">
        <v>29.3063435593366</v>
      </c>
      <c r="G278" s="4">
        <v>28.95730143705361</v>
      </c>
      <c r="H278" s="5">
        <f>G278/F278-1</f>
        <v>-0.011910121833393683</v>
      </c>
      <c r="I278" s="5">
        <f>G278/E278-1</f>
        <v>-0.009313159679253613</v>
      </c>
      <c r="J278" s="5">
        <v>-0.03002103993987204</v>
      </c>
      <c r="K278" s="4">
        <v>22109068989.48924</v>
      </c>
    </row>
    <row r="279" spans="1:11">
      <c r="A279" s="1" t="s">
        <v>2234</v>
      </c>
      <c r="B279" s="1" t="s">
        <v>2235</v>
      </c>
      <c r="C279" s="1" t="s">
        <v>70</v>
      </c>
      <c r="D279" s="1" t="s">
        <v>100</v>
      </c>
      <c r="E279" s="4">
        <v>95.3</v>
      </c>
      <c r="F279" s="4">
        <v>96.8</v>
      </c>
      <c r="G279" s="4">
        <v>97.06</v>
      </c>
      <c r="H279" s="5">
        <f>G279/F279-1</f>
        <v>0.0026859504132232814</v>
      </c>
      <c r="I279" s="5">
        <f>G279/E279-1</f>
        <v>0.018467995802728288</v>
      </c>
      <c r="J279" s="5">
        <v>-0.03296703296703296</v>
      </c>
      <c r="K279" s="4">
        <v>5737022382.940001</v>
      </c>
    </row>
    <row r="280" spans="1:11">
      <c r="A280" s="1" t="s">
        <v>2236</v>
      </c>
      <c r="B280" s="1" t="s">
        <v>2237</v>
      </c>
      <c r="C280" s="1" t="s">
        <v>70</v>
      </c>
      <c r="D280" s="1" t="s">
        <v>100</v>
      </c>
      <c r="E280" s="4">
        <v>35.66398561890088</v>
      </c>
      <c r="F280" s="4">
        <v>35.26537767465842</v>
      </c>
      <c r="G280" s="4">
        <v>35.41423285431547</v>
      </c>
      <c r="H280" s="5">
        <f>G280/F280-1</f>
        <v>0.004221000581088763</v>
      </c>
      <c r="I280" s="5">
        <f>G280/E280-1</f>
        <v>-0.007002940368309507</v>
      </c>
      <c r="J280" s="5">
        <v>-0.03668102938024176</v>
      </c>
      <c r="K280" s="4">
        <v>8427405894.276362</v>
      </c>
    </row>
    <row r="281" spans="1:11">
      <c r="A281" s="1" t="s">
        <v>2238</v>
      </c>
      <c r="B281" s="1" t="s">
        <v>2239</v>
      </c>
      <c r="C281" s="1" t="s">
        <v>47</v>
      </c>
      <c r="D281" s="1" t="s">
        <v>120</v>
      </c>
      <c r="E281" s="4">
        <v>9.69840866290019</v>
      </c>
      <c r="F281" s="4">
        <v>9.823095299475812</v>
      </c>
      <c r="G281" s="4">
        <v>9.883177007142244</v>
      </c>
      <c r="H281" s="5">
        <f>G281/F281-1</f>
        <v>0.006116372267063186</v>
      </c>
      <c r="I281" s="5">
        <f>G281/E281-1</f>
        <v>0.019051408397426917</v>
      </c>
      <c r="J281" s="5">
        <v>-0.01170188118826943</v>
      </c>
      <c r="K281" s="4">
        <v>3420983584.624869</v>
      </c>
    </row>
    <row r="282" spans="1:11">
      <c r="A282" s="1" t="s">
        <v>2240</v>
      </c>
      <c r="B282" s="1" t="s">
        <v>2241</v>
      </c>
      <c r="C282" s="1" t="s">
        <v>70</v>
      </c>
      <c r="D282" s="1" t="s">
        <v>100</v>
      </c>
      <c r="E282" s="4">
        <v>22.08716418780035</v>
      </c>
      <c r="F282" s="4">
        <v>22.47374815930969</v>
      </c>
      <c r="G282" s="4">
        <v>22.46079324110386</v>
      </c>
      <c r="H282" s="5">
        <f>G282/F282-1</f>
        <v>-0.0005764467108022586</v>
      </c>
      <c r="I282" s="5">
        <f>G282/E282-1</f>
        <v>0.016916116986619656</v>
      </c>
      <c r="J282" s="5">
        <v>-0.02457889215989473</v>
      </c>
      <c r="K282" s="4">
        <v>8182983575.978681</v>
      </c>
    </row>
    <row r="283" spans="1:11">
      <c r="A283" s="1" t="s">
        <v>2242</v>
      </c>
      <c r="B283" s="1" t="s">
        <v>2243</v>
      </c>
      <c r="C283" s="1" t="s">
        <v>54</v>
      </c>
      <c r="D283" s="1" t="s">
        <v>113</v>
      </c>
      <c r="E283" s="4">
        <v>47.75603067632509</v>
      </c>
      <c r="F283" s="4">
        <v>48.22754617025881</v>
      </c>
      <c r="G283" s="4">
        <v>48.21511626035035</v>
      </c>
      <c r="H283" s="5">
        <f>G283/F283-1</f>
        <v>-0.00025773465364753445</v>
      </c>
      <c r="I283" s="5">
        <f>G283/E283-1</f>
        <v>0.009613143670519797</v>
      </c>
      <c r="J283" s="5">
        <v>-0.03415942043530795</v>
      </c>
      <c r="K283" s="4">
        <v>20922626818.16949</v>
      </c>
    </row>
    <row r="284" spans="1:11">
      <c r="A284" s="1" t="s">
        <v>2244</v>
      </c>
      <c r="B284" s="1" t="s">
        <v>2245</v>
      </c>
      <c r="C284" s="1" t="s">
        <v>138</v>
      </c>
      <c r="D284" s="1" t="s">
        <v>139</v>
      </c>
      <c r="E284" s="4">
        <v>10.519357644239</v>
      </c>
      <c r="F284" s="4">
        <v>10.62384050872218</v>
      </c>
      <c r="G284" s="4">
        <v>10.60100163497117</v>
      </c>
      <c r="H284" s="5">
        <f>G284/F284-1</f>
        <v>-0.002149775660906572</v>
      </c>
      <c r="I284" s="5">
        <f>G284/E284-1</f>
        <v>0.007761309529854099</v>
      </c>
      <c r="J284" s="5">
        <v>-0.02839012058413637</v>
      </c>
      <c r="K284" s="4">
        <v>13325582991.46888</v>
      </c>
    </row>
    <row r="285" spans="1:11">
      <c r="A285" s="1" t="s">
        <v>2246</v>
      </c>
      <c r="B285" s="1" t="s">
        <v>2247</v>
      </c>
      <c r="C285" s="1" t="s">
        <v>54</v>
      </c>
      <c r="D285" s="1" t="s">
        <v>165</v>
      </c>
      <c r="E285" s="4">
        <v>103.3028965056012</v>
      </c>
      <c r="F285" s="4">
        <v>102.2216243483487</v>
      </c>
      <c r="G285" s="4">
        <v>103.2529879361013</v>
      </c>
      <c r="H285" s="5">
        <f>G285/F285-1</f>
        <v>0.010089485412968502</v>
      </c>
      <c r="I285" s="5">
        <f>G285/E285-1</f>
        <v>-0.0004831284619125631</v>
      </c>
      <c r="J285" s="5">
        <v>-0.02552434541651838</v>
      </c>
      <c r="K285" s="4">
        <v>13433213730.48678</v>
      </c>
    </row>
    <row r="286" spans="1:11">
      <c r="A286" s="1" t="s">
        <v>2248</v>
      </c>
      <c r="B286" s="1" t="s">
        <v>2249</v>
      </c>
      <c r="C286" s="1" t="s">
        <v>54</v>
      </c>
      <c r="D286" s="1" t="s">
        <v>165</v>
      </c>
      <c r="E286" s="4">
        <v>29.83</v>
      </c>
      <c r="F286" s="4">
        <v>31.75</v>
      </c>
      <c r="G286" s="4">
        <v>32.005</v>
      </c>
      <c r="H286" s="5">
        <f>G286/F286-1</f>
        <v>0.008031496062992138</v>
      </c>
      <c r="I286" s="5">
        <f>G286/E286-1</f>
        <v>0.07291317465638625</v>
      </c>
      <c r="J286" s="5">
        <v>-0.01439555046621954</v>
      </c>
      <c r="K286" s="4">
        <v>91960252400.66501</v>
      </c>
    </row>
    <row r="287" spans="1:11">
      <c r="A287" s="1" t="s">
        <v>2250</v>
      </c>
      <c r="B287" s="1" t="s">
        <v>2251</v>
      </c>
      <c r="C287" s="1" t="s">
        <v>70</v>
      </c>
      <c r="D287" s="1" t="s">
        <v>243</v>
      </c>
      <c r="E287" s="4">
        <v>15.51</v>
      </c>
      <c r="F287" s="4">
        <v>15.55</v>
      </c>
      <c r="G287" s="4">
        <v>15.56</v>
      </c>
      <c r="H287" s="5">
        <f>G287/F287-1</f>
        <v>0.0006430868167202064</v>
      </c>
      <c r="I287" s="5">
        <f>G287/E287-1</f>
        <v>0.003223726627981982</v>
      </c>
      <c r="J287" s="5">
        <v>-0.00192678472363339</v>
      </c>
      <c r="K287" s="4">
        <v>7780000000</v>
      </c>
    </row>
    <row r="288" spans="1:11">
      <c r="A288" s="1" t="s">
        <v>2252</v>
      </c>
      <c r="B288" s="1" t="s">
        <v>2253</v>
      </c>
      <c r="C288" s="1" t="s">
        <v>54</v>
      </c>
      <c r="D288" s="1" t="s">
        <v>113</v>
      </c>
      <c r="E288" s="4">
        <v>37.36366718255663</v>
      </c>
      <c r="F288" s="4">
        <v>37.01770546850209</v>
      </c>
      <c r="G288" s="4">
        <v>36.71925754019403</v>
      </c>
      <c r="H288" s="5">
        <f>G288/F288-1</f>
        <v>-0.00806230220190185</v>
      </c>
      <c r="I288" s="5">
        <f>G288/E288-1</f>
        <v>-0.017246959170631126</v>
      </c>
      <c r="J288" s="5">
        <v>-0.03026971111416454</v>
      </c>
      <c r="K288" s="4">
        <v>112248448179.0617</v>
      </c>
    </row>
    <row r="289" spans="1:11">
      <c r="A289" s="1" t="s">
        <v>2254</v>
      </c>
      <c r="B289" s="1" t="s">
        <v>2255</v>
      </c>
      <c r="C289" s="1" t="s">
        <v>54</v>
      </c>
      <c r="D289" s="1" t="s">
        <v>113</v>
      </c>
      <c r="E289" s="4">
        <v>7.438755350111283</v>
      </c>
      <c r="F289" s="4">
        <v>7.69320615278852</v>
      </c>
      <c r="G289" s="4">
        <v>7.794854143361158</v>
      </c>
      <c r="H289" s="5">
        <f>G289/F289-1</f>
        <v>0.013212695533421304</v>
      </c>
      <c r="I289" s="5">
        <f>G289/E289-1</f>
        <v>0.04787074940494551</v>
      </c>
      <c r="J289" s="5">
        <v>-0.0218274648089396</v>
      </c>
      <c r="K289" s="4">
        <v>7151017210.397043</v>
      </c>
    </row>
    <row r="290" spans="1:11">
      <c r="A290" s="1" t="s">
        <v>2256</v>
      </c>
      <c r="B290" s="1" t="s">
        <v>2257</v>
      </c>
      <c r="C290" s="1" t="s">
        <v>70</v>
      </c>
      <c r="D290" s="1" t="s">
        <v>100</v>
      </c>
      <c r="E290" s="4">
        <v>37</v>
      </c>
      <c r="F290" s="4">
        <v>36.68</v>
      </c>
      <c r="G290" s="4">
        <v>36.28</v>
      </c>
      <c r="H290" s="5">
        <f>G290/F290-1</f>
        <v>-0.010905125408942173</v>
      </c>
      <c r="I290" s="5">
        <f>G290/E290-1</f>
        <v>-0.019459459459459483</v>
      </c>
      <c r="J290" s="5">
        <v>-0.04862579281183943</v>
      </c>
      <c r="K290" s="4">
        <v>3950140786.32</v>
      </c>
    </row>
    <row r="291" spans="1:11">
      <c r="A291" s="1" t="s">
        <v>2258</v>
      </c>
      <c r="B291" s="1" t="s">
        <v>2259</v>
      </c>
      <c r="C291" s="1" t="s">
        <v>37</v>
      </c>
      <c r="D291" s="1" t="s">
        <v>38</v>
      </c>
      <c r="E291" s="4">
        <v>163.4</v>
      </c>
      <c r="F291" s="4">
        <v>168.6</v>
      </c>
      <c r="G291" s="4">
        <v>164.7</v>
      </c>
      <c r="H291" s="5">
        <f>G291/F291-1</f>
        <v>-0.02313167259786475</v>
      </c>
      <c r="I291" s="5">
        <f>G291/E291-1</f>
        <v>0.007955936352509019</v>
      </c>
      <c r="J291" s="5">
        <v>-0.03605200945626474</v>
      </c>
      <c r="K291" s="4">
        <v>13804252432.2</v>
      </c>
    </row>
    <row r="292" spans="1:11">
      <c r="A292" s="1" t="s">
        <v>2260</v>
      </c>
      <c r="B292" s="1" t="s">
        <v>2261</v>
      </c>
      <c r="C292" s="1" t="s">
        <v>54</v>
      </c>
      <c r="D292" s="1" t="s">
        <v>165</v>
      </c>
      <c r="E292" s="4">
        <v>6.769</v>
      </c>
      <c r="F292" s="4">
        <v>6.738</v>
      </c>
      <c r="G292" s="4">
        <v>6.736</v>
      </c>
      <c r="H292" s="5">
        <f>G292/F292-1</f>
        <v>-0.00029682398337793625</v>
      </c>
      <c r="I292" s="5">
        <f>G292/E292-1</f>
        <v>-0.004875166198847758</v>
      </c>
      <c r="J292" s="5">
        <v>-0.03031628042559398</v>
      </c>
      <c r="K292" s="4">
        <v>119109056992.88</v>
      </c>
    </row>
    <row r="293" spans="1:11">
      <c r="A293" s="1" t="s">
        <v>2262</v>
      </c>
      <c r="B293" s="1" t="s">
        <v>2263</v>
      </c>
      <c r="C293" s="1" t="s">
        <v>70</v>
      </c>
      <c r="D293" s="1" t="s">
        <v>71</v>
      </c>
      <c r="E293" s="4">
        <v>39.0594741866021</v>
      </c>
      <c r="F293" s="4">
        <v>37.51332244708489</v>
      </c>
      <c r="G293" s="4">
        <v>37.5397501437444</v>
      </c>
      <c r="H293" s="5">
        <f>G293/F293-1</f>
        <v>0.000704488297371908</v>
      </c>
      <c r="I293" s="5">
        <f>G293/E293-1</f>
        <v>-0.03890794933893371</v>
      </c>
      <c r="J293" s="5">
        <v>-0.04293367915971324</v>
      </c>
      <c r="K293" s="4">
        <v>6006360022.999104</v>
      </c>
    </row>
    <row r="294" spans="1:11">
      <c r="A294" s="1" t="s">
        <v>2264</v>
      </c>
      <c r="B294" s="1" t="s">
        <v>2265</v>
      </c>
      <c r="C294" s="1" t="s">
        <v>70</v>
      </c>
      <c r="D294" s="1" t="s">
        <v>71</v>
      </c>
      <c r="E294" s="4">
        <v>68.25671117959254</v>
      </c>
      <c r="F294" s="4">
        <v>68.02842657042194</v>
      </c>
      <c r="G294" s="4">
        <v>68.17588847775579</v>
      </c>
      <c r="H294" s="5">
        <f>G294/F294-1</f>
        <v>0.0021676513006103626</v>
      </c>
      <c r="I294" s="5">
        <f>G294/E294-1</f>
        <v>-0.0011840989763496346</v>
      </c>
      <c r="J294" s="5">
        <v>-0.004537975822697327</v>
      </c>
      <c r="K294" s="4">
        <v>10494436820.92488</v>
      </c>
    </row>
    <row r="295" spans="1:11">
      <c r="A295" s="1" t="s">
        <v>2266</v>
      </c>
      <c r="B295" s="1" t="s">
        <v>2267</v>
      </c>
      <c r="C295" s="1" t="s">
        <v>138</v>
      </c>
      <c r="D295" s="1" t="s">
        <v>139</v>
      </c>
      <c r="E295" s="4">
        <v>0.8390495634309195</v>
      </c>
      <c r="F295" s="4">
        <v>0.8298420555125892</v>
      </c>
      <c r="G295" s="4">
        <v>0.8271852680492213</v>
      </c>
      <c r="H295" s="5">
        <f>G295/F295-1</f>
        <v>-0.0032015579901246705</v>
      </c>
      <c r="I295" s="5">
        <f>G295/E295-1</f>
        <v>-0.014140160365717191</v>
      </c>
      <c r="J295" s="5">
        <v>-0.0366773910777306</v>
      </c>
      <c r="K295" s="4">
        <v>3099452886.861695</v>
      </c>
    </row>
    <row r="296" spans="1:11">
      <c r="A296" s="1" t="s">
        <v>2268</v>
      </c>
      <c r="B296" s="1" t="s">
        <v>2269</v>
      </c>
      <c r="C296" s="1" t="s">
        <v>47</v>
      </c>
      <c r="D296" s="1" t="s">
        <v>120</v>
      </c>
      <c r="E296" s="4">
        <v>58.22</v>
      </c>
      <c r="F296" s="4">
        <v>56.8</v>
      </c>
      <c r="G296" s="4">
        <v>57.44</v>
      </c>
      <c r="H296" s="5">
        <f>G296/F296-1</f>
        <v>0.011267605633802802</v>
      </c>
      <c r="I296" s="5">
        <f>G296/E296-1</f>
        <v>-0.013397457918241207</v>
      </c>
      <c r="J296" s="5">
        <v>-0.0386853817185896</v>
      </c>
      <c r="K296" s="4">
        <v>179020490880</v>
      </c>
    </row>
    <row r="297" spans="1:11">
      <c r="A297" s="1" t="s">
        <v>2270</v>
      </c>
      <c r="B297" s="1" t="s">
        <v>2271</v>
      </c>
      <c r="C297" s="1" t="s">
        <v>70</v>
      </c>
      <c r="D297" s="1" t="s">
        <v>100</v>
      </c>
      <c r="E297" s="4">
        <v>13.95</v>
      </c>
      <c r="F297" s="4">
        <v>14</v>
      </c>
      <c r="G297" s="4">
        <v>14.04</v>
      </c>
      <c r="H297" s="5">
        <f>G297/F297-1</f>
        <v>0.0028571428571428914</v>
      </c>
      <c r="I297" s="5">
        <f>G297/E297-1</f>
        <v>0.006451612903225712</v>
      </c>
      <c r="J297" s="5">
        <v>-0.00179018976011458</v>
      </c>
      <c r="K297" s="4">
        <v>3807864216</v>
      </c>
    </row>
    <row r="298" spans="1:11">
      <c r="A298" s="1" t="s">
        <v>2272</v>
      </c>
      <c r="B298" s="1" t="s">
        <v>2273</v>
      </c>
      <c r="C298" s="1" t="s">
        <v>47</v>
      </c>
      <c r="D298" s="1" t="s">
        <v>120</v>
      </c>
      <c r="E298" s="4">
        <v>0.9872407806882385</v>
      </c>
      <c r="F298" s="4">
        <v>0.9618253501761623</v>
      </c>
      <c r="G298" s="4">
        <v>0.9584180363135703</v>
      </c>
      <c r="H298" s="5">
        <f>G298/F298-1</f>
        <v>-0.003542549447223431</v>
      </c>
      <c r="I298" s="5">
        <f>G298/E298-1</f>
        <v>-0.029195253010694033</v>
      </c>
      <c r="J298" s="5">
        <v>-0.06831980170236784</v>
      </c>
      <c r="K298" s="4">
        <v>4583300410.998225</v>
      </c>
    </row>
    <row r="299" spans="1:11">
      <c r="A299" s="1" t="s">
        <v>2274</v>
      </c>
      <c r="B299" s="1" t="s">
        <v>2275</v>
      </c>
      <c r="C299" s="1" t="s">
        <v>93</v>
      </c>
      <c r="D299" s="1" t="s">
        <v>93</v>
      </c>
      <c r="E299" s="4">
        <v>26.55530559835645</v>
      </c>
      <c r="F299" s="4">
        <v>26.28027154764974</v>
      </c>
      <c r="G299" s="4">
        <v>26.6653816366922</v>
      </c>
      <c r="H299" s="5">
        <f>G299/F299-1</f>
        <v>0.014653961559879747</v>
      </c>
      <c r="I299" s="5">
        <f>G299/E299-1</f>
        <v>0.004145161799326447</v>
      </c>
      <c r="J299" s="5">
        <v>-0.02204100405429632</v>
      </c>
      <c r="K299" s="4">
        <v>3363211203.669496</v>
      </c>
    </row>
    <row r="300" spans="1:11">
      <c r="A300" s="1" t="s">
        <v>2276</v>
      </c>
      <c r="B300" s="1" t="s">
        <v>2277</v>
      </c>
      <c r="C300" s="1" t="s">
        <v>66</v>
      </c>
      <c r="D300" s="1" t="s">
        <v>214</v>
      </c>
      <c r="E300" s="4">
        <v>17.54</v>
      </c>
      <c r="F300" s="4">
        <v>18.01</v>
      </c>
      <c r="G300" s="4">
        <v>18.23</v>
      </c>
      <c r="H300" s="5">
        <f>G300/F300-1</f>
        <v>0.012215435868961677</v>
      </c>
      <c r="I300" s="5">
        <f>G300/E300-1</f>
        <v>0.03933865450399088</v>
      </c>
      <c r="J300" s="5">
        <v>-0.01317957166392103</v>
      </c>
      <c r="K300" s="4">
        <v>11472015400.6</v>
      </c>
    </row>
    <row r="301" spans="1:11">
      <c r="A301" s="1" t="s">
        <v>2278</v>
      </c>
      <c r="B301" s="1" t="s">
        <v>2279</v>
      </c>
      <c r="C301" s="1" t="s">
        <v>54</v>
      </c>
      <c r="D301" s="1" t="s">
        <v>165</v>
      </c>
      <c r="E301" s="4">
        <v>142.5938338456091</v>
      </c>
      <c r="F301" s="4">
        <v>146.8959630773867</v>
      </c>
      <c r="G301" s="4">
        <v>148.0987291843373</v>
      </c>
      <c r="H301" s="5">
        <f>G301/F301-1</f>
        <v>0.008187877200662275</v>
      </c>
      <c r="I301" s="5">
        <f>G301/E301-1</f>
        <v>0.03860542346233942</v>
      </c>
      <c r="J301" s="5">
        <v>-0.00725649360515912</v>
      </c>
      <c r="K301" s="4">
        <v>8618968238.670282</v>
      </c>
    </row>
    <row r="302" spans="1:11">
      <c r="A302" s="1" t="s">
        <v>2280</v>
      </c>
      <c r="B302" s="1" t="s">
        <v>2281</v>
      </c>
      <c r="C302" s="1" t="s">
        <v>54</v>
      </c>
      <c r="D302" s="1" t="s">
        <v>165</v>
      </c>
      <c r="E302" s="4">
        <v>130.75</v>
      </c>
      <c r="F302" s="4">
        <v>133.6</v>
      </c>
      <c r="G302" s="4">
        <v>133.2</v>
      </c>
      <c r="H302" s="5">
        <f>G302/F302-1</f>
        <v>-0.0029940119760479833</v>
      </c>
      <c r="I302" s="5">
        <f>G302/E302-1</f>
        <v>0.01873804971319304</v>
      </c>
      <c r="J302" s="5">
        <v>-0.0217065868263473</v>
      </c>
      <c r="K302" s="4">
        <v>55632682695.59999</v>
      </c>
    </row>
    <row r="303" spans="1:11">
      <c r="A303" s="1" t="s">
        <v>2282</v>
      </c>
      <c r="B303" s="1" t="s">
        <v>2283</v>
      </c>
      <c r="C303" s="1" t="s">
        <v>54</v>
      </c>
      <c r="D303" s="1" t="s">
        <v>165</v>
      </c>
      <c r="E303" s="4">
        <v>92.8</v>
      </c>
      <c r="F303" s="4">
        <v>95</v>
      </c>
      <c r="G303" s="4">
        <v>95.2</v>
      </c>
      <c r="H303" s="5">
        <f>G303/F303-1</f>
        <v>0.002105263157894832</v>
      </c>
      <c r="I303" s="5">
        <f>G303/E303-1</f>
        <v>0.02586206896551735</v>
      </c>
      <c r="J303" s="5">
        <v>-0.01687763713080159</v>
      </c>
      <c r="K303" s="4">
        <v>7331527548.8</v>
      </c>
    </row>
    <row r="304" spans="1:11">
      <c r="A304" s="1" t="s">
        <v>2284</v>
      </c>
      <c r="B304" s="1" t="s">
        <v>2285</v>
      </c>
      <c r="C304" s="1" t="s">
        <v>70</v>
      </c>
      <c r="D304" s="1" t="s">
        <v>100</v>
      </c>
      <c r="E304" s="4">
        <v>102.8</v>
      </c>
      <c r="F304" s="4">
        <v>103</v>
      </c>
      <c r="G304" s="4">
        <v>104.3</v>
      </c>
      <c r="H304" s="5">
        <f>G304/F304-1</f>
        <v>0.012621359223300876</v>
      </c>
      <c r="I304" s="5">
        <f>G304/E304-1</f>
        <v>0.014591439688715901</v>
      </c>
      <c r="J304" s="5">
        <v>-0.03928908373954909</v>
      </c>
      <c r="K304" s="4">
        <v>16813160000</v>
      </c>
    </row>
    <row r="305" spans="1:11">
      <c r="A305" s="1" t="s">
        <v>2286</v>
      </c>
      <c r="B305" s="1" t="s">
        <v>2287</v>
      </c>
      <c r="C305" s="1" t="s">
        <v>70</v>
      </c>
      <c r="D305" s="1" t="s">
        <v>100</v>
      </c>
      <c r="E305" s="4">
        <v>28.58</v>
      </c>
      <c r="F305" s="4">
        <v>29.24</v>
      </c>
      <c r="G305" s="4">
        <v>29.66</v>
      </c>
      <c r="H305" s="5">
        <f>G305/F305-1</f>
        <v>0.014363885088919393</v>
      </c>
      <c r="I305" s="5">
        <f>G305/E305-1</f>
        <v>0.03778866340097986</v>
      </c>
      <c r="J305" s="5">
        <v>-0.04993429697766094</v>
      </c>
      <c r="K305" s="4">
        <v>7049165195.88</v>
      </c>
    </row>
    <row r="306" spans="1:11">
      <c r="A306" s="1" t="s">
        <v>2288</v>
      </c>
      <c r="B306" s="1" t="s">
        <v>2289</v>
      </c>
      <c r="C306" s="1" t="s">
        <v>93</v>
      </c>
      <c r="D306" s="1" t="s">
        <v>93</v>
      </c>
      <c r="E306" s="4">
        <v>17.35</v>
      </c>
      <c r="F306" s="4">
        <v>17.47</v>
      </c>
      <c r="G306" s="4">
        <v>17.48</v>
      </c>
      <c r="H306" s="5">
        <f>G306/F306-1</f>
        <v>0.0005724098454493731</v>
      </c>
      <c r="I306" s="5">
        <f>G306/E306-1</f>
        <v>0.007492795389048901</v>
      </c>
      <c r="J306" s="5">
        <v>-0.01410835214446948</v>
      </c>
      <c r="K306" s="4">
        <v>2540587896.36</v>
      </c>
    </row>
    <row r="307" spans="1:11">
      <c r="A307" s="1" t="s">
        <v>2290</v>
      </c>
      <c r="B307" s="1" t="s">
        <v>2291</v>
      </c>
      <c r="C307" s="1" t="s">
        <v>47</v>
      </c>
      <c r="D307" s="1" t="s">
        <v>331</v>
      </c>
      <c r="E307" s="4">
        <v>254.3</v>
      </c>
      <c r="F307" s="4">
        <v>244.6</v>
      </c>
      <c r="G307" s="4">
        <v>245.2</v>
      </c>
      <c r="H307" s="5">
        <f>G307/F307-1</f>
        <v>0.002452984464431651</v>
      </c>
      <c r="I307" s="5">
        <f>G307/E307-1</f>
        <v>-0.03578450648839959</v>
      </c>
      <c r="J307" s="5">
        <v>-0.04359726295210165</v>
      </c>
      <c r="K307" s="4">
        <v>30262774765.6</v>
      </c>
    </row>
    <row r="308" spans="1:11">
      <c r="A308" s="1" t="s">
        <v>2292</v>
      </c>
      <c r="B308" s="1" t="s">
        <v>2293</v>
      </c>
      <c r="C308" s="1" t="s">
        <v>66</v>
      </c>
      <c r="D308" s="1" t="s">
        <v>214</v>
      </c>
      <c r="E308" s="4">
        <v>21.98</v>
      </c>
      <c r="F308" s="4">
        <v>22.36</v>
      </c>
      <c r="G308" s="4">
        <v>22.64</v>
      </c>
      <c r="H308" s="5">
        <f>G308/F308-1</f>
        <v>0.012522361359570633</v>
      </c>
      <c r="I308" s="5">
        <f>G308/E308-1</f>
        <v>0.0300272975432212</v>
      </c>
      <c r="J308" s="5">
        <v>-0.01069518716577544</v>
      </c>
      <c r="K308" s="4">
        <v>8982889404.6</v>
      </c>
    </row>
    <row r="309" spans="1:11">
      <c r="A309" s="1" t="s">
        <v>2294</v>
      </c>
      <c r="B309" s="1" t="s">
        <v>2295</v>
      </c>
      <c r="C309" s="1" t="s">
        <v>47</v>
      </c>
      <c r="D309" s="1" t="s">
        <v>120</v>
      </c>
      <c r="E309" s="4">
        <v>3.752075500770417</v>
      </c>
      <c r="F309" s="4">
        <v>3.463688579530808</v>
      </c>
      <c r="G309" s="4">
        <v>3.576325617416746</v>
      </c>
      <c r="H309" s="5">
        <f>G309/F309-1</f>
        <v>0.03251938946000621</v>
      </c>
      <c r="I309" s="5">
        <f>G309/E309-1</f>
        <v>-0.046840710779296524</v>
      </c>
      <c r="J309" s="5">
        <v>-0.08061110172387898</v>
      </c>
      <c r="K309" s="4">
        <v>5892453476.921063</v>
      </c>
    </row>
    <row r="310" spans="1:11">
      <c r="A310" s="1" t="s">
        <v>2296</v>
      </c>
      <c r="B310" s="1" t="s">
        <v>2297</v>
      </c>
      <c r="C310" s="1" t="s">
        <v>93</v>
      </c>
      <c r="D310" s="1" t="s">
        <v>93</v>
      </c>
      <c r="E310" s="4">
        <v>79.40221512952978</v>
      </c>
      <c r="F310" s="4">
        <v>81.49039405950299</v>
      </c>
      <c r="G310" s="4">
        <v>82.56528235681058</v>
      </c>
      <c r="H310" s="5">
        <f>G310/F310-1</f>
        <v>0.013190368137411701</v>
      </c>
      <c r="I310" s="5">
        <f>G310/E310-1</f>
        <v>0.03983600737234916</v>
      </c>
      <c r="J310" s="5">
        <v>-0.06572449694244964</v>
      </c>
      <c r="K310" s="4">
        <v>16513056471.36212</v>
      </c>
    </row>
    <row r="311" spans="1:11">
      <c r="A311" s="1" t="s">
        <v>2298</v>
      </c>
      <c r="B311" s="1" t="s">
        <v>2299</v>
      </c>
      <c r="C311" s="1" t="s">
        <v>70</v>
      </c>
      <c r="D311" s="1" t="s">
        <v>100</v>
      </c>
      <c r="E311" s="4">
        <v>41.1</v>
      </c>
      <c r="F311" s="4">
        <v>43.57</v>
      </c>
      <c r="G311" s="4">
        <v>45.3</v>
      </c>
      <c r="H311" s="5">
        <f>G311/F311-1</f>
        <v>0.03970621987606138</v>
      </c>
      <c r="I311" s="5">
        <f>G311/E311-1</f>
        <v>0.10218978102189769</v>
      </c>
      <c r="J311" s="5">
        <v>-0.05789707187222715</v>
      </c>
      <c r="K311" s="4">
        <v>5943298709.099999</v>
      </c>
    </row>
    <row r="312" spans="1:11">
      <c r="A312" s="1" t="s">
        <v>2300</v>
      </c>
      <c r="B312" s="1" t="s">
        <v>2301</v>
      </c>
      <c r="C312" s="1" t="s">
        <v>70</v>
      </c>
      <c r="D312" s="1" t="s">
        <v>100</v>
      </c>
      <c r="E312" s="4">
        <v>5.113468313165887</v>
      </c>
      <c r="F312" s="4">
        <v>5.14562126218682</v>
      </c>
      <c r="G312" s="4">
        <v>5.260669784755086</v>
      </c>
      <c r="H312" s="5">
        <f>G312/F312-1</f>
        <v>0.022358529068921662</v>
      </c>
      <c r="I312" s="5">
        <f>G312/E312-1</f>
        <v>0.02878701158862995</v>
      </c>
      <c r="J312" s="5">
        <v>-0.02806522997049432</v>
      </c>
      <c r="K312" s="4">
        <v>4627333777.562734</v>
      </c>
    </row>
    <row r="313" spans="1:11">
      <c r="A313" s="1" t="s">
        <v>2302</v>
      </c>
      <c r="B313" s="1" t="s">
        <v>2303</v>
      </c>
      <c r="C313" s="1" t="s">
        <v>70</v>
      </c>
      <c r="D313" s="1" t="s">
        <v>100</v>
      </c>
      <c r="E313" s="4">
        <v>51.9</v>
      </c>
      <c r="F313" s="4">
        <v>51.72</v>
      </c>
      <c r="G313" s="4">
        <v>51.5</v>
      </c>
      <c r="H313" s="5">
        <f>G313/F313-1</f>
        <v>-0.004253673627223509</v>
      </c>
      <c r="I313" s="5">
        <f>G313/E313-1</f>
        <v>-0.0077071290944122905</v>
      </c>
      <c r="J313" s="5">
        <v>-0.02720060445787675</v>
      </c>
      <c r="K313" s="4">
        <v>27263886790</v>
      </c>
    </row>
    <row r="314" spans="1:11">
      <c r="A314" s="1" t="s">
        <v>2304</v>
      </c>
      <c r="B314" s="1" t="s">
        <v>2305</v>
      </c>
      <c r="C314" s="1" t="s">
        <v>70</v>
      </c>
      <c r="D314" s="1" t="s">
        <v>243</v>
      </c>
      <c r="E314" s="4">
        <v>234.4405273428714</v>
      </c>
      <c r="F314" s="4">
        <v>228.4006189080972</v>
      </c>
      <c r="G314" s="4">
        <v>224.6984733647556</v>
      </c>
      <c r="H314" s="5">
        <f>G314/F314-1</f>
        <v>-0.01620899961234934</v>
      </c>
      <c r="I314" s="5">
        <f>G314/E314-1</f>
        <v>-0.04155447903368692</v>
      </c>
      <c r="J314" s="5">
        <v>-0.0472154068159687</v>
      </c>
      <c r="K314" s="4">
        <v>27133190693.11897</v>
      </c>
    </row>
    <row r="315" spans="1:11">
      <c r="A315" s="1" t="s">
        <v>2306</v>
      </c>
      <c r="B315" s="1" t="s">
        <v>2307</v>
      </c>
      <c r="C315" s="1" t="s">
        <v>70</v>
      </c>
      <c r="D315" s="1" t="s">
        <v>100</v>
      </c>
      <c r="E315" s="4">
        <v>29.00272283530147</v>
      </c>
      <c r="F315" s="4">
        <v>28.43048294503221</v>
      </c>
      <c r="G315" s="4">
        <v>28.55316018335918</v>
      </c>
      <c r="H315" s="5">
        <f>G315/F315-1</f>
        <v>0.004314989603382724</v>
      </c>
      <c r="I315" s="5">
        <f>G315/E315-1</f>
        <v>-0.015500705037083451</v>
      </c>
      <c r="J315" s="5">
        <v>-0.02816408367087864</v>
      </c>
      <c r="K315" s="4">
        <v>25115623671.24862</v>
      </c>
    </row>
    <row r="316" spans="1:11">
      <c r="A316" s="1" t="s">
        <v>2308</v>
      </c>
      <c r="B316" s="1" t="s">
        <v>2309</v>
      </c>
      <c r="C316" s="1" t="s">
        <v>138</v>
      </c>
      <c r="D316" s="1" t="s">
        <v>258</v>
      </c>
      <c r="E316" s="4">
        <v>4.066</v>
      </c>
      <c r="F316" s="4">
        <v>4.053</v>
      </c>
      <c r="G316" s="4">
        <v>4.098</v>
      </c>
      <c r="H316" s="5">
        <f>G316/F316-1</f>
        <v>0.011102886750555152</v>
      </c>
      <c r="I316" s="5">
        <f>G316/E316-1</f>
        <v>0.007870142646335454</v>
      </c>
      <c r="J316" s="5">
        <v>-0.01911907066795737</v>
      </c>
      <c r="K316" s="4">
        <v>15684952819.89</v>
      </c>
    </row>
    <row r="317" spans="1:11">
      <c r="A317" s="1" t="s">
        <v>2310</v>
      </c>
      <c r="B317" s="1" t="s">
        <v>2311</v>
      </c>
      <c r="C317" s="1" t="s">
        <v>70</v>
      </c>
      <c r="D317" s="1" t="s">
        <v>100</v>
      </c>
      <c r="E317" s="4">
        <v>100.6</v>
      </c>
      <c r="F317" s="4">
        <v>102.2</v>
      </c>
      <c r="G317" s="4">
        <v>102.7</v>
      </c>
      <c r="H317" s="5">
        <f>G317/F317-1</f>
        <v>0.004892367906066619</v>
      </c>
      <c r="I317" s="5">
        <f>G317/E317-1</f>
        <v>0.020874751491053667</v>
      </c>
      <c r="J317" s="5">
        <v>-0.03461536994347203</v>
      </c>
      <c r="K317" s="4">
        <v>18732252108.7</v>
      </c>
    </row>
    <row r="318" spans="1:11">
      <c r="A318" s="1" t="s">
        <v>2312</v>
      </c>
      <c r="B318" s="1" t="s">
        <v>2313</v>
      </c>
      <c r="C318" s="1" t="s">
        <v>93</v>
      </c>
      <c r="D318" s="1" t="s">
        <v>93</v>
      </c>
      <c r="E318" s="4">
        <v>284.5816210425969</v>
      </c>
      <c r="F318" s="4">
        <v>283.8975397814031</v>
      </c>
      <c r="G318" s="4">
        <v>285.2676890417894</v>
      </c>
      <c r="H318" s="5">
        <f>G318/F318-1</f>
        <v>0.0048262104047862575</v>
      </c>
      <c r="I318" s="5">
        <f>G318/E318-1</f>
        <v>0.0024107951760166113</v>
      </c>
      <c r="J318" s="5">
        <v>-0.04110060772938784</v>
      </c>
      <c r="K318" s="4">
        <v>2812671805.50974</v>
      </c>
    </row>
    <row r="319" spans="1:11">
      <c r="A319" s="1" t="s">
        <v>2314</v>
      </c>
      <c r="B319" s="1" t="s">
        <v>2315</v>
      </c>
      <c r="C319" s="1" t="s">
        <v>66</v>
      </c>
      <c r="D319" s="1" t="s">
        <v>67</v>
      </c>
      <c r="E319" s="4">
        <v>84</v>
      </c>
      <c r="F319" s="4">
        <v>84.25</v>
      </c>
      <c r="G319" s="4">
        <v>84.05</v>
      </c>
      <c r="H319" s="5">
        <f>G319/F319-1</f>
        <v>-0.002373887240356143</v>
      </c>
      <c r="I319" s="5">
        <f>G319/E319-1</f>
        <v>0.0005952380952380931</v>
      </c>
      <c r="J319" s="5">
        <v>-0.01524032825322386</v>
      </c>
      <c r="K319" s="4">
        <v>13301626420.7</v>
      </c>
    </row>
    <row r="320" spans="1:11">
      <c r="A320" s="1" t="s">
        <v>2316</v>
      </c>
      <c r="B320" s="1" t="s">
        <v>2317</v>
      </c>
      <c r="C320" s="1" t="s">
        <v>41</v>
      </c>
      <c r="D320" s="1" t="s">
        <v>42</v>
      </c>
      <c r="E320" s="4">
        <v>20.27822363187895</v>
      </c>
      <c r="F320" s="4">
        <v>20.32910017939161</v>
      </c>
      <c r="G320" s="4">
        <v>20.0311401260806</v>
      </c>
      <c r="H320" s="5">
        <f>G320/F320-1</f>
        <v>-0.014656824487148445</v>
      </c>
      <c r="I320" s="5">
        <f>G320/E320-1</f>
        <v>-0.012184672103621175</v>
      </c>
      <c r="J320" s="5">
        <v>-0.04850123155953479</v>
      </c>
      <c r="K320" s="4">
        <v>4190879742.153981</v>
      </c>
    </row>
    <row r="321" spans="1:11">
      <c r="A321" s="1" t="s">
        <v>2318</v>
      </c>
      <c r="B321" s="1" t="s">
        <v>2319</v>
      </c>
      <c r="C321" s="1" t="s">
        <v>116</v>
      </c>
      <c r="D321" s="1" t="s">
        <v>117</v>
      </c>
      <c r="E321" s="4">
        <v>8.022645095017978</v>
      </c>
      <c r="F321" s="4">
        <v>7.669928675775544</v>
      </c>
      <c r="G321" s="4">
        <v>7.713415368729026</v>
      </c>
      <c r="H321" s="5">
        <f>G321/F321-1</f>
        <v>0.0056697649732817545</v>
      </c>
      <c r="I321" s="5">
        <f>G321/E321-1</f>
        <v>-0.03854460999165743</v>
      </c>
      <c r="J321" s="5">
        <v>-0.05978553082636118</v>
      </c>
      <c r="K321" s="4">
        <v>5747696045.549265</v>
      </c>
    </row>
    <row r="322" spans="1:11">
      <c r="A322" s="1" t="s">
        <v>2320</v>
      </c>
      <c r="B322" s="1" t="s">
        <v>2321</v>
      </c>
      <c r="C322" s="1" t="s">
        <v>70</v>
      </c>
      <c r="D322" s="1" t="s">
        <v>100</v>
      </c>
      <c r="E322" s="4">
        <v>17.7637962591482</v>
      </c>
      <c r="F322" s="4">
        <v>18.77918651323231</v>
      </c>
      <c r="G322" s="4">
        <v>18.77131999236484</v>
      </c>
      <c r="H322" s="5">
        <f>G322/F322-1</f>
        <v>-0.0004188957206388011</v>
      </c>
      <c r="I322" s="5">
        <f>G322/E322-1</f>
        <v>0.05671781631123918</v>
      </c>
      <c r="J322" s="5">
        <v>-0.006297932773440595</v>
      </c>
      <c r="K322" s="4">
        <v>12010641383.91472</v>
      </c>
    </row>
    <row r="323" spans="1:11">
      <c r="A323" s="1" t="s">
        <v>2322</v>
      </c>
      <c r="B323" s="1" t="s">
        <v>2323</v>
      </c>
      <c r="C323" s="1" t="s">
        <v>70</v>
      </c>
      <c r="D323" s="1" t="s">
        <v>100</v>
      </c>
      <c r="E323" s="4">
        <v>56.25</v>
      </c>
      <c r="F323" s="4">
        <v>50.64</v>
      </c>
      <c r="G323" s="4">
        <v>50.46</v>
      </c>
      <c r="H323" s="5">
        <f>G323/F323-1</f>
        <v>-0.0035545023696682554</v>
      </c>
      <c r="I323" s="5">
        <f>G323/E323-1</f>
        <v>-0.10293333333333332</v>
      </c>
      <c r="J323" s="5">
        <v>-0.1029333333333333</v>
      </c>
      <c r="K323" s="4">
        <v>29173468931.7</v>
      </c>
    </row>
    <row r="324" spans="1:11">
      <c r="A324" s="1" t="s">
        <v>2324</v>
      </c>
      <c r="B324" s="1" t="s">
        <v>2325</v>
      </c>
      <c r="C324" s="1" t="s">
        <v>116</v>
      </c>
      <c r="D324" s="1" t="s">
        <v>223</v>
      </c>
      <c r="E324" s="4">
        <v>50.05</v>
      </c>
      <c r="F324" s="4">
        <v>49.3</v>
      </c>
      <c r="G324" s="4">
        <v>49.14</v>
      </c>
      <c r="H324" s="5">
        <f>G324/F324-1</f>
        <v>-0.0032454361054765624</v>
      </c>
      <c r="I324" s="5">
        <f>G324/E324-1</f>
        <v>-0.018181818181818077</v>
      </c>
      <c r="J324" s="5">
        <v>-0.04039800995024878</v>
      </c>
      <c r="K324" s="4">
        <v>3776333914.08</v>
      </c>
    </row>
    <row r="325" spans="1:11">
      <c r="A325" s="1" t="s">
        <v>2326</v>
      </c>
      <c r="B325" s="1" t="s">
        <v>2327</v>
      </c>
      <c r="C325" s="1" t="s">
        <v>54</v>
      </c>
      <c r="D325" s="1" t="s">
        <v>55</v>
      </c>
      <c r="E325" s="4">
        <v>3.316493751070023</v>
      </c>
      <c r="F325" s="4">
        <v>3.403167139297069</v>
      </c>
      <c r="G325" s="4">
        <v>3.440206522674469</v>
      </c>
      <c r="H325" s="5">
        <f>G325/F325-1</f>
        <v>0.010883797903928683</v>
      </c>
      <c r="I325" s="5">
        <f>G325/E325-1</f>
        <v>0.0373022779145995</v>
      </c>
      <c r="J325" s="5">
        <v>-0.02356141835306191</v>
      </c>
      <c r="K325" s="4">
        <v>18890897697.84962</v>
      </c>
    </row>
    <row r="326" spans="1:11">
      <c r="A326" s="1" t="s">
        <v>2328</v>
      </c>
      <c r="B326" s="1" t="s">
        <v>2329</v>
      </c>
      <c r="C326" s="1" t="s">
        <v>70</v>
      </c>
      <c r="D326" s="1" t="s">
        <v>243</v>
      </c>
      <c r="E326" s="4">
        <v>7.606</v>
      </c>
      <c r="F326" s="4">
        <v>7.708</v>
      </c>
      <c r="G326" s="4">
        <v>7.846</v>
      </c>
      <c r="H326" s="5">
        <f>G326/F326-1</f>
        <v>0.017903476907109583</v>
      </c>
      <c r="I326" s="5">
        <f>G326/E326-1</f>
        <v>0.03155403628714182</v>
      </c>
      <c r="J326" s="5">
        <v>-0.05440993788819881</v>
      </c>
      <c r="K326" s="4">
        <v>9409573594.17</v>
      </c>
    </row>
    <row r="327" spans="1:11">
      <c r="A327" s="1" t="s">
        <v>2330</v>
      </c>
      <c r="B327" s="1" t="s">
        <v>2331</v>
      </c>
      <c r="C327" s="1" t="s">
        <v>116</v>
      </c>
      <c r="D327" s="1" t="s">
        <v>117</v>
      </c>
      <c r="E327" s="4">
        <v>38.82</v>
      </c>
      <c r="F327" s="4">
        <v>37.8</v>
      </c>
      <c r="G327" s="4">
        <v>37.96</v>
      </c>
      <c r="H327" s="5">
        <f>G327/F327-1</f>
        <v>0.004232804232804366</v>
      </c>
      <c r="I327" s="5">
        <f>G327/E327-1</f>
        <v>-0.022153529108706826</v>
      </c>
      <c r="J327" s="5">
        <v>-0.0429228410832907</v>
      </c>
      <c r="K327" s="4">
        <v>10889250089.12</v>
      </c>
    </row>
    <row r="328" spans="1:11">
      <c r="A328" s="1" t="s">
        <v>2332</v>
      </c>
      <c r="B328" s="1" t="s">
        <v>2333</v>
      </c>
      <c r="C328" s="1" t="s">
        <v>70</v>
      </c>
      <c r="D328" s="1" t="s">
        <v>100</v>
      </c>
      <c r="E328" s="4">
        <v>28.61743959467663</v>
      </c>
      <c r="F328" s="4">
        <v>28.42109129689766</v>
      </c>
      <c r="G328" s="4">
        <v>28.27396328667802</v>
      </c>
      <c r="H328" s="5">
        <f>G328/F328-1</f>
        <v>-0.0051767192428567865</v>
      </c>
      <c r="I328" s="5">
        <f>G328/E328-1</f>
        <v>-0.012002342378054753</v>
      </c>
      <c r="J328" s="5">
        <v>-0.02680144742453872</v>
      </c>
      <c r="K328" s="4">
        <v>12842494990.41072</v>
      </c>
    </row>
    <row r="329" spans="1:11">
      <c r="A329" s="1" t="s">
        <v>2334</v>
      </c>
      <c r="B329" s="1" t="s">
        <v>2335</v>
      </c>
      <c r="C329" s="1" t="s">
        <v>70</v>
      </c>
      <c r="D329" s="1" t="s">
        <v>100</v>
      </c>
      <c r="E329" s="4">
        <v>15.27</v>
      </c>
      <c r="F329" s="4">
        <v>15</v>
      </c>
      <c r="G329" s="4">
        <v>15.5</v>
      </c>
      <c r="H329" s="5">
        <f>G329/F329-1</f>
        <v>0.03333333333333344</v>
      </c>
      <c r="I329" s="5">
        <f>G329/E329-1</f>
        <v>0.015062213490504295</v>
      </c>
      <c r="J329" s="5">
        <v>-0.0303813833225598</v>
      </c>
      <c r="K329" s="4">
        <v>1900007112</v>
      </c>
    </row>
    <row r="330" spans="1:11">
      <c r="A330" s="1" t="s">
        <v>2336</v>
      </c>
      <c r="B330" s="1" t="s">
        <v>2337</v>
      </c>
      <c r="C330" s="1" t="s">
        <v>66</v>
      </c>
      <c r="D330" s="1" t="s">
        <v>67</v>
      </c>
      <c r="E330" s="4">
        <v>9809.316504136552</v>
      </c>
      <c r="F330" s="4">
        <v>9090.174025170538</v>
      </c>
      <c r="G330" s="4">
        <v>9012.397358098928</v>
      </c>
      <c r="H330" s="5">
        <f>G330/F330-1</f>
        <v>-0.008556125202471176</v>
      </c>
      <c r="I330" s="5">
        <f>G330/E330-1</f>
        <v>-0.08124104729433146</v>
      </c>
      <c r="J330" s="5">
        <v>-0.08766370729369044</v>
      </c>
      <c r="K330" s="4">
        <v>21207451222.566</v>
      </c>
    </row>
    <row r="331" spans="1:11">
      <c r="A331" s="1" t="s">
        <v>2338</v>
      </c>
      <c r="B331" s="1" t="s">
        <v>2339</v>
      </c>
      <c r="C331" s="1" t="s">
        <v>54</v>
      </c>
      <c r="D331" s="1" t="s">
        <v>165</v>
      </c>
      <c r="E331" s="4">
        <v>1.299154682417395</v>
      </c>
      <c r="F331" s="4">
        <v>1.308776145054567</v>
      </c>
      <c r="G331" s="4">
        <v>1.310000860511144</v>
      </c>
      <c r="H331" s="5">
        <f>G331/F331-1</f>
        <v>0.0009357715306810288</v>
      </c>
      <c r="I331" s="5">
        <f>G331/E331-1</f>
        <v>0.00834864257546819</v>
      </c>
      <c r="J331" s="5">
        <v>-0.0224649057896622</v>
      </c>
      <c r="K331" s="4">
        <v>75835910438.98424</v>
      </c>
    </row>
    <row r="332" spans="1:11">
      <c r="A332" s="1" t="s">
        <v>2340</v>
      </c>
      <c r="B332" s="1" t="s">
        <v>2341</v>
      </c>
      <c r="C332" s="1" t="s">
        <v>116</v>
      </c>
      <c r="D332" s="1" t="s">
        <v>117</v>
      </c>
      <c r="E332" s="4">
        <v>2.25381441533984</v>
      </c>
      <c r="F332" s="4">
        <v>2.143855632895076</v>
      </c>
      <c r="G332" s="4">
        <v>2.146493417089752</v>
      </c>
      <c r="H332" s="5">
        <f>G332/F332-1</f>
        <v>0.0012303926412775557</v>
      </c>
      <c r="I332" s="5">
        <f>G332/E332-1</f>
        <v>-0.04761749570845042</v>
      </c>
      <c r="J332" s="5">
        <v>-0.06612531605427951</v>
      </c>
      <c r="K332" s="4">
        <v>5046371905.065142</v>
      </c>
    </row>
    <row r="333" spans="1:11">
      <c r="A333" s="1" t="s">
        <v>2342</v>
      </c>
      <c r="B333" s="1" t="s">
        <v>2343</v>
      </c>
      <c r="C333" s="1" t="s">
        <v>41</v>
      </c>
      <c r="D333" s="1" t="s">
        <v>42</v>
      </c>
      <c r="E333" s="4">
        <v>81.97938586027846</v>
      </c>
      <c r="F333" s="4">
        <v>87.13771511283711</v>
      </c>
      <c r="G333" s="4">
        <v>87.53988796680868</v>
      </c>
      <c r="H333" s="5">
        <f>G333/F333-1</f>
        <v>0.004615370662987672</v>
      </c>
      <c r="I333" s="5">
        <f>G333/E333-1</f>
        <v>0.0678280527254409</v>
      </c>
      <c r="J333" s="5">
        <v>-0.01426451039077059</v>
      </c>
      <c r="K333" s="4">
        <v>14075053615.20383</v>
      </c>
    </row>
    <row r="334" spans="1:11">
      <c r="A334" s="1" t="s">
        <v>2344</v>
      </c>
      <c r="B334" s="1" t="s">
        <v>2345</v>
      </c>
      <c r="C334" s="1" t="s">
        <v>37</v>
      </c>
      <c r="D334" s="1" t="s">
        <v>38</v>
      </c>
      <c r="E334" s="4">
        <v>632.797084286456</v>
      </c>
      <c r="F334" s="4">
        <v>620.5843146802642</v>
      </c>
      <c r="G334" s="4">
        <v>603.1659919190221</v>
      </c>
      <c r="H334" s="5">
        <f>G334/F334-1</f>
        <v>-0.02806761683981074</v>
      </c>
      <c r="I334" s="5">
        <f>G334/E334-1</f>
        <v>-0.04682558296052519</v>
      </c>
      <c r="J334" s="5">
        <v>-0.04854780232616052</v>
      </c>
      <c r="K334" s="4">
        <v>42359757112.96682</v>
      </c>
    </row>
    <row r="335" spans="1:11">
      <c r="A335" s="1" t="s">
        <v>2346</v>
      </c>
      <c r="B335" s="1" t="s">
        <v>2347</v>
      </c>
      <c r="C335" s="1" t="s">
        <v>70</v>
      </c>
      <c r="D335" s="1" t="s">
        <v>71</v>
      </c>
      <c r="E335" s="4">
        <v>47.39424256514081</v>
      </c>
      <c r="F335" s="4">
        <v>47.71391199019439</v>
      </c>
      <c r="G335" s="4">
        <v>47.60320362397413</v>
      </c>
      <c r="H335" s="5">
        <f>G335/F335-1</f>
        <v>-0.0023202533936644842</v>
      </c>
      <c r="I335" s="5">
        <f>G335/E335-1</f>
        <v>0.004408996695033585</v>
      </c>
      <c r="J335" s="5">
        <v>-0.04098851331832742</v>
      </c>
      <c r="K335" s="4">
        <v>3189414642.806266</v>
      </c>
    </row>
    <row r="336" spans="1:11">
      <c r="A336" s="1" t="s">
        <v>2348</v>
      </c>
      <c r="B336" s="1" t="s">
        <v>2349</v>
      </c>
      <c r="C336" s="1" t="s">
        <v>66</v>
      </c>
      <c r="D336" s="1" t="s">
        <v>67</v>
      </c>
      <c r="E336" s="4">
        <v>12820</v>
      </c>
      <c r="F336" s="4">
        <v>12220</v>
      </c>
      <c r="G336" s="4">
        <v>12220</v>
      </c>
      <c r="H336" s="5">
        <f>G336/F336-1</f>
        <v>0.0</v>
      </c>
      <c r="I336" s="5">
        <f>G336/E336-1</f>
        <v>-0.046801872074882955</v>
      </c>
      <c r="J336" s="5">
        <v>-0.06717557251908401</v>
      </c>
      <c r="K336" s="4">
        <v>9971678860</v>
      </c>
    </row>
    <row r="337" spans="1:11">
      <c r="A337" s="1" t="s">
        <v>2350</v>
      </c>
      <c r="B337" s="1" t="s">
        <v>2351</v>
      </c>
      <c r="C337" s="1" t="s">
        <v>47</v>
      </c>
      <c r="D337" s="1" t="s">
        <v>331</v>
      </c>
      <c r="E337" s="4">
        <v>4824.203518896508</v>
      </c>
      <c r="F337" s="4">
        <v>4817.234538100091</v>
      </c>
      <c r="G337" s="4">
        <v>4949.278442399826</v>
      </c>
      <c r="H337" s="5">
        <f>G337/F337-1</f>
        <v>0.02741072772259323</v>
      </c>
      <c r="I337" s="5">
        <f>G337/E337-1</f>
        <v>0.02592654373170533</v>
      </c>
      <c r="J337" s="5">
        <v>-0.02825471588266337</v>
      </c>
      <c r="K337" s="4">
        <v>9199263435.116095</v>
      </c>
    </row>
    <row r="338" spans="1:11">
      <c r="A338" s="1" t="s">
        <v>2352</v>
      </c>
      <c r="B338" s="1" t="s">
        <v>2353</v>
      </c>
      <c r="C338" s="1" t="s">
        <v>70</v>
      </c>
      <c r="D338" s="1" t="s">
        <v>100</v>
      </c>
      <c r="E338" s="4">
        <v>134.65</v>
      </c>
      <c r="F338" s="4">
        <v>136.45</v>
      </c>
      <c r="G338" s="4">
        <v>140.9</v>
      </c>
      <c r="H338" s="5">
        <f>G338/F338-1</f>
        <v>0.03261267863686346</v>
      </c>
      <c r="I338" s="5">
        <f>G338/E338-1</f>
        <v>0.04641663572224286</v>
      </c>
      <c r="J338" s="5">
        <v>-0.03651987110633725</v>
      </c>
      <c r="K338" s="4">
        <v>36950423779.7</v>
      </c>
    </row>
    <row r="339" spans="1:11">
      <c r="A339" s="1" t="s">
        <v>2354</v>
      </c>
      <c r="B339" s="1" t="s">
        <v>2355</v>
      </c>
      <c r="C339" s="1" t="s">
        <v>54</v>
      </c>
      <c r="D339" s="1" t="s">
        <v>113</v>
      </c>
      <c r="E339" s="4">
        <v>100.4523917137477</v>
      </c>
      <c r="F339" s="4">
        <v>103.5614952307296</v>
      </c>
      <c r="G339" s="4">
        <v>102.729197143103</v>
      </c>
      <c r="H339" s="5">
        <f>G339/F339-1</f>
        <v>-0.008036752325487728</v>
      </c>
      <c r="I339" s="5">
        <f>G339/E339-1</f>
        <v>0.02266551737108835</v>
      </c>
      <c r="J339" s="5">
        <v>-0.05102400827362086</v>
      </c>
      <c r="K339" s="4">
        <v>49830781699.62171</v>
      </c>
    </row>
    <row r="340" spans="1:11">
      <c r="A340" s="1" t="s">
        <v>2356</v>
      </c>
      <c r="B340" s="1" t="s">
        <v>2357</v>
      </c>
      <c r="C340" s="1" t="s">
        <v>47</v>
      </c>
      <c r="D340" s="1" t="s">
        <v>48</v>
      </c>
      <c r="E340" s="4">
        <v>24.44</v>
      </c>
      <c r="F340" s="4">
        <v>24.2</v>
      </c>
      <c r="G340" s="4">
        <v>24.27</v>
      </c>
      <c r="H340" s="5">
        <f>G340/F340-1</f>
        <v>0.002892561983470987</v>
      </c>
      <c r="I340" s="5">
        <f>G340/E340-1</f>
        <v>-0.006955810147299624</v>
      </c>
      <c r="J340" s="5">
        <v>-0.1059007424775303</v>
      </c>
      <c r="K340" s="4">
        <v>6107070099.24</v>
      </c>
    </row>
    <row r="341" spans="1:11">
      <c r="A341" s="1" t="s">
        <v>2358</v>
      </c>
      <c r="B341" s="1" t="s">
        <v>2359</v>
      </c>
      <c r="C341" s="1" t="s">
        <v>54</v>
      </c>
      <c r="D341" s="1" t="s">
        <v>113</v>
      </c>
      <c r="E341" s="4">
        <v>51.01212367698362</v>
      </c>
      <c r="F341" s="4">
        <v>53.25575445931045</v>
      </c>
      <c r="G341" s="4">
        <v>53.04742634467438</v>
      </c>
      <c r="H341" s="5">
        <f>G341/F341-1</f>
        <v>-0.003911842330489135</v>
      </c>
      <c r="I341" s="5">
        <f>G341/E341-1</f>
        <v>0.03989841082834755</v>
      </c>
      <c r="J341" s="5">
        <v>-0.01595669284396561</v>
      </c>
      <c r="K341" s="4">
        <v>13155761733.47925</v>
      </c>
    </row>
    <row r="342" spans="1:11">
      <c r="A342" s="1" t="s">
        <v>2360</v>
      </c>
      <c r="B342" s="1" t="s">
        <v>2361</v>
      </c>
      <c r="C342" s="1" t="s">
        <v>70</v>
      </c>
      <c r="D342" s="1" t="s">
        <v>243</v>
      </c>
      <c r="E342" s="4">
        <v>2892.006273679238</v>
      </c>
      <c r="F342" s="4">
        <v>2892.43235130519</v>
      </c>
      <c r="G342" s="4">
        <v>3024.852996258236</v>
      </c>
      <c r="H342" s="5">
        <f>G342/F342-1</f>
        <v>0.0457817604250248</v>
      </c>
      <c r="I342" s="5">
        <f>G342/E342-1</f>
        <v>0.045935834852110835</v>
      </c>
      <c r="J342" s="5">
        <v>-0.05829313623115429</v>
      </c>
      <c r="K342" s="4">
        <v>43208677543.0864</v>
      </c>
    </row>
    <row r="343" spans="1:11">
      <c r="A343" s="1" t="s">
        <v>2362</v>
      </c>
      <c r="B343" s="1" t="s">
        <v>2363</v>
      </c>
      <c r="C343" s="1" t="s">
        <v>54</v>
      </c>
      <c r="D343" s="1" t="s">
        <v>55</v>
      </c>
      <c r="E343" s="4">
        <v>6.27</v>
      </c>
      <c r="F343" s="4">
        <v>6.33</v>
      </c>
      <c r="G343" s="4">
        <v>6.34</v>
      </c>
      <c r="H343" s="5">
        <f>G343/F343-1</f>
        <v>0.0015797788309637184</v>
      </c>
      <c r="I343" s="5">
        <f>G343/E343-1</f>
        <v>0.011164274322169154</v>
      </c>
      <c r="J343" s="5">
        <v>-0.02163833075734156</v>
      </c>
      <c r="K343" s="4">
        <v>3190362564.74</v>
      </c>
    </row>
    <row r="344" spans="1:11">
      <c r="A344" s="1" t="s">
        <v>2364</v>
      </c>
      <c r="B344" s="1" t="s">
        <v>2365</v>
      </c>
      <c r="C344" s="1" t="s">
        <v>54</v>
      </c>
      <c r="D344" s="1" t="s">
        <v>55</v>
      </c>
      <c r="E344" s="4">
        <v>4.36</v>
      </c>
      <c r="F344" s="4">
        <v>4.542</v>
      </c>
      <c r="G344" s="4">
        <v>4.51</v>
      </c>
      <c r="H344" s="5">
        <f>G344/F344-1</f>
        <v>-0.007045354469396803</v>
      </c>
      <c r="I344" s="5">
        <f>G344/E344-1</f>
        <v>0.03440366972477049</v>
      </c>
      <c r="J344" s="5">
        <v>-0.007045354469396803</v>
      </c>
      <c r="K344" s="4">
        <v>13888785261.23</v>
      </c>
    </row>
    <row r="345" spans="1:11">
      <c r="A345" s="1" t="s">
        <v>2366</v>
      </c>
      <c r="B345" s="1" t="s">
        <v>2367</v>
      </c>
      <c r="C345" s="1" t="s">
        <v>47</v>
      </c>
      <c r="D345" s="1" t="s">
        <v>142</v>
      </c>
      <c r="E345" s="4">
        <v>45.215</v>
      </c>
      <c r="F345" s="4">
        <v>47.135</v>
      </c>
      <c r="G345" s="4">
        <v>47.685</v>
      </c>
      <c r="H345" s="5">
        <f>G345/F345-1</f>
        <v>0.01166861143523934</v>
      </c>
      <c r="I345" s="5">
        <f>G345/E345-1</f>
        <v>0.054627888974897676</v>
      </c>
      <c r="J345" s="5">
        <v>-0.01778907242693761</v>
      </c>
      <c r="K345" s="4">
        <v>45916063077.555</v>
      </c>
    </row>
    <row r="346" spans="1:11">
      <c r="A346" s="1" t="s">
        <v>2368</v>
      </c>
      <c r="B346" s="1" t="s">
        <v>2369</v>
      </c>
      <c r="C346" s="1" t="s">
        <v>54</v>
      </c>
      <c r="D346" s="1" t="s">
        <v>165</v>
      </c>
      <c r="E346" s="4">
        <v>321.3429795880342</v>
      </c>
      <c r="F346" s="4">
        <v>324.5039116083275</v>
      </c>
      <c r="G346" s="4">
        <v>326.6662926954149</v>
      </c>
      <c r="H346" s="5">
        <f>G346/F346-1</f>
        <v>0.00666365183818618</v>
      </c>
      <c r="I346" s="5">
        <f>G346/E346-1</f>
        <v>0.016565829800312626</v>
      </c>
      <c r="J346" s="5">
        <v>-0.03362578493766255</v>
      </c>
      <c r="K346" s="4">
        <v>13899003628.26407</v>
      </c>
    </row>
    <row r="347" spans="1:11">
      <c r="A347" s="1" t="s">
        <v>2370</v>
      </c>
      <c r="B347" s="1" t="s">
        <v>2371</v>
      </c>
      <c r="C347" s="1" t="s">
        <v>47</v>
      </c>
      <c r="D347" s="1" t="s">
        <v>331</v>
      </c>
      <c r="E347" s="4">
        <v>452.5</v>
      </c>
      <c r="F347" s="4">
        <v>431.05</v>
      </c>
      <c r="G347" s="4">
        <v>429.1</v>
      </c>
      <c r="H347" s="5">
        <f>G347/F347-1</f>
        <v>-0.004523837141862885</v>
      </c>
      <c r="I347" s="5">
        <f>G347/E347-1</f>
        <v>-0.05171270718232035</v>
      </c>
      <c r="J347" s="5">
        <v>-0.0658539240230761</v>
      </c>
      <c r="K347" s="4">
        <v>212235468928</v>
      </c>
    </row>
    <row r="348" spans="1:11">
      <c r="A348" s="1" t="s">
        <v>2372</v>
      </c>
      <c r="B348" s="1" t="s">
        <v>2373</v>
      </c>
      <c r="C348" s="1" t="s">
        <v>70</v>
      </c>
      <c r="D348" s="1" t="s">
        <v>100</v>
      </c>
      <c r="E348" s="4">
        <v>17.5</v>
      </c>
      <c r="F348" s="4">
        <v>17.53</v>
      </c>
      <c r="G348" s="4">
        <v>17.74</v>
      </c>
      <c r="H348" s="5">
        <f>G348/F348-1</f>
        <v>0.011979463776383259</v>
      </c>
      <c r="I348" s="5">
        <f>G348/E348-1</f>
        <v>0.013714285714285568</v>
      </c>
      <c r="J348" s="5">
        <v>-0.05930359085963</v>
      </c>
      <c r="K348" s="4">
        <v>14705971085.6</v>
      </c>
    </row>
    <row r="349" spans="1:11">
      <c r="A349" s="1" t="s">
        <v>2374</v>
      </c>
      <c r="B349" s="1" t="s">
        <v>2375</v>
      </c>
      <c r="C349" s="1" t="s">
        <v>66</v>
      </c>
      <c r="D349" s="1" t="s">
        <v>67</v>
      </c>
      <c r="E349" s="4">
        <v>16.984</v>
      </c>
      <c r="F349" s="4">
        <v>16.892</v>
      </c>
      <c r="G349" s="4">
        <v>16.702</v>
      </c>
      <c r="H349" s="5">
        <f>G349/F349-1</f>
        <v>-0.011247928013260577</v>
      </c>
      <c r="I349" s="5">
        <f>G349/E349-1</f>
        <v>-0.016603862458784757</v>
      </c>
      <c r="J349" s="5">
        <v>-0.05542359461599344</v>
      </c>
      <c r="K349" s="4">
        <v>10225962160.778</v>
      </c>
    </row>
    <row r="350" spans="1:11">
      <c r="A350" s="1" t="s">
        <v>2376</v>
      </c>
      <c r="B350" s="1" t="s">
        <v>2377</v>
      </c>
      <c r="C350" s="1" t="s">
        <v>54</v>
      </c>
      <c r="D350" s="1" t="s">
        <v>165</v>
      </c>
      <c r="E350" s="4">
        <v>4.845077476430195</v>
      </c>
      <c r="F350" s="4">
        <v>4.840372071904608</v>
      </c>
      <c r="G350" s="4">
        <v>4.96087468992185</v>
      </c>
      <c r="H350" s="5">
        <f>G350/F350-1</f>
        <v>0.024895321315624885</v>
      </c>
      <c r="I350" s="5">
        <f>G350/E350-1</f>
        <v>0.023899971477230775</v>
      </c>
      <c r="J350" s="5">
        <v>-0.05997831174202051</v>
      </c>
      <c r="K350" s="4">
        <v>6018120314.938868</v>
      </c>
    </row>
    <row r="351" spans="1:11">
      <c r="A351" s="1" t="s">
        <v>2378</v>
      </c>
      <c r="B351" s="1" t="s">
        <v>2379</v>
      </c>
      <c r="C351" s="1" t="s">
        <v>66</v>
      </c>
      <c r="D351" s="1" t="s">
        <v>214</v>
      </c>
      <c r="E351" s="4">
        <v>4.471427666495463</v>
      </c>
      <c r="F351" s="4">
        <v>4.498372432757583</v>
      </c>
      <c r="G351" s="4">
        <v>4.512871525686258</v>
      </c>
      <c r="H351" s="5">
        <f>G351/F351-1</f>
        <v>0.003223186418067625</v>
      </c>
      <c r="I351" s="5">
        <f>G351/E351-1</f>
        <v>0.009268596582996391</v>
      </c>
      <c r="J351" s="5">
        <v>-0.02943525490084231</v>
      </c>
      <c r="K351" s="4">
        <v>9389073223.22625</v>
      </c>
    </row>
    <row r="352" spans="1:11">
      <c r="A352" s="1" t="s">
        <v>2380</v>
      </c>
      <c r="B352" s="1" t="s">
        <v>2381</v>
      </c>
      <c r="C352" s="1" t="s">
        <v>47</v>
      </c>
      <c r="D352" s="1" t="s">
        <v>142</v>
      </c>
      <c r="E352" s="4">
        <v>34.61</v>
      </c>
      <c r="F352" s="4">
        <v>34.85</v>
      </c>
      <c r="G352" s="4">
        <v>35.16</v>
      </c>
      <c r="H352" s="5">
        <f>G352/F352-1</f>
        <v>0.008895265423242371</v>
      </c>
      <c r="I352" s="5">
        <f>G352/E352-1</f>
        <v>0.01589136087835885</v>
      </c>
      <c r="J352" s="5">
        <v>-0.02276607854297086</v>
      </c>
      <c r="K352" s="4">
        <v>24176240109.84</v>
      </c>
    </row>
    <row r="353" spans="1:11">
      <c r="A353" s="1" t="s">
        <v>2382</v>
      </c>
      <c r="B353" s="1" t="s">
        <v>2383</v>
      </c>
      <c r="C353" s="1" t="s">
        <v>93</v>
      </c>
      <c r="D353" s="1" t="s">
        <v>93</v>
      </c>
      <c r="E353" s="4">
        <v>10.01954802259887</v>
      </c>
      <c r="F353" s="4">
        <v>9.841717281086192</v>
      </c>
      <c r="G353" s="4">
        <v>9.923896394458309</v>
      </c>
      <c r="H353" s="5">
        <f>G353/F353-1</f>
        <v>0.008350078652436865</v>
      </c>
      <c r="I353" s="5">
        <f>G353/E353-1</f>
        <v>-0.009546501291757048</v>
      </c>
      <c r="J353" s="5">
        <v>-0.03964507405482121</v>
      </c>
      <c r="K353" s="4">
        <v>4380532214.935719</v>
      </c>
    </row>
    <row r="354" spans="1:11">
      <c r="A354" s="1" t="s">
        <v>2384</v>
      </c>
      <c r="B354" s="1" t="s">
        <v>2385</v>
      </c>
      <c r="C354" s="1" t="s">
        <v>54</v>
      </c>
      <c r="D354" s="1" t="s">
        <v>113</v>
      </c>
      <c r="E354" s="4">
        <v>4.04635593220339</v>
      </c>
      <c r="F354" s="4">
        <v>4.08752496347856</v>
      </c>
      <c r="G354" s="4">
        <v>4.158031150503398</v>
      </c>
      <c r="H354" s="5">
        <f>G354/F354-1</f>
        <v>0.017249114722185377</v>
      </c>
      <c r="I354" s="5">
        <f>G354/E354-1</f>
        <v>0.027598960687374996</v>
      </c>
      <c r="J354" s="5">
        <v>-0.02561210837786165</v>
      </c>
      <c r="K354" s="4">
        <v>10021087648.02756</v>
      </c>
    </row>
    <row r="355" spans="1:11">
      <c r="A355" s="1" t="s">
        <v>2386</v>
      </c>
      <c r="B355" s="1" t="s">
        <v>2387</v>
      </c>
      <c r="C355" s="1" t="s">
        <v>116</v>
      </c>
      <c r="D355" s="1" t="s">
        <v>223</v>
      </c>
      <c r="E355" s="4">
        <v>368.6507836521907</v>
      </c>
      <c r="F355" s="4">
        <v>366.8058492268229</v>
      </c>
      <c r="G355" s="4">
        <v>366.8763526305758</v>
      </c>
      <c r="H355" s="5">
        <f>G355/F355-1</f>
        <v>0.00019220904983252574</v>
      </c>
      <c r="I355" s="5">
        <f>G355/E355-1</f>
        <v>-0.004813311405541532</v>
      </c>
      <c r="J355" s="5">
        <v>-0.01543913829363719</v>
      </c>
      <c r="K355" s="4">
        <v>2733200577.618637</v>
      </c>
    </row>
    <row r="356" spans="1:11">
      <c r="A356" s="1" t="s">
        <v>2388</v>
      </c>
      <c r="B356" s="1" t="s">
        <v>2389</v>
      </c>
      <c r="C356" s="1" t="s">
        <v>47</v>
      </c>
      <c r="D356" s="1" t="s">
        <v>331</v>
      </c>
      <c r="E356" s="4">
        <v>47.1</v>
      </c>
      <c r="F356" s="4">
        <v>46.17</v>
      </c>
      <c r="G356" s="4">
        <v>45.84</v>
      </c>
      <c r="H356" s="5">
        <f>G356/F356-1</f>
        <v>-0.007147498375568495</v>
      </c>
      <c r="I356" s="5">
        <f>G356/E356-1</f>
        <v>-0.026751592356687892</v>
      </c>
      <c r="J356" s="5">
        <v>-0.04994818652849731</v>
      </c>
      <c r="K356" s="4">
        <v>12597104931.36</v>
      </c>
    </row>
    <row r="357" spans="1:11">
      <c r="A357" s="1" t="s">
        <v>2390</v>
      </c>
      <c r="B357" s="1" t="s">
        <v>2391</v>
      </c>
      <c r="C357" s="1" t="s">
        <v>66</v>
      </c>
      <c r="D357" s="1" t="s">
        <v>67</v>
      </c>
      <c r="E357" s="4">
        <v>18.73341957669203</v>
      </c>
      <c r="F357" s="4">
        <v>18.56495728767403</v>
      </c>
      <c r="G357" s="4">
        <v>18.68361778534981</v>
      </c>
      <c r="H357" s="5">
        <f>G357/F357-1</f>
        <v>0.0063916386036915185</v>
      </c>
      <c r="I357" s="5">
        <f>G357/E357-1</f>
        <v>-0.0026584463737833186</v>
      </c>
      <c r="J357" s="5">
        <v>-0.04358696342383594</v>
      </c>
      <c r="K357" s="4">
        <v>9851695957.473303</v>
      </c>
    </row>
    <row r="358" spans="1:11">
      <c r="A358" s="1" t="s">
        <v>2392</v>
      </c>
      <c r="B358" s="1" t="s">
        <v>2393</v>
      </c>
      <c r="C358" s="1" t="s">
        <v>37</v>
      </c>
      <c r="D358" s="1" t="s">
        <v>38</v>
      </c>
      <c r="E358" s="4">
        <v>137.95</v>
      </c>
      <c r="F358" s="4">
        <v>137.85</v>
      </c>
      <c r="G358" s="4">
        <v>135.85</v>
      </c>
      <c r="H358" s="5">
        <f>G358/F358-1</f>
        <v>-0.014508523757707614</v>
      </c>
      <c r="I358" s="5">
        <f>G358/E358-1</f>
        <v>-0.015222906850308027</v>
      </c>
      <c r="J358" s="5">
        <v>-0.03891054733657218</v>
      </c>
      <c r="K358" s="4">
        <v>58890663575.1</v>
      </c>
    </row>
    <row r="359" spans="1:11">
      <c r="A359" s="1" t="s">
        <v>2394</v>
      </c>
      <c r="B359" s="1" t="s">
        <v>2395</v>
      </c>
      <c r="C359" s="1" t="s">
        <v>116</v>
      </c>
      <c r="D359" s="1" t="s">
        <v>117</v>
      </c>
      <c r="E359" s="4">
        <v>14.1</v>
      </c>
      <c r="F359" s="4">
        <v>13.24</v>
      </c>
      <c r="G359" s="4">
        <v>13.26</v>
      </c>
      <c r="H359" s="5">
        <f>G359/F359-1</f>
        <v>0.0015105740181269312</v>
      </c>
      <c r="I359" s="5">
        <f>G359/E359-1</f>
        <v>-0.05957446808510636</v>
      </c>
      <c r="J359" s="5">
        <v>-0.06312056737588645</v>
      </c>
      <c r="K359" s="4">
        <v>8221200000.000001</v>
      </c>
    </row>
    <row r="360" spans="1:11">
      <c r="A360" s="1" t="s">
        <v>2396</v>
      </c>
      <c r="B360" s="1" t="s">
        <v>2397</v>
      </c>
      <c r="C360" s="1" t="s">
        <v>70</v>
      </c>
      <c r="D360" s="1" t="s">
        <v>100</v>
      </c>
      <c r="E360" s="4">
        <v>5.492066940592365</v>
      </c>
      <c r="F360" s="4">
        <v>5.787944659276446</v>
      </c>
      <c r="G360" s="4">
        <v>5.861264951381121</v>
      </c>
      <c r="H360" s="5">
        <f>G360/F360-1</f>
        <v>0.012667759700701886</v>
      </c>
      <c r="I360" s="5">
        <f>G360/E360-1</f>
        <v>0.06722387304859301</v>
      </c>
      <c r="J360" s="5">
        <v>-0.05947998171104074</v>
      </c>
      <c r="K360" s="4">
        <v>7303707743.423995</v>
      </c>
    </row>
    <row r="361" spans="1:11">
      <c r="A361" s="1" t="s">
        <v>2398</v>
      </c>
      <c r="B361" s="1" t="s">
        <v>2399</v>
      </c>
      <c r="C361" s="1" t="s">
        <v>93</v>
      </c>
      <c r="D361" s="1" t="s">
        <v>93</v>
      </c>
      <c r="E361" s="4">
        <v>62.58</v>
      </c>
      <c r="F361" s="4">
        <v>65.66</v>
      </c>
      <c r="G361" s="4">
        <v>67.23999999999999</v>
      </c>
      <c r="H361" s="5">
        <f>G361/F361-1</f>
        <v>0.02406335668595805</v>
      </c>
      <c r="I361" s="5">
        <f>G361/E361-1</f>
        <v>0.07446468520294025</v>
      </c>
      <c r="J361" s="5">
        <v>-0.02105260559648914</v>
      </c>
      <c r="K361" s="4">
        <v>52110999999.99999</v>
      </c>
    </row>
    <row r="362" spans="1:11">
      <c r="A362" s="1" t="s">
        <v>2400</v>
      </c>
      <c r="B362" s="1" t="s">
        <v>2401</v>
      </c>
      <c r="C362" s="1" t="s">
        <v>70</v>
      </c>
      <c r="D362" s="1" t="s">
        <v>71</v>
      </c>
      <c r="E362" s="4">
        <v>2.428981338811848</v>
      </c>
      <c r="F362" s="4">
        <v>2.453446077167655</v>
      </c>
      <c r="G362" s="4">
        <v>2.440836416831599</v>
      </c>
      <c r="H362" s="5">
        <f>G362/F362-1</f>
        <v>-0.005139571011323563</v>
      </c>
      <c r="I362" s="5">
        <f>G362/E362-1</f>
        <v>0.004880678920962556</v>
      </c>
      <c r="J362" s="5">
        <v>-0.005139571011323563</v>
      </c>
      <c r="K362" s="4">
        <v>3176932598.959609</v>
      </c>
    </row>
    <row r="363" spans="1:11">
      <c r="A363" s="1" t="s">
        <v>2402</v>
      </c>
      <c r="B363" s="1" t="s">
        <v>2403</v>
      </c>
      <c r="C363" s="1" t="s">
        <v>70</v>
      </c>
      <c r="D363" s="1" t="s">
        <v>100</v>
      </c>
      <c r="E363" s="4">
        <v>352.4</v>
      </c>
      <c r="F363" s="4">
        <v>344.5</v>
      </c>
      <c r="G363" s="4">
        <v>347.6</v>
      </c>
      <c r="H363" s="5">
        <f>G363/F363-1</f>
        <v>0.008998548621190094</v>
      </c>
      <c r="I363" s="5">
        <f>G363/E363-1</f>
        <v>-0.01362088535754813</v>
      </c>
      <c r="J363" s="5">
        <v>-0.06699477110464536</v>
      </c>
      <c r="K363" s="4">
        <v>18738824016</v>
      </c>
    </row>
    <row r="364" spans="1:11">
      <c r="A364" s="1" t="s">
        <v>2404</v>
      </c>
      <c r="B364" s="1" t="s">
        <v>2405</v>
      </c>
      <c r="C364" s="1" t="s">
        <v>54</v>
      </c>
      <c r="D364" s="1" t="s">
        <v>55</v>
      </c>
      <c r="E364" s="4">
        <v>516.4</v>
      </c>
      <c r="F364" s="4">
        <v>528</v>
      </c>
      <c r="G364" s="4">
        <v>527.6</v>
      </c>
      <c r="H364" s="5">
        <f>G364/F364-1</f>
        <v>-0.0007575757575757347</v>
      </c>
      <c r="I364" s="5">
        <f>G364/E364-1</f>
        <v>0.021688613477924168</v>
      </c>
      <c r="J364" s="5">
        <v>-0.008098727342846224</v>
      </c>
      <c r="K364" s="4">
        <v>66989434784.4</v>
      </c>
    </row>
    <row r="365" spans="1:11">
      <c r="A365" s="1" t="s">
        <v>2406</v>
      </c>
      <c r="B365" s="1" t="s">
        <v>2407</v>
      </c>
      <c r="C365" s="1" t="s">
        <v>41</v>
      </c>
      <c r="D365" s="1" t="s">
        <v>42</v>
      </c>
      <c r="E365" s="4">
        <v>28.76215483915034</v>
      </c>
      <c r="F365" s="4">
        <v>27.64613446381802</v>
      </c>
      <c r="G365" s="4">
        <v>28.18397613426975</v>
      </c>
      <c r="H365" s="5">
        <f>G365/F365-1</f>
        <v>0.019454498101918682</v>
      </c>
      <c r="I365" s="5">
        <f>G365/E365-1</f>
        <v>-0.02010206495702438</v>
      </c>
      <c r="J365" s="5">
        <v>-0.1071177955218104</v>
      </c>
      <c r="K365" s="4">
        <v>5519353105.614018</v>
      </c>
    </row>
    <row r="366" spans="1:11">
      <c r="A366" s="1" t="s">
        <v>2408</v>
      </c>
      <c r="B366" s="1" t="s">
        <v>2409</v>
      </c>
      <c r="C366" s="1" t="s">
        <v>54</v>
      </c>
      <c r="D366" s="1" t="s">
        <v>165</v>
      </c>
      <c r="E366" s="4">
        <v>17.29</v>
      </c>
      <c r="F366" s="4">
        <v>17.91</v>
      </c>
      <c r="G366" s="4">
        <v>17.91</v>
      </c>
      <c r="H366" s="5">
        <f>G366/F366-1</f>
        <v>0.0</v>
      </c>
      <c r="I366" s="5">
        <f>G366/E366-1</f>
        <v>0.03585887796414111</v>
      </c>
      <c r="J366" s="5">
        <v>-0.005952380952380931</v>
      </c>
      <c r="K366" s="4">
        <v>60944131863.09</v>
      </c>
    </row>
    <row r="367" spans="1:11">
      <c r="A367" s="1" t="s">
        <v>2410</v>
      </c>
      <c r="B367" s="1" t="s">
        <v>2411</v>
      </c>
      <c r="C367" s="1" t="s">
        <v>93</v>
      </c>
      <c r="D367" s="1" t="s">
        <v>93</v>
      </c>
      <c r="E367" s="4">
        <v>179</v>
      </c>
      <c r="F367" s="4">
        <v>174</v>
      </c>
      <c r="G367" s="4">
        <v>174</v>
      </c>
      <c r="H367" s="5">
        <f>G367/F367-1</f>
        <v>0.0</v>
      </c>
      <c r="I367" s="5">
        <f>G367/E367-1</f>
        <v>-0.027932960893854775</v>
      </c>
      <c r="J367" s="5">
        <v>-0.03240223463687153</v>
      </c>
      <c r="K367" s="4">
        <v>7822469802</v>
      </c>
    </row>
    <row r="368" spans="1:11">
      <c r="A368" s="1" t="s">
        <v>2412</v>
      </c>
      <c r="B368" s="1" t="s">
        <v>2413</v>
      </c>
      <c r="C368" s="1" t="s">
        <v>70</v>
      </c>
      <c r="D368" s="1" t="s">
        <v>100</v>
      </c>
      <c r="E368" s="4">
        <v>38.88</v>
      </c>
      <c r="F368" s="4">
        <v>36.84</v>
      </c>
      <c r="G368" s="4">
        <v>36.76</v>
      </c>
      <c r="H368" s="5">
        <f>G368/F368-1</f>
        <v>-0.0021715526601521207</v>
      </c>
      <c r="I368" s="5">
        <f>G368/E368-1</f>
        <v>-0.054526748971193584</v>
      </c>
      <c r="J368" s="5">
        <v>-0.06275720164609067</v>
      </c>
      <c r="K368" s="4">
        <v>8707514119.039999</v>
      </c>
    </row>
    <row r="369" spans="1:11">
      <c r="A369" s="1" t="s">
        <v>2414</v>
      </c>
      <c r="B369" s="1" t="s">
        <v>2415</v>
      </c>
      <c r="C369" s="1" t="s">
        <v>41</v>
      </c>
      <c r="D369" s="1" t="s">
        <v>58</v>
      </c>
      <c r="E369" s="4">
        <v>65.75</v>
      </c>
      <c r="F369" s="4">
        <v>67.25</v>
      </c>
      <c r="G369" s="4">
        <v>63.2</v>
      </c>
      <c r="H369" s="5">
        <f>G369/F369-1</f>
        <v>-0.06022304832713754</v>
      </c>
      <c r="I369" s="5">
        <f>G369/E369-1</f>
        <v>-0.03878326996197712</v>
      </c>
      <c r="J369" s="5">
        <v>-0.1148459383753502</v>
      </c>
      <c r="K369" s="4">
        <v>7299600000</v>
      </c>
    </row>
    <row r="370" spans="1:11">
      <c r="A370" s="1" t="s">
        <v>2416</v>
      </c>
      <c r="B370" s="1" t="s">
        <v>2417</v>
      </c>
      <c r="C370" s="1" t="s">
        <v>66</v>
      </c>
      <c r="D370" s="1" t="s">
        <v>67</v>
      </c>
      <c r="E370" s="4">
        <v>85.14230272871464</v>
      </c>
      <c r="F370" s="4">
        <v>83.00048634830202</v>
      </c>
      <c r="G370" s="4">
        <v>83.27561499855184</v>
      </c>
      <c r="H370" s="5">
        <f>G370/F370-1</f>
        <v>0.0033147835916922386</v>
      </c>
      <c r="I370" s="5">
        <f>G370/E370-1</f>
        <v>-0.021924327512148012</v>
      </c>
      <c r="J370" s="5">
        <v>-0.03456698962113314</v>
      </c>
      <c r="K370" s="4">
        <v>214561287556.0688</v>
      </c>
    </row>
    <row r="371" spans="1:11">
      <c r="A371" s="1" t="s">
        <v>2418</v>
      </c>
      <c r="B371" s="1" t="s">
        <v>2419</v>
      </c>
      <c r="C371" s="1" t="s">
        <v>129</v>
      </c>
      <c r="D371" s="1" t="s">
        <v>129</v>
      </c>
      <c r="E371" s="4">
        <v>32.85</v>
      </c>
      <c r="F371" s="4">
        <v>31.23</v>
      </c>
      <c r="G371" s="4">
        <v>31.96</v>
      </c>
      <c r="H371" s="5">
        <f>G371/F371-1</f>
        <v>0.023374959974383547</v>
      </c>
      <c r="I371" s="5">
        <f>G371/E371-1</f>
        <v>-0.02709284627092845</v>
      </c>
      <c r="J371" s="5">
        <v>-0.0493150684931507</v>
      </c>
      <c r="K371" s="4">
        <v>24583985413.68</v>
      </c>
    </row>
    <row r="372" spans="1:11">
      <c r="A372" s="1" t="s">
        <v>2420</v>
      </c>
      <c r="B372" s="1" t="s">
        <v>2421</v>
      </c>
      <c r="C372" s="1" t="s">
        <v>70</v>
      </c>
      <c r="D372" s="1" t="s">
        <v>100</v>
      </c>
      <c r="E372" s="4">
        <v>141.8</v>
      </c>
      <c r="F372" s="4">
        <v>138.6</v>
      </c>
      <c r="G372" s="4">
        <v>136.6</v>
      </c>
      <c r="H372" s="5">
        <f>G372/F372-1</f>
        <v>-0.01443001443001446</v>
      </c>
      <c r="I372" s="5">
        <f>G372/E372-1</f>
        <v>-0.03667136812411864</v>
      </c>
      <c r="J372" s="5">
        <v>-0.04274702172389622</v>
      </c>
      <c r="K372" s="4">
        <v>5966069748.400001</v>
      </c>
    </row>
    <row r="373" spans="1:11">
      <c r="A373" s="1" t="s">
        <v>2422</v>
      </c>
      <c r="B373" s="1" t="s">
        <v>2423</v>
      </c>
      <c r="C373" s="1" t="s">
        <v>54</v>
      </c>
      <c r="D373" s="1" t="s">
        <v>113</v>
      </c>
      <c r="E373" s="4">
        <v>4.208</v>
      </c>
      <c r="F373" s="4">
        <v>4.248</v>
      </c>
      <c r="G373" s="4">
        <v>4.277</v>
      </c>
      <c r="H373" s="5">
        <f>G373/F373-1</f>
        <v>0.006826741996233565</v>
      </c>
      <c r="I373" s="5">
        <f>G373/E373-1</f>
        <v>0.016397338403041806</v>
      </c>
      <c r="J373" s="5">
        <v>-0.04987698501453808</v>
      </c>
      <c r="K373" s="4">
        <v>5024421053.106001</v>
      </c>
    </row>
    <row r="374" spans="1:11">
      <c r="A374" s="1" t="s">
        <v>2424</v>
      </c>
      <c r="B374" s="1" t="s">
        <v>2425</v>
      </c>
      <c r="C374" s="1" t="s">
        <v>76</v>
      </c>
      <c r="D374" s="1" t="s">
        <v>76</v>
      </c>
      <c r="E374" s="4">
        <v>13.67469782571477</v>
      </c>
      <c r="F374" s="4">
        <v>13.33799432843516</v>
      </c>
      <c r="G374" s="4">
        <v>13.39086137165476</v>
      </c>
      <c r="H374" s="5">
        <f>G374/F374-1</f>
        <v>0.003963642652545785</v>
      </c>
      <c r="I374" s="5">
        <f>G374/E374-1</f>
        <v>-0.02075632366268909</v>
      </c>
      <c r="J374" s="5">
        <v>-0.03688287129489121</v>
      </c>
      <c r="K374" s="4">
        <v>67313639656.06672</v>
      </c>
    </row>
    <row r="375" spans="1:11">
      <c r="A375" s="1" t="s">
        <v>2426</v>
      </c>
      <c r="B375" s="1" t="s">
        <v>2427</v>
      </c>
      <c r="C375" s="1" t="s">
        <v>93</v>
      </c>
      <c r="D375" s="1" t="s">
        <v>93</v>
      </c>
      <c r="E375" s="4">
        <v>8.471484428043917</v>
      </c>
      <c r="F375" s="4">
        <v>8.803084432719611</v>
      </c>
      <c r="G375" s="4">
        <v>8.695566810703935</v>
      </c>
      <c r="H375" s="5">
        <f>G375/F375-1</f>
        <v>-0.012213630669728692</v>
      </c>
      <c r="I375" s="5">
        <f>G375/E375-1</f>
        <v>0.026451371605927587</v>
      </c>
      <c r="J375" s="5">
        <v>-0.01681304433782638</v>
      </c>
      <c r="K375" s="4">
        <v>17204084466.3399</v>
      </c>
    </row>
    <row r="376" spans="1:11">
      <c r="A376" s="1" t="s">
        <v>2428</v>
      </c>
      <c r="B376" s="1" t="s">
        <v>2429</v>
      </c>
      <c r="C376" s="1" t="s">
        <v>70</v>
      </c>
      <c r="D376" s="1" t="s">
        <v>100</v>
      </c>
      <c r="E376" s="4">
        <v>3.79787069715699</v>
      </c>
      <c r="F376" s="4">
        <v>3.99553325334319</v>
      </c>
      <c r="G376" s="4">
        <v>3.955835219867491</v>
      </c>
      <c r="H376" s="5">
        <f>G376/F376-1</f>
        <v>-0.00993560332465837</v>
      </c>
      <c r="I376" s="5">
        <f>G376/E376-1</f>
        <v>0.04159291753369865</v>
      </c>
      <c r="J376" s="5">
        <v>-0.0349337066364287</v>
      </c>
      <c r="K376" s="4">
        <v>7975226818.82496</v>
      </c>
    </row>
    <row r="377" spans="1:11">
      <c r="A377" s="1" t="s">
        <v>2430</v>
      </c>
      <c r="B377" s="1" t="s">
        <v>2431</v>
      </c>
      <c r="C377" s="1" t="s">
        <v>70</v>
      </c>
      <c r="D377" s="1" t="s">
        <v>100</v>
      </c>
      <c r="E377" s="4">
        <v>124.8030459455472</v>
      </c>
      <c r="F377" s="4">
        <v>125.5572507724293</v>
      </c>
      <c r="G377" s="4">
        <v>125.087905860303</v>
      </c>
      <c r="H377" s="5">
        <f>G377/F377-1</f>
        <v>-0.0037380948470829845</v>
      </c>
      <c r="I377" s="5">
        <f>G377/E377-1</f>
        <v>0.0022824756607306984</v>
      </c>
      <c r="J377" s="5">
        <v>-0.01878107835814191</v>
      </c>
      <c r="K377" s="4">
        <v>6719727931.77124</v>
      </c>
    </row>
    <row r="378" spans="1:11">
      <c r="A378" s="1" t="s">
        <v>2432</v>
      </c>
      <c r="B378" s="1" t="s">
        <v>2433</v>
      </c>
      <c r="C378" s="1" t="s">
        <v>54</v>
      </c>
      <c r="D378" s="1" t="s">
        <v>55</v>
      </c>
      <c r="E378" s="4">
        <v>75.90000000000001</v>
      </c>
      <c r="F378" s="4">
        <v>79.58</v>
      </c>
      <c r="G378" s="4">
        <v>80.28</v>
      </c>
      <c r="H378" s="5">
        <f>G378/F378-1</f>
        <v>0.008796179944709825</v>
      </c>
      <c r="I378" s="5">
        <f>G378/E378-1</f>
        <v>0.057707509881422814</v>
      </c>
      <c r="J378" s="5">
        <v>-0.004382572828048548</v>
      </c>
      <c r="K378" s="4">
        <v>21113640000</v>
      </c>
    </row>
    <row r="379" spans="1:11">
      <c r="A379" s="1" t="s">
        <v>2434</v>
      </c>
      <c r="B379" s="1" t="s">
        <v>2435</v>
      </c>
      <c r="C379" s="1" t="s">
        <v>41</v>
      </c>
      <c r="D379" s="1" t="s">
        <v>63</v>
      </c>
      <c r="E379" s="4">
        <v>15.02173418366996</v>
      </c>
      <c r="F379" s="4">
        <v>15.3443166415571</v>
      </c>
      <c r="G379" s="4">
        <v>15.56350916609169</v>
      </c>
      <c r="H379" s="5">
        <f>G379/F379-1</f>
        <v>0.014284932307832232</v>
      </c>
      <c r="I379" s="5">
        <f>G379/E379-1</f>
        <v>0.03606607438245657</v>
      </c>
      <c r="J379" s="5">
        <v>-0.05170237627261298</v>
      </c>
      <c r="K379" s="4">
        <v>3109302762.816463</v>
      </c>
    </row>
    <row r="380" spans="1:11">
      <c r="A380" s="1" t="s">
        <v>2436</v>
      </c>
      <c r="B380" s="1" t="s">
        <v>2437</v>
      </c>
      <c r="C380" s="1" t="s">
        <v>41</v>
      </c>
      <c r="D380" s="1" t="s">
        <v>42</v>
      </c>
      <c r="E380" s="4">
        <v>8.756</v>
      </c>
      <c r="F380" s="4">
        <v>8.41</v>
      </c>
      <c r="G380" s="4">
        <v>8.656000000000001</v>
      </c>
      <c r="H380" s="5">
        <f>G380/F380-1</f>
        <v>0.02925089179548168</v>
      </c>
      <c r="I380" s="5">
        <f>G380/E380-1</f>
        <v>-0.011420740063956103</v>
      </c>
      <c r="J380" s="5">
        <v>-0.07174392935982343</v>
      </c>
      <c r="K380" s="4">
        <v>49704826808.576</v>
      </c>
    </row>
    <row r="381" spans="1:11">
      <c r="A381" s="1" t="s">
        <v>2438</v>
      </c>
      <c r="B381" s="1" t="s">
        <v>2439</v>
      </c>
      <c r="C381" s="1" t="s">
        <v>37</v>
      </c>
      <c r="D381" s="1" t="s">
        <v>38</v>
      </c>
      <c r="E381" s="4">
        <v>136.1550227622091</v>
      </c>
      <c r="F381" s="4">
        <v>140.026000350193</v>
      </c>
      <c r="G381" s="4">
        <v>137.7966312286087</v>
      </c>
      <c r="H381" s="5">
        <f>G381/F381-1</f>
        <v>-0.01592110833708571</v>
      </c>
      <c r="I381" s="5">
        <f>G381/E381-1</f>
        <v>0.012056907142284912</v>
      </c>
      <c r="J381" s="5">
        <v>-0.04184095727176551</v>
      </c>
      <c r="K381" s="4">
        <v>280391273498.4517</v>
      </c>
    </row>
    <row r="382" spans="1:11">
      <c r="A382" s="1" t="s">
        <v>2440</v>
      </c>
      <c r="B382" s="1" t="s">
        <v>2441</v>
      </c>
      <c r="C382" s="1" t="s">
        <v>37</v>
      </c>
      <c r="D382" s="1" t="s">
        <v>38</v>
      </c>
      <c r="E382" s="4">
        <v>40.24329729123028</v>
      </c>
      <c r="F382" s="4">
        <v>40.34287583423127</v>
      </c>
      <c r="G382" s="4">
        <v>39.98799471833642</v>
      </c>
      <c r="H382" s="5">
        <f>G382/F382-1</f>
        <v>-0.008796624151264143</v>
      </c>
      <c r="I382" s="5">
        <f>G382/E382-1</f>
        <v>-0.0063439775087587025</v>
      </c>
      <c r="J382" s="5">
        <v>-0.04998487395396189</v>
      </c>
      <c r="K382" s="4">
        <v>178546396417.3722</v>
      </c>
    </row>
    <row r="383" spans="1:11">
      <c r="A383" s="1" t="s">
        <v>2442</v>
      </c>
      <c r="B383" s="1" t="s">
        <v>2443</v>
      </c>
      <c r="C383" s="1" t="s">
        <v>93</v>
      </c>
      <c r="D383" s="1" t="s">
        <v>93</v>
      </c>
      <c r="E383" s="4">
        <v>60.27465434411955</v>
      </c>
      <c r="F383" s="4">
        <v>60.28353457438107</v>
      </c>
      <c r="G383" s="4">
        <v>58.41003176321741</v>
      </c>
      <c r="H383" s="5">
        <f>G383/F383-1</f>
        <v>-0.031078184522376207</v>
      </c>
      <c r="I383" s="5">
        <f>G383/E383-1</f>
        <v>-0.03093543382690589</v>
      </c>
      <c r="J383" s="5">
        <v>-0.0569863818993025</v>
      </c>
      <c r="K383" s="4">
        <v>27353338787.53171</v>
      </c>
    </row>
    <row r="384" spans="1:11">
      <c r="A384" s="1" t="s">
        <v>2444</v>
      </c>
      <c r="B384" s="1" t="s">
        <v>2445</v>
      </c>
      <c r="C384" s="1" t="s">
        <v>76</v>
      </c>
      <c r="D384" s="1" t="s">
        <v>76</v>
      </c>
      <c r="E384" s="4">
        <v>29.44</v>
      </c>
      <c r="F384" s="4">
        <v>29.3</v>
      </c>
      <c r="G384" s="4">
        <v>29.74</v>
      </c>
      <c r="H384" s="5">
        <f>G384/F384-1</f>
        <v>0.015017064846416295</v>
      </c>
      <c r="I384" s="5">
        <f>G384/E384-1</f>
        <v>0.010190217391304213</v>
      </c>
      <c r="J384" s="5">
        <v>-0.02268178785857233</v>
      </c>
      <c r="K384" s="4">
        <v>28836314441.74</v>
      </c>
    </row>
    <row r="385" spans="1:11">
      <c r="A385" s="1" t="s">
        <v>2446</v>
      </c>
      <c r="B385" s="1" t="s">
        <v>2447</v>
      </c>
      <c r="C385" s="1" t="s">
        <v>54</v>
      </c>
      <c r="D385" s="1" t="s">
        <v>165</v>
      </c>
      <c r="E385" s="4">
        <v>7.98527615134395</v>
      </c>
      <c r="F385" s="4">
        <v>8.116856234424681</v>
      </c>
      <c r="G385" s="4">
        <v>8.141550641080801</v>
      </c>
      <c r="H385" s="5">
        <f>G385/F385-1</f>
        <v>0.0030423609760867887</v>
      </c>
      <c r="I385" s="5">
        <f>G385/E385-1</f>
        <v>0.01957033003931241</v>
      </c>
      <c r="J385" s="5">
        <v>-0.01960509115107789</v>
      </c>
      <c r="K385" s="4">
        <v>64719434253.74532</v>
      </c>
    </row>
    <row r="386" spans="1:11">
      <c r="A386" s="1" t="s">
        <v>2448</v>
      </c>
      <c r="B386" s="1" t="s">
        <v>2449</v>
      </c>
      <c r="C386" s="1" t="s">
        <v>47</v>
      </c>
      <c r="D386" s="1" t="s">
        <v>120</v>
      </c>
      <c r="E386" s="4">
        <v>178.4950950179764</v>
      </c>
      <c r="F386" s="4">
        <v>176.967018991149</v>
      </c>
      <c r="G386" s="4">
        <v>178.4090869976766</v>
      </c>
      <c r="H386" s="5">
        <f>G386/F386-1</f>
        <v>0.008148795265629616</v>
      </c>
      <c r="I386" s="5">
        <f>G386/E386-1</f>
        <v>-0.0004818508894662843</v>
      </c>
      <c r="J386" s="5">
        <v>-0.03241160784511565</v>
      </c>
      <c r="K386" s="4">
        <v>21347862403.56355</v>
      </c>
    </row>
    <row r="387" spans="1:11">
      <c r="A387" s="1" t="s">
        <v>2450</v>
      </c>
      <c r="B387" s="1" t="s">
        <v>2451</v>
      </c>
      <c r="C387" s="1" t="s">
        <v>41</v>
      </c>
      <c r="D387" s="1" t="s">
        <v>58</v>
      </c>
      <c r="E387" s="4">
        <v>15.33529356282371</v>
      </c>
      <c r="F387" s="4">
        <v>16.6705830371784</v>
      </c>
      <c r="G387" s="4">
        <v>16.61162833456639</v>
      </c>
      <c r="H387" s="5">
        <f>G387/F387-1</f>
        <v>-0.0035364511535392884</v>
      </c>
      <c r="I387" s="5">
        <f>G387/E387-1</f>
        <v>0.08322858421418244</v>
      </c>
      <c r="J387" s="5">
        <v>-0.06360733008321939</v>
      </c>
      <c r="K387" s="4">
        <v>4459188765.209126</v>
      </c>
    </row>
    <row r="388" spans="1:11">
      <c r="A388" s="1" t="s">
        <v>2452</v>
      </c>
      <c r="B388" s="1" t="s">
        <v>2453</v>
      </c>
      <c r="C388" s="1" t="s">
        <v>129</v>
      </c>
      <c r="D388" s="1" t="s">
        <v>129</v>
      </c>
      <c r="E388" s="4">
        <v>68.90000000000001</v>
      </c>
      <c r="F388" s="4">
        <v>68.84999999999999</v>
      </c>
      <c r="G388" s="4">
        <v>68.90000000000001</v>
      </c>
      <c r="H388" s="5">
        <f>G388/F388-1</f>
        <v>0.0007262164124910431</v>
      </c>
      <c r="I388" s="5">
        <f>G388/E388-1</f>
        <v>0.0</v>
      </c>
      <c r="J388" s="5">
        <v>-0.02902757619738749</v>
      </c>
      <c r="K388" s="4">
        <v>22549090890.3</v>
      </c>
    </row>
    <row r="389" spans="1:11">
      <c r="A389" s="1" t="s">
        <v>2454</v>
      </c>
      <c r="B389" s="1" t="s">
        <v>2455</v>
      </c>
      <c r="C389" s="1" t="s">
        <v>66</v>
      </c>
      <c r="D389" s="1" t="s">
        <v>240</v>
      </c>
      <c r="E389" s="4">
        <v>386.6</v>
      </c>
      <c r="F389" s="4">
        <v>378.5</v>
      </c>
      <c r="G389" s="4">
        <v>383.9</v>
      </c>
      <c r="H389" s="5">
        <f>G389/F389-1</f>
        <v>0.014266842800528368</v>
      </c>
      <c r="I389" s="5">
        <f>G389/E389-1</f>
        <v>-0.0069839627521988135</v>
      </c>
      <c r="J389" s="5">
        <v>-0.03566878980891719</v>
      </c>
      <c r="K389" s="4">
        <v>204484267049.7</v>
      </c>
    </row>
    <row r="390" spans="1:11">
      <c r="A390" s="1" t="s">
        <v>2456</v>
      </c>
      <c r="B390" s="1" t="s">
        <v>2457</v>
      </c>
      <c r="C390" s="1" t="s">
        <v>138</v>
      </c>
      <c r="D390" s="1" t="s">
        <v>258</v>
      </c>
      <c r="E390" s="4">
        <v>15.965</v>
      </c>
      <c r="F390" s="4">
        <v>15.405</v>
      </c>
      <c r="G390" s="4">
        <v>15.34</v>
      </c>
      <c r="H390" s="5">
        <f>G390/F390-1</f>
        <v>-0.00421940928270037</v>
      </c>
      <c r="I390" s="5">
        <f>G390/E390-1</f>
        <v>-0.03914813654870031</v>
      </c>
      <c r="J390" s="5">
        <v>-0.05418102098340116</v>
      </c>
      <c r="K390" s="4">
        <v>40805268228.66</v>
      </c>
    </row>
    <row r="391" spans="1:11">
      <c r="A391" s="1" t="s">
        <v>2458</v>
      </c>
      <c r="B391" s="1" t="s">
        <v>2459</v>
      </c>
      <c r="C391" s="1" t="s">
        <v>66</v>
      </c>
      <c r="D391" s="1" t="s">
        <v>67</v>
      </c>
      <c r="E391" s="4">
        <v>8.984489084101805</v>
      </c>
      <c r="F391" s="4">
        <v>8.560610912810805</v>
      </c>
      <c r="G391" s="4">
        <v>8.633534977620762</v>
      </c>
      <c r="H391" s="5">
        <f>G391/F391-1</f>
        <v>0.008518558494561068</v>
      </c>
      <c r="I391" s="5">
        <f>G391/E391-1</f>
        <v>-0.03906222192445663</v>
      </c>
      <c r="J391" s="5">
        <v>-0.0471788843331179</v>
      </c>
      <c r="K391" s="4">
        <v>8507743889.518869</v>
      </c>
    </row>
    <row r="392" spans="1:11">
      <c r="A392" s="1" t="s">
        <v>2460</v>
      </c>
      <c r="B392" s="1" t="s">
        <v>2461</v>
      </c>
      <c r="C392" s="1" t="s">
        <v>37</v>
      </c>
      <c r="D392" s="1" t="s">
        <v>38</v>
      </c>
      <c r="E392" s="4">
        <v>79.25</v>
      </c>
      <c r="F392" s="4">
        <v>79.95</v>
      </c>
      <c r="G392" s="4">
        <v>79.8</v>
      </c>
      <c r="H392" s="5">
        <f>G392/F392-1</f>
        <v>-0.0018761726078799779</v>
      </c>
      <c r="I392" s="5">
        <f>G392/E392-1</f>
        <v>0.006940063091482651</v>
      </c>
      <c r="J392" s="5">
        <v>-0.02103960396039606</v>
      </c>
      <c r="K392" s="4">
        <v>11253103430.7</v>
      </c>
    </row>
    <row r="393" spans="1:11">
      <c r="A393" s="1" t="s">
        <v>2462</v>
      </c>
      <c r="B393" s="1" t="s">
        <v>2463</v>
      </c>
      <c r="C393" s="1" t="s">
        <v>76</v>
      </c>
      <c r="D393" s="1" t="s">
        <v>76</v>
      </c>
      <c r="E393" s="4">
        <v>17.84429402908466</v>
      </c>
      <c r="F393" s="4">
        <v>18.0609790668918</v>
      </c>
      <c r="G393" s="4">
        <v>18.34176673095993</v>
      </c>
      <c r="H393" s="5">
        <f>G393/F393-1</f>
        <v>0.015546646891521965</v>
      </c>
      <c r="I393" s="5">
        <f>G393/E393-1</f>
        <v>0.02787853086619352</v>
      </c>
      <c r="J393" s="5">
        <v>-0.04467726995088928</v>
      </c>
      <c r="K393" s="4">
        <v>24233099652.04545</v>
      </c>
    </row>
    <row r="394" spans="1:11">
      <c r="A394" s="1" t="s">
        <v>2464</v>
      </c>
      <c r="B394" s="1" t="s">
        <v>2465</v>
      </c>
      <c r="C394" s="1" t="s">
        <v>47</v>
      </c>
      <c r="D394" s="1" t="s">
        <v>142</v>
      </c>
      <c r="E394" s="4">
        <v>45.01</v>
      </c>
      <c r="F394" s="4">
        <v>44.8</v>
      </c>
      <c r="G394" s="4">
        <v>44.22</v>
      </c>
      <c r="H394" s="5">
        <f>G394/F394-1</f>
        <v>-0.012946428571428581</v>
      </c>
      <c r="I394" s="5">
        <f>G394/E394-1</f>
        <v>-0.01755165518773605</v>
      </c>
      <c r="J394" s="5">
        <v>-0.04200217627856362</v>
      </c>
      <c r="K394" s="4">
        <v>40366410000</v>
      </c>
    </row>
    <row r="395" spans="1:11">
      <c r="A395" s="1" t="s">
        <v>2466</v>
      </c>
      <c r="B395" s="1" t="s">
        <v>2467</v>
      </c>
      <c r="C395" s="1" t="s">
        <v>93</v>
      </c>
      <c r="D395" s="1" t="s">
        <v>93</v>
      </c>
      <c r="E395" s="4">
        <v>1.589347885636021</v>
      </c>
      <c r="F395" s="4">
        <v>1.586360058434304</v>
      </c>
      <c r="G395" s="4">
        <v>1.591546338525084</v>
      </c>
      <c r="H395" s="5">
        <f>G395/F395-1</f>
        <v>0.0032692956830358</v>
      </c>
      <c r="I395" s="5">
        <f>G395/E395-1</f>
        <v>0.0013832420887409658</v>
      </c>
      <c r="J395" s="5">
        <v>-0.07747757220037255</v>
      </c>
      <c r="K395" s="4">
        <v>3877504955.073746</v>
      </c>
    </row>
    <row r="396" spans="1:11">
      <c r="A396" s="1" t="s">
        <v>2468</v>
      </c>
      <c r="B396" s="1" t="s">
        <v>2469</v>
      </c>
      <c r="C396" s="1" t="s">
        <v>47</v>
      </c>
      <c r="D396" s="1" t="s">
        <v>142</v>
      </c>
      <c r="E396" s="4">
        <v>27.96</v>
      </c>
      <c r="F396" s="4">
        <v>28</v>
      </c>
      <c r="G396" s="4">
        <v>29.01</v>
      </c>
      <c r="H396" s="5">
        <f>G396/F396-1</f>
        <v>0.03607142857142853</v>
      </c>
      <c r="I396" s="5">
        <f>G396/E396-1</f>
        <v>0.037553648068669565</v>
      </c>
      <c r="J396" s="5">
        <v>-0.04781849912739955</v>
      </c>
      <c r="K396" s="4">
        <v>8887375000</v>
      </c>
    </row>
    <row r="397" spans="1:11">
      <c r="A397" s="1" t="s">
        <v>2470</v>
      </c>
      <c r="B397" s="1" t="s">
        <v>2471</v>
      </c>
      <c r="C397" s="1" t="s">
        <v>54</v>
      </c>
      <c r="D397" s="1" t="s">
        <v>165</v>
      </c>
      <c r="E397" s="4">
        <v>60.02422455242386</v>
      </c>
      <c r="F397" s="4">
        <v>59.90307501989018</v>
      </c>
      <c r="G397" s="4">
        <v>61.20499442124245</v>
      </c>
      <c r="H397" s="5">
        <f>G397/F397-1</f>
        <v>0.021733765769453184</v>
      </c>
      <c r="I397" s="5">
        <f>G397/E397-1</f>
        <v>0.019671555569823918</v>
      </c>
      <c r="J397" s="5">
        <v>-0.03542704773372141</v>
      </c>
      <c r="K397" s="4">
        <v>16064476966.71332</v>
      </c>
    </row>
    <row r="398" spans="1:11">
      <c r="A398" s="1" t="s">
        <v>2472</v>
      </c>
      <c r="B398" s="1" t="s">
        <v>2473</v>
      </c>
      <c r="C398" s="1" t="s">
        <v>54</v>
      </c>
      <c r="D398" s="1" t="s">
        <v>113</v>
      </c>
      <c r="E398" s="4">
        <v>764.8702346035885</v>
      </c>
      <c r="F398" s="4">
        <v>730.8393286629779</v>
      </c>
      <c r="G398" s="4">
        <v>722.055198365684</v>
      </c>
      <c r="H398" s="5">
        <f>G398/F398-1</f>
        <v>-0.012019235901499559</v>
      </c>
      <c r="I398" s="5">
        <f>G398/E398-1</f>
        <v>-0.05597686287281711</v>
      </c>
      <c r="J398" s="5">
        <v>-0.1103528555762485</v>
      </c>
      <c r="K398" s="4">
        <v>19278873796.36376</v>
      </c>
    </row>
    <row r="399" spans="1:11">
      <c r="A399" s="1" t="s">
        <v>2474</v>
      </c>
      <c r="B399" s="1" t="s">
        <v>2475</v>
      </c>
      <c r="C399" s="1" t="s">
        <v>37</v>
      </c>
      <c r="D399" s="1" t="s">
        <v>51</v>
      </c>
      <c r="E399" s="4">
        <v>23.61</v>
      </c>
      <c r="F399" s="4">
        <v>22.35</v>
      </c>
      <c r="G399" s="4">
        <v>22.35</v>
      </c>
      <c r="H399" s="5">
        <f>G399/F399-1</f>
        <v>0.0</v>
      </c>
      <c r="I399" s="5">
        <f>G399/E399-1</f>
        <v>-0.05336721728081317</v>
      </c>
      <c r="J399" s="5">
        <v>-0.05336721728081317</v>
      </c>
      <c r="K399" s="4">
        <v>21967474989.45</v>
      </c>
    </row>
    <row r="400" spans="1:11">
      <c r="A400" s="1" t="s">
        <v>2476</v>
      </c>
      <c r="B400" s="1" t="s">
        <v>2477</v>
      </c>
      <c r="C400" s="1" t="s">
        <v>116</v>
      </c>
      <c r="D400" s="1" t="s">
        <v>117</v>
      </c>
      <c r="E400" s="4">
        <v>1.1251555384352</v>
      </c>
      <c r="F400" s="4">
        <v>1.092877545759216</v>
      </c>
      <c r="G400" s="4">
        <v>1.100005163066862</v>
      </c>
      <c r="H400" s="5">
        <f>G400/F400-1</f>
        <v>0.00652188100606832</v>
      </c>
      <c r="I400" s="5">
        <f>G400/E400-1</f>
        <v>-0.02235279879910279</v>
      </c>
      <c r="J400" s="5">
        <v>-0.04365635403826107</v>
      </c>
      <c r="K400" s="4">
        <v>2854677545.328959</v>
      </c>
    </row>
    <row r="401" spans="1:11">
      <c r="A401" s="1" t="s">
        <v>2478</v>
      </c>
      <c r="B401" s="1" t="s">
        <v>2479</v>
      </c>
      <c r="C401" s="1" t="s">
        <v>47</v>
      </c>
      <c r="D401" s="1" t="s">
        <v>142</v>
      </c>
      <c r="E401" s="4">
        <v>6.635</v>
      </c>
      <c r="F401" s="4">
        <v>6.565</v>
      </c>
      <c r="G401" s="4">
        <v>6.595</v>
      </c>
      <c r="H401" s="5">
        <f>G401/F401-1</f>
        <v>0.004569687738004369</v>
      </c>
      <c r="I401" s="5">
        <f>G401/E401-1</f>
        <v>-0.006028636021100264</v>
      </c>
      <c r="J401" s="5">
        <v>-0.04775900073475381</v>
      </c>
      <c r="K401" s="4">
        <v>7154796348.134999</v>
      </c>
    </row>
    <row r="402" spans="1:11">
      <c r="A402" s="1" t="s">
        <v>2480</v>
      </c>
      <c r="B402" s="1" t="s">
        <v>2481</v>
      </c>
      <c r="C402" s="1" t="s">
        <v>129</v>
      </c>
      <c r="D402" s="1" t="s">
        <v>129</v>
      </c>
      <c r="E402" s="4">
        <v>35.51819840787553</v>
      </c>
      <c r="F402" s="4">
        <v>36.08529772152211</v>
      </c>
      <c r="G402" s="4">
        <v>36.64414216959571</v>
      </c>
      <c r="H402" s="5">
        <f>G402/F402-1</f>
        <v>0.015486762846916857</v>
      </c>
      <c r="I402" s="5">
        <f>G402/E402-1</f>
        <v>0.03170047502945761</v>
      </c>
      <c r="J402" s="5">
        <v>-0.04747657807791772</v>
      </c>
      <c r="K402" s="4">
        <v>42541725494.21774</v>
      </c>
    </row>
    <row r="403" spans="1:11">
      <c r="A403" s="1" t="s">
        <v>2482</v>
      </c>
      <c r="B403" s="1" t="s">
        <v>2483</v>
      </c>
      <c r="C403" s="1" t="s">
        <v>54</v>
      </c>
      <c r="D403" s="1" t="s">
        <v>165</v>
      </c>
      <c r="E403" s="4">
        <v>26.43106889487721</v>
      </c>
      <c r="F403" s="4">
        <v>26.5572613008227</v>
      </c>
      <c r="G403" s="4">
        <v>27.11202670649202</v>
      </c>
      <c r="H403" s="5">
        <f>G403/F403-1</f>
        <v>0.02088940570284392</v>
      </c>
      <c r="I403" s="5">
        <f>G403/E403-1</f>
        <v>0.025763536628924832</v>
      </c>
      <c r="J403" s="5">
        <v>-0.03459676116518084</v>
      </c>
      <c r="K403" s="4">
        <v>33890033383.11502</v>
      </c>
    </row>
    <row r="404" spans="1:11">
      <c r="A404" s="1" t="s">
        <v>2484</v>
      </c>
      <c r="B404" s="1" t="s">
        <v>2485</v>
      </c>
      <c r="C404" s="1" t="s">
        <v>54</v>
      </c>
      <c r="D404" s="1" t="s">
        <v>113</v>
      </c>
      <c r="E404" s="4">
        <v>42.92757404554015</v>
      </c>
      <c r="F404" s="4">
        <v>43.01677751997938</v>
      </c>
      <c r="G404" s="4">
        <v>42.97640478444196</v>
      </c>
      <c r="H404" s="5">
        <f>G404/F404-1</f>
        <v>-0.0009385346338104394</v>
      </c>
      <c r="I404" s="5">
        <f>G404/E404-1</f>
        <v>0.0011375145227170425</v>
      </c>
      <c r="J404" s="5">
        <v>-0.04173933938109686</v>
      </c>
      <c r="K404" s="4">
        <v>3058166841.195491</v>
      </c>
    </row>
    <row r="405" spans="1:11">
      <c r="A405" s="1" t="s">
        <v>2486</v>
      </c>
      <c r="B405" s="1" t="s">
        <v>2487</v>
      </c>
      <c r="C405" s="1" t="s">
        <v>47</v>
      </c>
      <c r="D405" s="1" t="s">
        <v>331</v>
      </c>
      <c r="E405" s="4">
        <v>104.7382475620187</v>
      </c>
      <c r="F405" s="4">
        <v>112.2723972810044</v>
      </c>
      <c r="G405" s="4">
        <v>113.2614129426016</v>
      </c>
      <c r="H405" s="5">
        <f>G405/F405-1</f>
        <v>0.008809072270201668</v>
      </c>
      <c r="I405" s="5">
        <f>G405/E405-1</f>
        <v>0.08137586391767782</v>
      </c>
      <c r="J405" s="5">
        <v>-0.01822475274568103</v>
      </c>
      <c r="K405" s="4">
        <v>8494605970.69512</v>
      </c>
    </row>
    <row r="406" spans="1:11">
      <c r="A406" s="1" t="s">
        <v>2488</v>
      </c>
      <c r="B406" s="1" t="s">
        <v>2489</v>
      </c>
      <c r="C406" s="1" t="s">
        <v>76</v>
      </c>
      <c r="D406" s="1" t="s">
        <v>76</v>
      </c>
      <c r="E406" s="4">
        <v>5.392805683958227</v>
      </c>
      <c r="F406" s="4">
        <v>5.37011394689353</v>
      </c>
      <c r="G406" s="4">
        <v>5.395900524911799</v>
      </c>
      <c r="H406" s="5">
        <f>G406/F406-1</f>
        <v>0.004801867944196125</v>
      </c>
      <c r="I406" s="5">
        <f>G406/E406-1</f>
        <v>0.0005738832687367523</v>
      </c>
      <c r="J406" s="5">
        <v>-0.04271645191721474</v>
      </c>
      <c r="K406" s="4">
        <v>2546764808.114317</v>
      </c>
    </row>
    <row r="407" spans="1:11">
      <c r="A407" s="1" t="s">
        <v>2490</v>
      </c>
      <c r="B407" s="1" t="s">
        <v>2491</v>
      </c>
      <c r="C407" s="1" t="s">
        <v>54</v>
      </c>
      <c r="D407" s="1" t="s">
        <v>55</v>
      </c>
      <c r="E407" s="4">
        <v>12.00477315528163</v>
      </c>
      <c r="F407" s="4">
        <v>12.08682993898771</v>
      </c>
      <c r="G407" s="4">
        <v>11.89587815162207</v>
      </c>
      <c r="H407" s="5">
        <f>G407/F407-1</f>
        <v>-0.015798334909115086</v>
      </c>
      <c r="I407" s="5">
        <f>G407/E407-1</f>
        <v>-0.009070975540396153</v>
      </c>
      <c r="J407" s="5">
        <v>-0.04095140621176108</v>
      </c>
      <c r="K407" s="4">
        <v>29682543381.16978</v>
      </c>
    </row>
    <row r="408" spans="1:11">
      <c r="A408" s="1" t="s">
        <v>2492</v>
      </c>
      <c r="B408" s="1" t="s">
        <v>2493</v>
      </c>
      <c r="C408" s="1" t="s">
        <v>47</v>
      </c>
      <c r="D408" s="1" t="s">
        <v>120</v>
      </c>
      <c r="E408" s="4">
        <v>38.295</v>
      </c>
      <c r="F408" s="4">
        <v>36.88</v>
      </c>
      <c r="G408" s="4">
        <v>37.125</v>
      </c>
      <c r="H408" s="5">
        <f>G408/F408-1</f>
        <v>0.006643167028199448</v>
      </c>
      <c r="I408" s="5">
        <f>G408/E408-1</f>
        <v>-0.03055229142185667</v>
      </c>
      <c r="J408" s="5">
        <v>-0.04742827604032052</v>
      </c>
      <c r="K408" s="4">
        <v>81413063654.33279</v>
      </c>
    </row>
    <row r="409" spans="1:11">
      <c r="A409" s="1" t="s">
        <v>2494</v>
      </c>
      <c r="B409" s="1" t="s">
        <v>2495</v>
      </c>
      <c r="C409" s="1" t="s">
        <v>70</v>
      </c>
      <c r="D409" s="1" t="s">
        <v>100</v>
      </c>
      <c r="E409" s="4">
        <v>124</v>
      </c>
      <c r="F409" s="4">
        <v>119.8</v>
      </c>
      <c r="G409" s="4">
        <v>122.25</v>
      </c>
      <c r="H409" s="5">
        <f>G409/F409-1</f>
        <v>0.02045075125208684</v>
      </c>
      <c r="I409" s="5">
        <f>G409/E409-1</f>
        <v>-0.014112903225806495</v>
      </c>
      <c r="J409" s="5">
        <v>-0.05161290322580647</v>
      </c>
      <c r="K409" s="4">
        <v>36899551489.5</v>
      </c>
    </row>
    <row r="410" spans="1:11">
      <c r="A410" s="1" t="s">
        <v>2496</v>
      </c>
      <c r="B410" s="1" t="s">
        <v>2497</v>
      </c>
      <c r="C410" s="1" t="s">
        <v>47</v>
      </c>
      <c r="D410" s="1" t="s">
        <v>331</v>
      </c>
      <c r="E410" s="4">
        <v>13.44698082520117</v>
      </c>
      <c r="F410" s="4">
        <v>13.34381369768841</v>
      </c>
      <c r="G410" s="4">
        <v>13.32105670768437</v>
      </c>
      <c r="H410" s="5">
        <f>G410/F410-1</f>
        <v>-0.0017054337327854219</v>
      </c>
      <c r="I410" s="5">
        <f>G410/E410-1</f>
        <v>-0.009364490003645032</v>
      </c>
      <c r="J410" s="5">
        <v>-0.05763475848372579</v>
      </c>
      <c r="K410" s="4">
        <v>4279993950.254884</v>
      </c>
    </row>
    <row r="411" spans="1:11">
      <c r="A411" s="1" t="s">
        <v>2498</v>
      </c>
      <c r="B411" s="1" t="s">
        <v>2499</v>
      </c>
      <c r="C411" s="1" t="s">
        <v>47</v>
      </c>
      <c r="D411" s="1" t="s">
        <v>48</v>
      </c>
      <c r="E411" s="4">
        <v>13.96080380071906</v>
      </c>
      <c r="F411" s="4">
        <v>13.76862765317522</v>
      </c>
      <c r="G411" s="4">
        <v>13.71079941485243</v>
      </c>
      <c r="H411" s="5">
        <f>G411/F411-1</f>
        <v>-0.004200000158291584</v>
      </c>
      <c r="I411" s="5">
        <f>G411/E411-1</f>
        <v>-0.01790759253086538</v>
      </c>
      <c r="J411" s="5">
        <v>-0.048580164457939</v>
      </c>
      <c r="K411" s="4">
        <v>8250060756.849463</v>
      </c>
    </row>
    <row r="412" spans="1:11">
      <c r="A412" s="1" t="s">
        <v>2500</v>
      </c>
      <c r="B412" s="1" t="s">
        <v>2501</v>
      </c>
      <c r="C412" s="1" t="s">
        <v>116</v>
      </c>
      <c r="D412" s="1" t="s">
        <v>223</v>
      </c>
      <c r="E412" s="4">
        <v>155.4744609315761</v>
      </c>
      <c r="F412" s="4">
        <v>155.3593378847328</v>
      </c>
      <c r="G412" s="4">
        <v>154.9387958790576</v>
      </c>
      <c r="H412" s="5">
        <f>G412/F412-1</f>
        <v>-0.0027068988024858687</v>
      </c>
      <c r="I412" s="5">
        <f>G412/E412-1</f>
        <v>-0.0034453571944152994</v>
      </c>
      <c r="J412" s="5">
        <v>-0.01741859082870278</v>
      </c>
      <c r="K412" s="4">
        <v>7106715801.051865</v>
      </c>
    </row>
    <row r="413" spans="1:11">
      <c r="A413" s="1" t="s">
        <v>2502</v>
      </c>
      <c r="B413" s="1" t="s">
        <v>2503</v>
      </c>
      <c r="C413" s="1" t="s">
        <v>54</v>
      </c>
      <c r="D413" s="1" t="s">
        <v>113</v>
      </c>
      <c r="E413" s="4">
        <v>27.2</v>
      </c>
      <c r="F413" s="4">
        <v>26.98</v>
      </c>
      <c r="G413" s="4">
        <v>26.9</v>
      </c>
      <c r="H413" s="5">
        <f>G413/F413-1</f>
        <v>-0.002965159377316562</v>
      </c>
      <c r="I413" s="5">
        <f>G413/E413-1</f>
        <v>-0.011029411764705954</v>
      </c>
      <c r="J413" s="5">
        <v>-0.05559540889526549</v>
      </c>
      <c r="K413" s="4">
        <v>35134359000</v>
      </c>
    </row>
    <row r="414" spans="1:11">
      <c r="A414" s="1" t="s">
        <v>2504</v>
      </c>
      <c r="B414" s="1" t="s">
        <v>2505</v>
      </c>
      <c r="C414" s="1" t="s">
        <v>138</v>
      </c>
      <c r="D414" s="1" t="s">
        <v>139</v>
      </c>
      <c r="E414" s="4">
        <v>102.35</v>
      </c>
      <c r="F414" s="4">
        <v>103.75</v>
      </c>
      <c r="G414" s="4">
        <v>101.1</v>
      </c>
      <c r="H414" s="5">
        <f>G414/F414-1</f>
        <v>-0.02554216867469883</v>
      </c>
      <c r="I414" s="5">
        <f>G414/E414-1</f>
        <v>-0.012212994626282336</v>
      </c>
      <c r="J414" s="5">
        <v>-0.04534101825168102</v>
      </c>
      <c r="K414" s="4">
        <v>25710929046</v>
      </c>
    </row>
    <row r="415" spans="1:11">
      <c r="A415" s="1" t="s">
        <v>2506</v>
      </c>
      <c r="B415" s="1" t="s">
        <v>2507</v>
      </c>
      <c r="C415" s="1" t="s">
        <v>66</v>
      </c>
      <c r="D415" s="1" t="s">
        <v>240</v>
      </c>
      <c r="E415" s="4">
        <v>17.2</v>
      </c>
      <c r="F415" s="4">
        <v>18.39</v>
      </c>
      <c r="G415" s="4">
        <v>18.32</v>
      </c>
      <c r="H415" s="5">
        <f>G415/F415-1</f>
        <v>-0.0038064165307232223</v>
      </c>
      <c r="I415" s="5">
        <f>G415/E415-1</f>
        <v>0.06511627906976747</v>
      </c>
      <c r="J415" s="5">
        <v>-0.008676752351111205</v>
      </c>
      <c r="K415" s="4">
        <v>10409186316.32</v>
      </c>
    </row>
    <row r="416" spans="1:11">
      <c r="A416" s="1" t="s">
        <v>2508</v>
      </c>
      <c r="B416" s="1" t="s">
        <v>2509</v>
      </c>
      <c r="C416" s="1" t="s">
        <v>47</v>
      </c>
      <c r="D416" s="1" t="s">
        <v>331</v>
      </c>
      <c r="E416" s="4">
        <v>25.02</v>
      </c>
      <c r="F416" s="4">
        <v>24.26</v>
      </c>
      <c r="G416" s="4">
        <v>23.83</v>
      </c>
      <c r="H416" s="5">
        <f>G416/F416-1</f>
        <v>-0.017724649629019096</v>
      </c>
      <c r="I416" s="5">
        <f>G416/E416-1</f>
        <v>-0.04756195043964828</v>
      </c>
      <c r="J416" s="5">
        <v>-0.08416602613374335</v>
      </c>
      <c r="K416" s="4">
        <v>3527028876.579999</v>
      </c>
    </row>
    <row r="417" spans="1:11">
      <c r="A417" s="1" t="s">
        <v>2510</v>
      </c>
      <c r="B417" s="1" t="s">
        <v>2511</v>
      </c>
      <c r="C417" s="1" t="s">
        <v>54</v>
      </c>
      <c r="D417" s="1" t="s">
        <v>55</v>
      </c>
      <c r="E417" s="4">
        <v>16.70380468417915</v>
      </c>
      <c r="F417" s="4">
        <v>17.46883802240907</v>
      </c>
      <c r="G417" s="4">
        <v>17.65412722752928</v>
      </c>
      <c r="H417" s="5">
        <f>G417/F417-1</f>
        <v>0.010606842016768203</v>
      </c>
      <c r="I417" s="5">
        <f>G417/E417-1</f>
        <v>0.05689257994319208</v>
      </c>
      <c r="J417" s="5">
        <v>-0.02251394964852449</v>
      </c>
      <c r="K417" s="4">
        <v>15244744905.89776</v>
      </c>
    </row>
    <row r="418" spans="1:11">
      <c r="A418" s="1" t="s">
        <v>2512</v>
      </c>
      <c r="B418" s="1" t="s">
        <v>2513</v>
      </c>
      <c r="C418" s="1" t="s">
        <v>37</v>
      </c>
      <c r="D418" s="1" t="s">
        <v>38</v>
      </c>
      <c r="E418" s="4">
        <v>37.565</v>
      </c>
      <c r="F418" s="4">
        <v>37.47</v>
      </c>
      <c r="G418" s="4">
        <v>37.435</v>
      </c>
      <c r="H418" s="5">
        <f>G418/F418-1</f>
        <v>-0.0009340805978115263</v>
      </c>
      <c r="I418" s="5">
        <f>G418/E418-1</f>
        <v>-0.0034606681751628843</v>
      </c>
      <c r="J418" s="5">
        <v>-0.03087980833222403</v>
      </c>
      <c r="K418" s="4">
        <v>7741581097.395</v>
      </c>
    </row>
    <row r="419" spans="1:11">
      <c r="A419" s="1" t="s">
        <v>2514</v>
      </c>
      <c r="B419" s="1" t="s">
        <v>2515</v>
      </c>
      <c r="C419" s="1" t="s">
        <v>54</v>
      </c>
      <c r="D419" s="1" t="s">
        <v>113</v>
      </c>
      <c r="E419" s="4">
        <v>2.261988871768533</v>
      </c>
      <c r="F419" s="4">
        <v>2.168296983758701</v>
      </c>
      <c r="G419" s="4">
        <v>2.173251871611738</v>
      </c>
      <c r="H419" s="5">
        <f>G419/F419-1</f>
        <v>0.0022851518450428543</v>
      </c>
      <c r="I419" s="5">
        <f>G419/E419-1</f>
        <v>-0.03922963603592633</v>
      </c>
      <c r="J419" s="5">
        <v>-0.04580211154065239</v>
      </c>
      <c r="K419" s="4">
        <v>2969803785.358644</v>
      </c>
    </row>
    <row r="420" spans="1:11">
      <c r="A420" s="1" t="s">
        <v>2516</v>
      </c>
      <c r="B420" s="1" t="s">
        <v>2517</v>
      </c>
      <c r="C420" s="1" t="s">
        <v>70</v>
      </c>
      <c r="D420" s="1" t="s">
        <v>100</v>
      </c>
      <c r="E420" s="4">
        <v>6.306009244992296</v>
      </c>
      <c r="F420" s="4">
        <v>5.5912499785168</v>
      </c>
      <c r="G420" s="4">
        <v>5.630909560278806</v>
      </c>
      <c r="H420" s="5">
        <f>G420/F420-1</f>
        <v>0.007093151247822949</v>
      </c>
      <c r="I420" s="5">
        <f>G420/E420-1</f>
        <v>-0.10705656437938105</v>
      </c>
      <c r="J420" s="5">
        <v>-0.1133457371701599</v>
      </c>
      <c r="K420" s="4">
        <v>2900518503.944515</v>
      </c>
    </row>
    <row r="421" spans="1:11">
      <c r="A421" s="1" t="s">
        <v>2518</v>
      </c>
      <c r="B421" s="1" t="s">
        <v>2519</v>
      </c>
      <c r="C421" s="1" t="s">
        <v>70</v>
      </c>
      <c r="D421" s="1" t="s">
        <v>100</v>
      </c>
      <c r="E421" s="4">
        <v>47.815</v>
      </c>
      <c r="F421" s="4">
        <v>43.58</v>
      </c>
      <c r="G421" s="4">
        <v>43.16</v>
      </c>
      <c r="H421" s="5">
        <f>G421/F421-1</f>
        <v>-0.009637448370812374</v>
      </c>
      <c r="I421" s="5">
        <f>G421/E421-1</f>
        <v>-0.09735438669873475</v>
      </c>
      <c r="J421" s="5">
        <v>-0.1045643153526972</v>
      </c>
      <c r="K421" s="4">
        <v>4316000000</v>
      </c>
    </row>
    <row r="422" spans="1:11">
      <c r="A422" s="1" t="s">
        <v>2520</v>
      </c>
      <c r="B422" s="1" t="s">
        <v>2521</v>
      </c>
      <c r="C422" s="1" t="s">
        <v>70</v>
      </c>
      <c r="D422" s="1" t="s">
        <v>100</v>
      </c>
      <c r="E422" s="4">
        <v>627</v>
      </c>
      <c r="F422" s="4">
        <v>612.5</v>
      </c>
      <c r="G422" s="4">
        <v>612</v>
      </c>
      <c r="H422" s="5">
        <f>G422/F422-1</f>
        <v>-0.0008163265306122547</v>
      </c>
      <c r="I422" s="5">
        <f>G422/E422-1</f>
        <v>-0.02392344497607657</v>
      </c>
      <c r="J422" s="5">
        <v>-0.04000000000000004</v>
      </c>
      <c r="K422" s="4">
        <v>6958440000</v>
      </c>
    </row>
    <row r="423" spans="1:11">
      <c r="A423" s="1" t="s">
        <v>2522</v>
      </c>
      <c r="B423" s="1" t="s">
        <v>2523</v>
      </c>
      <c r="C423" s="1" t="s">
        <v>47</v>
      </c>
      <c r="D423" s="1" t="s">
        <v>142</v>
      </c>
      <c r="E423" s="4">
        <v>371.1</v>
      </c>
      <c r="F423" s="4">
        <v>357.7</v>
      </c>
      <c r="G423" s="4">
        <v>353.2</v>
      </c>
      <c r="H423" s="5">
        <f>G423/F423-1</f>
        <v>-0.012580374615599688</v>
      </c>
      <c r="I423" s="5">
        <f>G423/E423-1</f>
        <v>-0.0482349770951227</v>
      </c>
      <c r="J423" s="5">
        <v>-0.0482349770951227</v>
      </c>
      <c r="K423" s="4">
        <v>62057466202.13407</v>
      </c>
    </row>
    <row r="424" spans="1:11">
      <c r="A424" s="1" t="s">
        <v>2524</v>
      </c>
      <c r="B424" s="1" t="s">
        <v>2525</v>
      </c>
      <c r="C424" s="1" t="s">
        <v>70</v>
      </c>
      <c r="D424" s="1" t="s">
        <v>71</v>
      </c>
      <c r="E424" s="4">
        <v>39.89</v>
      </c>
      <c r="F424" s="4">
        <v>38.68</v>
      </c>
      <c r="G424" s="4">
        <v>38.99</v>
      </c>
      <c r="H424" s="5">
        <f>G424/F424-1</f>
        <v>0.008014477766287609</v>
      </c>
      <c r="I424" s="5">
        <f>G424/E424-1</f>
        <v>-0.02256204562547004</v>
      </c>
      <c r="J424" s="5">
        <v>-0.0492854051456485</v>
      </c>
      <c r="K424" s="4">
        <v>6861359761.760001</v>
      </c>
    </row>
    <row r="425" spans="1:11">
      <c r="A425" s="1" t="s">
        <v>2526</v>
      </c>
      <c r="B425" s="1" t="s">
        <v>2527</v>
      </c>
      <c r="C425" s="1" t="s">
        <v>54</v>
      </c>
      <c r="D425" s="1" t="s">
        <v>165</v>
      </c>
      <c r="E425" s="4">
        <v>61.15</v>
      </c>
      <c r="F425" s="4">
        <v>64.34999999999999</v>
      </c>
      <c r="G425" s="4">
        <v>64.05</v>
      </c>
      <c r="H425" s="5">
        <f>G425/F425-1</f>
        <v>-0.004662004662004615</v>
      </c>
      <c r="I425" s="5">
        <f>G425/E425-1</f>
        <v>0.04742436631234659</v>
      </c>
      <c r="J425" s="5">
        <v>-0.01909307875894994</v>
      </c>
      <c r="K425" s="4">
        <v>21068582725.05</v>
      </c>
    </row>
    <row r="426" spans="1:11">
      <c r="A426" s="1" t="s">
        <v>2528</v>
      </c>
      <c r="B426" s="1" t="s">
        <v>2529</v>
      </c>
      <c r="C426" s="1" t="s">
        <v>66</v>
      </c>
      <c r="D426" s="1" t="s">
        <v>67</v>
      </c>
      <c r="E426" s="4">
        <v>58.85674192501688</v>
      </c>
      <c r="F426" s="4">
        <v>55.84187157422694</v>
      </c>
      <c r="G426" s="4">
        <v>56.08219265950696</v>
      </c>
      <c r="H426" s="5">
        <f>G426/F426-1</f>
        <v>0.0043036001212919395</v>
      </c>
      <c r="I426" s="5">
        <f>G426/E426-1</f>
        <v>-0.04714072126256452</v>
      </c>
      <c r="J426" s="5">
        <v>-0.05294965868803714</v>
      </c>
      <c r="K426" s="4">
        <v>2764852098.113693</v>
      </c>
    </row>
    <row r="427" spans="1:11">
      <c r="A427" s="1" t="s">
        <v>2530</v>
      </c>
      <c r="B427" s="1" t="s">
        <v>2531</v>
      </c>
      <c r="C427" s="1" t="s">
        <v>37</v>
      </c>
      <c r="D427" s="1" t="s">
        <v>38</v>
      </c>
      <c r="E427" s="4">
        <v>52.85</v>
      </c>
      <c r="F427" s="4">
        <v>52.25</v>
      </c>
      <c r="G427" s="4">
        <v>51.9</v>
      </c>
      <c r="H427" s="5">
        <f>G427/F427-1</f>
        <v>-0.006698564593301426</v>
      </c>
      <c r="I427" s="5">
        <f>G427/E427-1</f>
        <v>-0.01797540208136239</v>
      </c>
      <c r="J427" s="5">
        <v>-0.01797540208136239</v>
      </c>
      <c r="K427" s="4">
        <v>10853595596.4</v>
      </c>
    </row>
    <row r="428" spans="1:11">
      <c r="A428" s="1" t="s">
        <v>2532</v>
      </c>
      <c r="B428" s="1" t="s">
        <v>2533</v>
      </c>
      <c r="C428" s="1" t="s">
        <v>76</v>
      </c>
      <c r="D428" s="1" t="s">
        <v>76</v>
      </c>
      <c r="E428" s="4">
        <v>15.08</v>
      </c>
      <c r="F428" s="4">
        <v>14.87</v>
      </c>
      <c r="G428" s="4">
        <v>14.99</v>
      </c>
      <c r="H428" s="5">
        <f>G428/F428-1</f>
        <v>0.00806993947545398</v>
      </c>
      <c r="I428" s="5">
        <f>G428/E428-1</f>
        <v>-0.005968169761273234</v>
      </c>
      <c r="J428" s="5">
        <v>-0.02683246073298429</v>
      </c>
      <c r="K428" s="4">
        <v>8110789200.000001</v>
      </c>
    </row>
    <row r="429" spans="1:11">
      <c r="A429" s="1" t="s">
        <v>2534</v>
      </c>
      <c r="B429" s="1" t="s">
        <v>2535</v>
      </c>
      <c r="C429" s="1" t="s">
        <v>70</v>
      </c>
      <c r="D429" s="1" t="s">
        <v>71</v>
      </c>
      <c r="E429" s="4">
        <v>30.5024002739257</v>
      </c>
      <c r="F429" s="4">
        <v>31.1336255048552</v>
      </c>
      <c r="G429" s="4">
        <v>30.48136993374065</v>
      </c>
      <c r="H429" s="5">
        <f>G429/F429-1</f>
        <v>-0.02095019646885754</v>
      </c>
      <c r="I429" s="5">
        <f>G429/E429-1</f>
        <v>-0.000689465091146646</v>
      </c>
      <c r="J429" s="5">
        <v>-0.03414068295410355</v>
      </c>
      <c r="K429" s="4">
        <v>53240585859.25893</v>
      </c>
    </row>
    <row r="430" spans="1:11">
      <c r="A430" s="1" t="s">
        <v>2536</v>
      </c>
      <c r="B430" s="1" t="s">
        <v>2537</v>
      </c>
      <c r="C430" s="1" t="s">
        <v>129</v>
      </c>
      <c r="D430" s="1" t="s">
        <v>129</v>
      </c>
      <c r="E430" s="4">
        <v>27.99</v>
      </c>
      <c r="F430" s="4">
        <v>28.34</v>
      </c>
      <c r="G430" s="4">
        <v>27.74</v>
      </c>
      <c r="H430" s="5">
        <f>G430/F430-1</f>
        <v>-0.02117148906139732</v>
      </c>
      <c r="I430" s="5">
        <f>G430/E430-1</f>
        <v>-0.008931761343336952</v>
      </c>
      <c r="J430" s="5">
        <v>-0.05787781350482302</v>
      </c>
      <c r="K430" s="4">
        <v>30225679705.16</v>
      </c>
    </row>
    <row r="431" spans="1:11">
      <c r="A431" s="1" t="s">
        <v>2538</v>
      </c>
      <c r="B431" s="1" t="s">
        <v>2539</v>
      </c>
      <c r="C431" s="1" t="s">
        <v>41</v>
      </c>
      <c r="D431" s="1" t="s">
        <v>58</v>
      </c>
      <c r="E431" s="4">
        <v>121.4</v>
      </c>
      <c r="F431" s="4">
        <v>122.9</v>
      </c>
      <c r="G431" s="4">
        <v>122</v>
      </c>
      <c r="H431" s="5">
        <f>G431/F431-1</f>
        <v>-0.007323026851098535</v>
      </c>
      <c r="I431" s="5">
        <f>G431/E431-1</f>
        <v>0.0049423393739702615</v>
      </c>
      <c r="J431" s="5">
        <v>-0.02334943639291465</v>
      </c>
      <c r="K431" s="4">
        <v>4564194216</v>
      </c>
    </row>
    <row r="432" spans="1:11">
      <c r="A432" s="1" t="s">
        <v>2540</v>
      </c>
      <c r="B432" s="1" t="s">
        <v>2541</v>
      </c>
      <c r="C432" s="1" t="s">
        <v>70</v>
      </c>
      <c r="D432" s="1" t="s">
        <v>100</v>
      </c>
      <c r="E432" s="4">
        <v>1155.4</v>
      </c>
      <c r="F432" s="4">
        <v>1070.2</v>
      </c>
      <c r="G432" s="4">
        <v>1034</v>
      </c>
      <c r="H432" s="5">
        <f>G432/F432-1</f>
        <v>-0.03382545318632035</v>
      </c>
      <c r="I432" s="5">
        <f>G432/E432-1</f>
        <v>-0.10507183659338759</v>
      </c>
      <c r="J432" s="5">
        <v>-0.1186498465734743</v>
      </c>
      <c r="K432" s="4">
        <v>48380412277.99999</v>
      </c>
    </row>
    <row r="433" spans="1:11">
      <c r="A433" s="1" t="s">
        <v>2542</v>
      </c>
      <c r="B433" s="1" t="s">
        <v>2543</v>
      </c>
      <c r="C433" s="1" t="s">
        <v>66</v>
      </c>
      <c r="D433" s="1" t="s">
        <v>67</v>
      </c>
      <c r="E433" s="4">
        <v>68.42</v>
      </c>
      <c r="F433" s="4">
        <v>62.46</v>
      </c>
      <c r="G433" s="4">
        <v>61.76</v>
      </c>
      <c r="H433" s="5">
        <f>G433/F433-1</f>
        <v>-0.011207172590457892</v>
      </c>
      <c r="I433" s="5">
        <f>G433/E433-1</f>
        <v>-0.09733995907629356</v>
      </c>
      <c r="J433" s="5">
        <v>-0.1049275362318841</v>
      </c>
      <c r="K433" s="4">
        <v>15580145483.2</v>
      </c>
    </row>
    <row r="434" spans="1:11">
      <c r="A434" s="1" t="s">
        <v>2544</v>
      </c>
      <c r="B434" s="1" t="s">
        <v>2545</v>
      </c>
      <c r="C434" s="1" t="s">
        <v>54</v>
      </c>
      <c r="D434" s="1" t="s">
        <v>165</v>
      </c>
      <c r="E434" s="4">
        <v>236.7646209256361</v>
      </c>
      <c r="F434" s="4">
        <v>243.3549697976014</v>
      </c>
      <c r="G434" s="4">
        <v>245.0920251722728</v>
      </c>
      <c r="H434" s="5">
        <f>G434/F434-1</f>
        <v>0.007137949046679193</v>
      </c>
      <c r="I434" s="5">
        <f>G434/E434-1</f>
        <v>0.03517165788571175</v>
      </c>
      <c r="J434" s="5">
        <v>-2.743089893120221E-06</v>
      </c>
      <c r="K434" s="4">
        <v>5951704447.872146</v>
      </c>
    </row>
    <row r="435" spans="1:11">
      <c r="A435" s="1" t="s">
        <v>2546</v>
      </c>
      <c r="B435" s="1" t="s">
        <v>2547</v>
      </c>
      <c r="C435" s="1" t="s">
        <v>93</v>
      </c>
      <c r="D435" s="1" t="s">
        <v>93</v>
      </c>
      <c r="E435" s="4">
        <v>89.31177538092794</v>
      </c>
      <c r="F435" s="4">
        <v>88.58243877287961</v>
      </c>
      <c r="G435" s="4">
        <v>88.8962395663024</v>
      </c>
      <c r="H435" s="5">
        <f>G435/F435-1</f>
        <v>0.0035424718236460873</v>
      </c>
      <c r="I435" s="5">
        <f>G435/E435-1</f>
        <v>-0.004652643090490849</v>
      </c>
      <c r="J435" s="5">
        <v>-0.0261000840509138</v>
      </c>
      <c r="K435" s="4">
        <v>152156533914.1953</v>
      </c>
    </row>
    <row r="436" spans="1:11">
      <c r="A436" s="1" t="s">
        <v>2548</v>
      </c>
      <c r="B436" s="1" t="s">
        <v>2549</v>
      </c>
      <c r="C436" s="1" t="s">
        <v>66</v>
      </c>
      <c r="D436" s="1" t="s">
        <v>240</v>
      </c>
      <c r="E436" s="4">
        <v>60.04722136620443</v>
      </c>
      <c r="F436" s="4">
        <v>59.12479161295866</v>
      </c>
      <c r="G436" s="4">
        <v>59.49684192410293</v>
      </c>
      <c r="H436" s="5">
        <f>G436/F436-1</f>
        <v>0.006292627863786482</v>
      </c>
      <c r="I436" s="5">
        <f>G436/E436-1</f>
        <v>-0.009165777026466482</v>
      </c>
      <c r="J436" s="5">
        <v>-0.04803216980403413</v>
      </c>
      <c r="K436" s="4">
        <v>37756987241.07063</v>
      </c>
    </row>
    <row r="437" spans="1:11">
      <c r="A437" s="1" t="s">
        <v>2550</v>
      </c>
      <c r="B437" s="1" t="s">
        <v>2551</v>
      </c>
      <c r="C437" s="1" t="s">
        <v>47</v>
      </c>
      <c r="D437" s="1" t="s">
        <v>331</v>
      </c>
      <c r="E437" s="4">
        <v>1573</v>
      </c>
      <c r="F437" s="4">
        <v>1481.5</v>
      </c>
      <c r="G437" s="4">
        <v>1457</v>
      </c>
      <c r="H437" s="5">
        <f>G437/F437-1</f>
        <v>-0.01653729328383391</v>
      </c>
      <c r="I437" s="5">
        <f>G437/E437-1</f>
        <v>-0.07374443738080105</v>
      </c>
      <c r="J437" s="5">
        <v>-0.08823529411764708</v>
      </c>
      <c r="K437" s="4">
        <v>153814633284</v>
      </c>
    </row>
    <row r="438" spans="1:11">
      <c r="A438" s="1" t="s">
        <v>2552</v>
      </c>
      <c r="B438" s="1" t="s">
        <v>2553</v>
      </c>
      <c r="C438" s="1" t="s">
        <v>138</v>
      </c>
      <c r="D438" s="1" t="s">
        <v>139</v>
      </c>
      <c r="E438" s="4">
        <v>5.965017633966788</v>
      </c>
      <c r="F438" s="4">
        <v>5.851957721062131</v>
      </c>
      <c r="G438" s="4">
        <v>5.712348334910938</v>
      </c>
      <c r="H438" s="5">
        <f>G438/F438-1</f>
        <v>-0.0238568685567766</v>
      </c>
      <c r="I438" s="5">
        <f>G438/E438-1</f>
        <v>-0.04235851669860413</v>
      </c>
      <c r="J438" s="5">
        <v>-0.05461245675248694</v>
      </c>
      <c r="K438" s="4">
        <v>4193290258.861234</v>
      </c>
    </row>
    <row r="439" spans="1:11">
      <c r="A439" s="1" t="s">
        <v>2554</v>
      </c>
      <c r="B439" s="1" t="s">
        <v>2555</v>
      </c>
      <c r="C439" s="1" t="s">
        <v>47</v>
      </c>
      <c r="D439" s="1" t="s">
        <v>142</v>
      </c>
      <c r="E439" s="4">
        <v>28.63</v>
      </c>
      <c r="F439" s="4">
        <v>28.85</v>
      </c>
      <c r="G439" s="4">
        <v>29.14</v>
      </c>
      <c r="H439" s="5">
        <f>G439/F439-1</f>
        <v>0.010051993067590859</v>
      </c>
      <c r="I439" s="5">
        <f>G439/E439-1</f>
        <v>0.01781348236115976</v>
      </c>
      <c r="J439" s="5">
        <v>-0.06830417227456254</v>
      </c>
      <c r="K439" s="4">
        <v>8617347355.76</v>
      </c>
    </row>
    <row r="440" spans="1:11">
      <c r="A440" s="1" t="s">
        <v>2556</v>
      </c>
      <c r="B440" s="1" t="s">
        <v>2557</v>
      </c>
      <c r="C440" s="1" t="s">
        <v>70</v>
      </c>
      <c r="D440" s="1" t="s">
        <v>100</v>
      </c>
      <c r="E440" s="4">
        <v>27.12760741453051</v>
      </c>
      <c r="F440" s="4">
        <v>27.02457608527514</v>
      </c>
      <c r="G440" s="4">
        <v>27.31866350446403</v>
      </c>
      <c r="H440" s="5">
        <f>G440/F440-1</f>
        <v>0.010882221362544575</v>
      </c>
      <c r="I440" s="5">
        <f>G440/E440-1</f>
        <v>0.007042865484376604</v>
      </c>
      <c r="J440" s="5">
        <v>-0.06784237887698141</v>
      </c>
      <c r="K440" s="4">
        <v>5790066933.494911</v>
      </c>
    </row>
    <row r="441" spans="1:11">
      <c r="A441" s="1" t="s">
        <v>2558</v>
      </c>
      <c r="B441" s="1" t="s">
        <v>2559</v>
      </c>
      <c r="C441" s="1" t="s">
        <v>37</v>
      </c>
      <c r="D441" s="1" t="s">
        <v>38</v>
      </c>
      <c r="E441" s="4">
        <v>401.3485053326459</v>
      </c>
      <c r="F441" s="4">
        <v>380.1345501434952</v>
      </c>
      <c r="G441" s="4">
        <v>379.6372692438132</v>
      </c>
      <c r="H441" s="5">
        <f>G441/F441-1</f>
        <v>-0.0013081707503154183</v>
      </c>
      <c r="I441" s="5">
        <f>G441/E441-1</f>
        <v>-0.054095719307184154</v>
      </c>
      <c r="J441" s="5">
        <v>-0.07954274154022067</v>
      </c>
      <c r="K441" s="4">
        <v>308039749766.0817</v>
      </c>
    </row>
    <row r="442" spans="1:11">
      <c r="A442" s="1" t="s">
        <v>2560</v>
      </c>
      <c r="B442" s="1" t="s">
        <v>2561</v>
      </c>
      <c r="C442" s="1" t="s">
        <v>70</v>
      </c>
      <c r="D442" s="1" t="s">
        <v>100</v>
      </c>
      <c r="E442" s="4">
        <v>5.673072761513441</v>
      </c>
      <c r="F442" s="4">
        <v>5.635477184841454</v>
      </c>
      <c r="G442" s="4">
        <v>5.633236382411154</v>
      </c>
      <c r="H442" s="5">
        <f>G442/F442-1</f>
        <v>-0.0003976242573260347</v>
      </c>
      <c r="I442" s="5">
        <f>G442/E442-1</f>
        <v>-0.007022010958953384</v>
      </c>
      <c r="J442" s="5">
        <v>-0.007549400726608591</v>
      </c>
      <c r="K442" s="4">
        <v>4603065258.55759</v>
      </c>
    </row>
    <row r="443" spans="1:11">
      <c r="A443" s="1" t="s">
        <v>2562</v>
      </c>
      <c r="B443" s="1" t="s">
        <v>2563</v>
      </c>
      <c r="C443" s="1" t="s">
        <v>70</v>
      </c>
      <c r="D443" s="1" t="s">
        <v>100</v>
      </c>
      <c r="E443" s="4">
        <v>17.54238349597672</v>
      </c>
      <c r="F443" s="4">
        <v>17.22766073730343</v>
      </c>
      <c r="G443" s="4">
        <v>17.32784441958524</v>
      </c>
      <c r="H443" s="5">
        <f>G443/F443-1</f>
        <v>0.005815280658788113</v>
      </c>
      <c r="I443" s="5">
        <f>G443/E443-1</f>
        <v>-0.012229756374935397</v>
      </c>
      <c r="J443" s="5">
        <v>-0.04961388770095021</v>
      </c>
      <c r="K443" s="4">
        <v>144108368468.6699</v>
      </c>
    </row>
    <row r="444" spans="1:11">
      <c r="A444" s="1" t="s">
        <v>2564</v>
      </c>
      <c r="B444" s="1" t="s">
        <v>2565</v>
      </c>
      <c r="C444" s="1" t="s">
        <v>70</v>
      </c>
      <c r="D444" s="1" t="s">
        <v>100</v>
      </c>
      <c r="E444" s="4">
        <v>8.612373737373739</v>
      </c>
      <c r="F444" s="4">
        <v>8.577750279281602</v>
      </c>
      <c r="G444" s="4">
        <v>8.66159538766027</v>
      </c>
      <c r="H444" s="5">
        <f>G444/F444-1</f>
        <v>0.00977472013625591</v>
      </c>
      <c r="I444" s="5">
        <f>G444/E444-1</f>
        <v>0.005715224604446956</v>
      </c>
      <c r="J444" s="5">
        <v>-0.02946088238408218</v>
      </c>
      <c r="K444" s="4">
        <v>4066908253.838087</v>
      </c>
    </row>
    <row r="445" spans="1:11">
      <c r="A445" s="1" t="s">
        <v>2566</v>
      </c>
      <c r="B445" s="1" t="s">
        <v>2567</v>
      </c>
      <c r="C445" s="1" t="s">
        <v>70</v>
      </c>
      <c r="D445" s="1" t="s">
        <v>71</v>
      </c>
      <c r="E445" s="4">
        <v>4.019497003937682</v>
      </c>
      <c r="F445" s="4">
        <v>4.086361089627911</v>
      </c>
      <c r="G445" s="4">
        <v>4.053324154547802</v>
      </c>
      <c r="H445" s="5">
        <f>G445/F445-1</f>
        <v>-0.008084683256201819</v>
      </c>
      <c r="I445" s="5">
        <f>G445/E445-1</f>
        <v>0.008415767091499715</v>
      </c>
      <c r="J445" s="5">
        <v>-0.02040529174644401</v>
      </c>
      <c r="K445" s="4">
        <v>10238858481.22165</v>
      </c>
    </row>
    <row r="446" spans="1:11">
      <c r="A446" s="1" t="s">
        <v>2568</v>
      </c>
      <c r="B446" s="1" t="s">
        <v>2569</v>
      </c>
      <c r="C446" s="1" t="s">
        <v>76</v>
      </c>
      <c r="D446" s="1" t="s">
        <v>76</v>
      </c>
      <c r="E446" s="4">
        <v>33.7</v>
      </c>
      <c r="F446" s="4">
        <v>34.18</v>
      </c>
      <c r="G446" s="4">
        <v>33.78</v>
      </c>
      <c r="H446" s="5">
        <f>G446/F446-1</f>
        <v>-0.011702750146284302</v>
      </c>
      <c r="I446" s="5">
        <f>G446/E446-1</f>
        <v>0.002373887240356032</v>
      </c>
      <c r="J446" s="5">
        <v>-0.01422643746295216</v>
      </c>
      <c r="K446" s="4">
        <v>3493161897.72</v>
      </c>
    </row>
    <row r="447" spans="1:11">
      <c r="A447" s="1" t="s">
        <v>2570</v>
      </c>
      <c r="B447" s="1" t="s">
        <v>2571</v>
      </c>
      <c r="C447" s="1" t="s">
        <v>76</v>
      </c>
      <c r="D447" s="1" t="s">
        <v>76</v>
      </c>
      <c r="E447" s="4">
        <v>57.32</v>
      </c>
      <c r="F447" s="4">
        <v>57.98</v>
      </c>
      <c r="G447" s="4">
        <v>58.4</v>
      </c>
      <c r="H447" s="5">
        <f>G447/F447-1</f>
        <v>0.007243877199034188</v>
      </c>
      <c r="I447" s="5">
        <f>G447/E447-1</f>
        <v>0.018841591067690233</v>
      </c>
      <c r="J447" s="5">
        <v>-0.01895093062605757</v>
      </c>
      <c r="K447" s="4">
        <v>45551133869.6</v>
      </c>
    </row>
    <row r="448" spans="1:11">
      <c r="A448" s="1" t="s">
        <v>2572</v>
      </c>
      <c r="B448" s="1" t="s">
        <v>2573</v>
      </c>
      <c r="C448" s="1" t="s">
        <v>70</v>
      </c>
      <c r="D448" s="1" t="s">
        <v>100</v>
      </c>
      <c r="E448" s="4">
        <v>35.79</v>
      </c>
      <c r="F448" s="4">
        <v>35.52</v>
      </c>
      <c r="G448" s="4">
        <v>36.12</v>
      </c>
      <c r="H448" s="5">
        <f>G448/F448-1</f>
        <v>0.016891891891891664</v>
      </c>
      <c r="I448" s="5">
        <f>G448/E448-1</f>
        <v>0.009220452640402277</v>
      </c>
      <c r="J448" s="5">
        <v>-0.0444983818770226</v>
      </c>
      <c r="K448" s="4">
        <v>10727540814.48</v>
      </c>
    </row>
    <row r="449" spans="1:11">
      <c r="A449" s="1" t="s">
        <v>2574</v>
      </c>
      <c r="B449" s="1" t="s">
        <v>2575</v>
      </c>
      <c r="C449" s="1" t="s">
        <v>70</v>
      </c>
      <c r="D449" s="1" t="s">
        <v>243</v>
      </c>
      <c r="E449" s="4">
        <v>23.05</v>
      </c>
      <c r="F449" s="4">
        <v>22.77</v>
      </c>
      <c r="G449" s="4">
        <v>23.3</v>
      </c>
      <c r="H449" s="5">
        <f>G449/F449-1</f>
        <v>0.02327624066754508</v>
      </c>
      <c r="I449" s="5">
        <f>G449/E449-1</f>
        <v>0.010845986984815648</v>
      </c>
      <c r="J449" s="5">
        <v>-0.04887218045112784</v>
      </c>
      <c r="K449" s="4">
        <v>24166001188.9</v>
      </c>
    </row>
    <row r="450" spans="1:11">
      <c r="A450" s="1" t="s">
        <v>2576</v>
      </c>
      <c r="B450" s="1" t="s">
        <v>2577</v>
      </c>
      <c r="C450" s="1" t="s">
        <v>70</v>
      </c>
      <c r="D450" s="1" t="s">
        <v>100</v>
      </c>
      <c r="E450" s="4">
        <v>59.26089261198523</v>
      </c>
      <c r="F450" s="4">
        <v>53.85949989903529</v>
      </c>
      <c r="G450" s="4">
        <v>53.03842762943356</v>
      </c>
      <c r="H450" s="5">
        <f>G450/F450-1</f>
        <v>-0.015244706526070906</v>
      </c>
      <c r="I450" s="5">
        <f>G450/E450-1</f>
        <v>-0.10500120245055522</v>
      </c>
      <c r="J450" s="5">
        <v>-0.1050012024505552</v>
      </c>
      <c r="K450" s="4">
        <v>28820200499.47441</v>
      </c>
    </row>
    <row r="451" spans="1:11">
      <c r="A451" s="1" t="s">
        <v>2578</v>
      </c>
      <c r="B451" s="1" t="s">
        <v>2579</v>
      </c>
      <c r="C451" s="1" t="s">
        <v>54</v>
      </c>
      <c r="D451" s="1" t="s">
        <v>165</v>
      </c>
      <c r="E451" s="4">
        <v>3.68</v>
      </c>
      <c r="F451" s="4">
        <v>3.692</v>
      </c>
      <c r="G451" s="4">
        <v>3.729</v>
      </c>
      <c r="H451" s="5">
        <f>G451/F451-1</f>
        <v>0.010021668472372625</v>
      </c>
      <c r="I451" s="5">
        <f>G451/E451-1</f>
        <v>0.013315217391304257</v>
      </c>
      <c r="J451" s="5">
        <v>-0.02827140549273022</v>
      </c>
      <c r="K451" s="4">
        <v>17781596610.294</v>
      </c>
    </row>
    <row r="452" spans="1:11">
      <c r="A452" s="1" t="s">
        <v>2580</v>
      </c>
      <c r="B452" s="1" t="s">
        <v>2581</v>
      </c>
      <c r="C452" s="1" t="s">
        <v>70</v>
      </c>
      <c r="D452" s="1" t="s">
        <v>100</v>
      </c>
      <c r="E452" s="4">
        <v>343.6</v>
      </c>
      <c r="F452" s="4">
        <v>331.5</v>
      </c>
      <c r="G452" s="4">
        <v>333.5</v>
      </c>
      <c r="H452" s="5">
        <f>G452/F452-1</f>
        <v>0.006033182503770718</v>
      </c>
      <c r="I452" s="5">
        <f>G452/E452-1</f>
        <v>-0.029394644935972103</v>
      </c>
      <c r="J452" s="5">
        <v>-0.06192922374429222</v>
      </c>
      <c r="K452" s="4">
        <v>139517932771</v>
      </c>
    </row>
    <row r="453" spans="1:11">
      <c r="A453" s="1" t="s">
        <v>2582</v>
      </c>
      <c r="B453" s="1" t="s">
        <v>2583</v>
      </c>
      <c r="C453" s="1" t="s">
        <v>116</v>
      </c>
      <c r="D453" s="1" t="s">
        <v>223</v>
      </c>
      <c r="E453" s="4">
        <v>15.1951006697398</v>
      </c>
      <c r="F453" s="4">
        <v>16.0758487234196</v>
      </c>
      <c r="G453" s="4">
        <v>15.91872726102273</v>
      </c>
      <c r="H453" s="5">
        <f>G453/F453-1</f>
        <v>-0.009773758455936421</v>
      </c>
      <c r="I453" s="5">
        <f>G453/E453-1</f>
        <v>0.0476223624318588</v>
      </c>
      <c r="J453" s="5">
        <v>-0.03473523569108816</v>
      </c>
      <c r="K453" s="4">
        <v>5890547774.657947</v>
      </c>
    </row>
    <row r="454" spans="1:11">
      <c r="A454" s="1" t="s">
        <v>2584</v>
      </c>
      <c r="B454" s="1" t="s">
        <v>2585</v>
      </c>
      <c r="C454" s="1" t="s">
        <v>66</v>
      </c>
      <c r="D454" s="1" t="s">
        <v>67</v>
      </c>
      <c r="E454" s="4">
        <v>48.49137368303025</v>
      </c>
      <c r="F454" s="4">
        <v>51.27111833186148</v>
      </c>
      <c r="G454" s="4">
        <v>50.92165402350047</v>
      </c>
      <c r="H454" s="5">
        <f>G454/F454-1</f>
        <v>-0.006816007134836322</v>
      </c>
      <c r="I454" s="5">
        <f>G454/E454-1</f>
        <v>0.050117787059530405</v>
      </c>
      <c r="J454" s="5">
        <v>-0.04310216025795088</v>
      </c>
      <c r="K454" s="4">
        <v>6904819294.127309</v>
      </c>
    </row>
    <row r="455" spans="1:11">
      <c r="A455" s="1" t="s">
        <v>2586</v>
      </c>
      <c r="B455" s="1" t="s">
        <v>2587</v>
      </c>
      <c r="C455" s="1" t="s">
        <v>54</v>
      </c>
      <c r="D455" s="1" t="s">
        <v>55</v>
      </c>
      <c r="E455" s="4">
        <v>9.714</v>
      </c>
      <c r="F455" s="4">
        <v>9.746</v>
      </c>
      <c r="G455" s="4">
        <v>9.68</v>
      </c>
      <c r="H455" s="5">
        <f>G455/F455-1</f>
        <v>-0.006772009029345494</v>
      </c>
      <c r="I455" s="5">
        <f>G455/E455-1</f>
        <v>-0.0035001029442043308</v>
      </c>
      <c r="J455" s="5">
        <v>-0.0178571428571429</v>
      </c>
      <c r="K455" s="4">
        <v>25706932315.68</v>
      </c>
    </row>
    <row r="456" spans="1:11">
      <c r="A456" s="1" t="s">
        <v>2588</v>
      </c>
      <c r="B456" s="1" t="s">
        <v>2589</v>
      </c>
      <c r="C456" s="1" t="s">
        <v>37</v>
      </c>
      <c r="D456" s="1" t="s">
        <v>38</v>
      </c>
      <c r="E456" s="4">
        <v>78.94</v>
      </c>
      <c r="F456" s="4">
        <v>76.27</v>
      </c>
      <c r="G456" s="4">
        <v>76.26000000000001</v>
      </c>
      <c r="H456" s="5">
        <f>G456/F456-1</f>
        <v>-0.00013111315064884277</v>
      </c>
      <c r="I456" s="5">
        <f>G456/E456-1</f>
        <v>-0.03394983531796292</v>
      </c>
      <c r="J456" s="5">
        <v>-0.03394983531796292</v>
      </c>
      <c r="K456" s="4">
        <v>92104798950.18001</v>
      </c>
    </row>
    <row r="457" spans="1:11">
      <c r="A457" s="1" t="s">
        <v>2590</v>
      </c>
      <c r="B457" s="1" t="s">
        <v>2591</v>
      </c>
      <c r="C457" s="1" t="s">
        <v>54</v>
      </c>
      <c r="D457" s="1" t="s">
        <v>165</v>
      </c>
      <c r="E457" s="4">
        <v>12.55</v>
      </c>
      <c r="F457" s="4">
        <v>12.902</v>
      </c>
      <c r="G457" s="4">
        <v>12.868</v>
      </c>
      <c r="H457" s="5">
        <f>G457/F457-1</f>
        <v>-0.0026352503487830914</v>
      </c>
      <c r="I457" s="5">
        <f>G457/E457-1</f>
        <v>0.025338645418326644</v>
      </c>
      <c r="J457" s="5">
        <v>-0.01321793863099929</v>
      </c>
      <c r="K457" s="4">
        <v>193266627315.92</v>
      </c>
    </row>
    <row r="458" spans="1:11">
      <c r="A458" s="1" t="s">
        <v>2592</v>
      </c>
      <c r="B458" s="1" t="s">
        <v>2593</v>
      </c>
      <c r="C458" s="1" t="s">
        <v>70</v>
      </c>
      <c r="D458" s="1" t="s">
        <v>100</v>
      </c>
      <c r="E458" s="4">
        <v>34.44222818474356</v>
      </c>
      <c r="F458" s="4">
        <v>34.26030092289312</v>
      </c>
      <c r="G458" s="4">
        <v>35.10398815446561</v>
      </c>
      <c r="H458" s="5">
        <f>G458/F458-1</f>
        <v>0.02462579746369742</v>
      </c>
      <c r="I458" s="5">
        <f>G458/E458-1</f>
        <v>0.019213622480301007</v>
      </c>
      <c r="J458" s="5">
        <v>-0.07069565899277153</v>
      </c>
      <c r="K458" s="4">
        <v>44033948582.12041</v>
      </c>
    </row>
    <row r="459" spans="1:11">
      <c r="A459" s="1" t="s">
        <v>2594</v>
      </c>
      <c r="B459" s="1" t="s">
        <v>2595</v>
      </c>
      <c r="C459" s="1" t="s">
        <v>41</v>
      </c>
      <c r="D459" s="1" t="s">
        <v>58</v>
      </c>
      <c r="E459" s="4">
        <v>188.12</v>
      </c>
      <c r="F459" s="4">
        <v>185.58</v>
      </c>
      <c r="G459" s="4">
        <v>185.68</v>
      </c>
      <c r="H459" s="5">
        <f>G459/F459-1</f>
        <v>0.0005388511693069642</v>
      </c>
      <c r="I459" s="5">
        <f>G459/E459-1</f>
        <v>-0.012970444397193304</v>
      </c>
      <c r="J459" s="5">
        <v>-0.05164122935396198</v>
      </c>
      <c r="K459" s="4">
        <v>228108665797.76</v>
      </c>
    </row>
    <row r="460" spans="1:11">
      <c r="A460" s="1" t="s">
        <v>2596</v>
      </c>
      <c r="B460" s="1" t="s">
        <v>2597</v>
      </c>
      <c r="C460" s="1" t="s">
        <v>54</v>
      </c>
      <c r="D460" s="1" t="s">
        <v>113</v>
      </c>
      <c r="E460" s="4">
        <v>33.37495325674992</v>
      </c>
      <c r="F460" s="4">
        <v>32.42203122582048</v>
      </c>
      <c r="G460" s="4">
        <v>32.01742882686199</v>
      </c>
      <c r="H460" s="5">
        <f>G460/F460-1</f>
        <v>-0.012479242776012756</v>
      </c>
      <c r="I460" s="5">
        <f>G460/E460-1</f>
        <v>-0.04067494625219803</v>
      </c>
      <c r="J460" s="5">
        <v>-0.0603248043451734</v>
      </c>
      <c r="K460" s="4">
        <v>7976982048.929101</v>
      </c>
    </row>
    <row r="461" spans="1:11">
      <c r="A461" s="1" t="s">
        <v>2598</v>
      </c>
      <c r="B461" s="1" t="s">
        <v>2599</v>
      </c>
      <c r="C461" s="1" t="s">
        <v>54</v>
      </c>
      <c r="D461" s="1" t="s">
        <v>165</v>
      </c>
      <c r="E461" s="4">
        <v>20.21625170641052</v>
      </c>
      <c r="F461" s="4">
        <v>20.8693811982577</v>
      </c>
      <c r="G461" s="4">
        <v>21.0167553878811</v>
      </c>
      <c r="H461" s="5">
        <f>G461/F461-1</f>
        <v>0.007061742186956321</v>
      </c>
      <c r="I461" s="5">
        <f>G461/E461-1</f>
        <v>0.03959703772469081</v>
      </c>
      <c r="J461" s="5">
        <v>-0.01295435449571281</v>
      </c>
      <c r="K461" s="4">
        <v>7811964630.896804</v>
      </c>
    </row>
    <row r="462" spans="1:11">
      <c r="A462" s="1" t="s">
        <v>2600</v>
      </c>
      <c r="B462" s="1" t="s">
        <v>2601</v>
      </c>
      <c r="C462" s="1" t="s">
        <v>129</v>
      </c>
      <c r="D462" s="1" t="s">
        <v>129</v>
      </c>
      <c r="E462" s="4">
        <v>34.44</v>
      </c>
      <c r="F462" s="4">
        <v>35.48</v>
      </c>
      <c r="G462" s="4">
        <v>35.32</v>
      </c>
      <c r="H462" s="5">
        <f>G462/F462-1</f>
        <v>-0.004509582863585049</v>
      </c>
      <c r="I462" s="5">
        <f>G462/E462-1</f>
        <v>0.025551684088269466</v>
      </c>
      <c r="J462" s="5">
        <v>-0.02264808362369342</v>
      </c>
      <c r="K462" s="4">
        <v>6052483411.8</v>
      </c>
    </row>
    <row r="463" spans="1:11">
      <c r="A463" s="1" t="s">
        <v>2602</v>
      </c>
      <c r="B463" s="1" t="s">
        <v>2603</v>
      </c>
      <c r="C463" s="1" t="s">
        <v>54</v>
      </c>
      <c r="D463" s="1" t="s">
        <v>165</v>
      </c>
      <c r="E463" s="4">
        <v>17.80503772156393</v>
      </c>
      <c r="F463" s="4">
        <v>18.98604679743932</v>
      </c>
      <c r="G463" s="4">
        <v>19.06321556988863</v>
      </c>
      <c r="H463" s="5">
        <f>G463/F463-1</f>
        <v>0.0040644992226461785</v>
      </c>
      <c r="I463" s="5">
        <f>G463/E463-1</f>
        <v>0.07066414955138822</v>
      </c>
      <c r="J463" s="5">
        <v>-0.01970392966893064</v>
      </c>
      <c r="K463" s="4">
        <v>3303415767.084496</v>
      </c>
    </row>
    <row r="464" spans="1:11">
      <c r="A464" s="1" t="s">
        <v>2604</v>
      </c>
      <c r="B464" s="1" t="s">
        <v>2605</v>
      </c>
      <c r="C464" s="1" t="s">
        <v>66</v>
      </c>
      <c r="D464" s="1" t="s">
        <v>214</v>
      </c>
      <c r="E464" s="4">
        <v>3.894544598527649</v>
      </c>
      <c r="F464" s="4">
        <v>3.916435507433187</v>
      </c>
      <c r="G464" s="4">
        <v>3.966068324584804</v>
      </c>
      <c r="H464" s="5">
        <f>G464/F464-1</f>
        <v>0.012672956584479866</v>
      </c>
      <c r="I464" s="5">
        <f>G464/E464-1</f>
        <v>0.018365106432262968</v>
      </c>
      <c r="J464" s="5">
        <v>-0.01230395685575658</v>
      </c>
      <c r="K464" s="4">
        <v>8783453337.989853</v>
      </c>
    </row>
    <row r="465" spans="1:11">
      <c r="A465" s="1" t="s">
        <v>2606</v>
      </c>
      <c r="B465" s="1" t="s">
        <v>2607</v>
      </c>
      <c r="C465" s="1" t="s">
        <v>93</v>
      </c>
      <c r="D465" s="1" t="s">
        <v>93</v>
      </c>
      <c r="E465" s="4">
        <v>10.0486647881434</v>
      </c>
      <c r="F465" s="4">
        <v>10.27718916427133</v>
      </c>
      <c r="G465" s="4">
        <v>10.43850967935917</v>
      </c>
      <c r="H465" s="5">
        <f>G465/F465-1</f>
        <v>0.015696949088829237</v>
      </c>
      <c r="I465" s="5">
        <f>G465/E465-1</f>
        <v>0.038795690714626296</v>
      </c>
      <c r="J465" s="5">
        <v>-0.009253909363314161</v>
      </c>
      <c r="K465" s="4">
        <v>7334147396.018466</v>
      </c>
    </row>
    <row r="466" spans="1:11">
      <c r="A466" s="1" t="s">
        <v>2608</v>
      </c>
      <c r="B466" s="1" t="s">
        <v>2609</v>
      </c>
      <c r="C466" s="1" t="s">
        <v>70</v>
      </c>
      <c r="D466" s="1" t="s">
        <v>100</v>
      </c>
      <c r="E466" s="4">
        <v>278.8923319803529</v>
      </c>
      <c r="F466" s="4">
        <v>277.8767567107851</v>
      </c>
      <c r="G466" s="4">
        <v>277.1245724508059</v>
      </c>
      <c r="H466" s="5">
        <f>G466/F466-1</f>
        <v>-0.0027068988024859797</v>
      </c>
      <c r="I466" s="5">
        <f>G466/E466-1</f>
        <v>-0.006338501732889079</v>
      </c>
      <c r="J466" s="5">
        <v>-0.03461838572408016</v>
      </c>
      <c r="K466" s="4">
        <v>29257528611.03846</v>
      </c>
    </row>
    <row r="467" spans="1:11">
      <c r="A467" s="1" t="s">
        <v>2610</v>
      </c>
      <c r="B467" s="1" t="s">
        <v>2611</v>
      </c>
      <c r="C467" s="1" t="s">
        <v>138</v>
      </c>
      <c r="D467" s="1" t="s">
        <v>258</v>
      </c>
      <c r="E467" s="4">
        <v>672.1198345426897</v>
      </c>
      <c r="F467" s="4">
        <v>674.9654144202875</v>
      </c>
      <c r="G467" s="4">
        <v>673.6700562071587</v>
      </c>
      <c r="H467" s="5">
        <f>G467/F467-1</f>
        <v>-0.0019191475377169365</v>
      </c>
      <c r="I467" s="5">
        <f>G467/E467-1</f>
        <v>0.0023064661758178673</v>
      </c>
      <c r="J467" s="5">
        <v>-0.03157175352781527</v>
      </c>
      <c r="K467" s="4">
        <v>34897417852.45003</v>
      </c>
    </row>
    <row r="468" spans="1:11">
      <c r="A468" s="1" t="s">
        <v>2612</v>
      </c>
      <c r="B468" s="1" t="s">
        <v>2613</v>
      </c>
      <c r="C468" s="1" t="s">
        <v>54</v>
      </c>
      <c r="D468" s="1" t="s">
        <v>55</v>
      </c>
      <c r="E468" s="4">
        <v>33.38</v>
      </c>
      <c r="F468" s="4">
        <v>34.44</v>
      </c>
      <c r="G468" s="4">
        <v>33.9</v>
      </c>
      <c r="H468" s="5">
        <f>G468/F468-1</f>
        <v>-0.015679442508710784</v>
      </c>
      <c r="I468" s="5">
        <f>G468/E468-1</f>
        <v>0.015578190533253267</v>
      </c>
      <c r="J468" s="5">
        <v>-0.01567944250871078</v>
      </c>
      <c r="K468" s="4">
        <v>6081703120.8</v>
      </c>
    </row>
    <row r="469" spans="1:11">
      <c r="A469" s="1" t="s">
        <v>2614</v>
      </c>
      <c r="B469" s="1" t="s">
        <v>2615</v>
      </c>
      <c r="C469" s="1" t="s">
        <v>70</v>
      </c>
      <c r="D469" s="1" t="s">
        <v>100</v>
      </c>
      <c r="E469" s="4">
        <v>4.29</v>
      </c>
      <c r="F469" s="4">
        <v>4.262</v>
      </c>
      <c r="G469" s="4">
        <v>4.306</v>
      </c>
      <c r="H469" s="5">
        <f>G469/F469-1</f>
        <v>0.010323791647114167</v>
      </c>
      <c r="I469" s="5">
        <f>G469/E469-1</f>
        <v>0.0037296037296037365</v>
      </c>
      <c r="J469" s="5">
        <v>-0.03968620212275031</v>
      </c>
      <c r="K469" s="4">
        <v>3469689291.452</v>
      </c>
    </row>
    <row r="470" spans="1:11">
      <c r="A470" s="1" t="s">
        <v>2616</v>
      </c>
      <c r="B470" s="1" t="s">
        <v>2617</v>
      </c>
      <c r="C470" s="1" t="s">
        <v>93</v>
      </c>
      <c r="D470" s="1" t="s">
        <v>93</v>
      </c>
      <c r="E470" s="4">
        <v>16.38</v>
      </c>
      <c r="F470" s="4">
        <v>16.83</v>
      </c>
      <c r="G470" s="4">
        <v>16.83</v>
      </c>
      <c r="H470" s="5">
        <f>G470/F470-1</f>
        <v>0.0</v>
      </c>
      <c r="I470" s="5">
        <f>G470/E470-1</f>
        <v>0.027472527472527375</v>
      </c>
      <c r="J470" s="5">
        <v>-0.01709401709401692</v>
      </c>
      <c r="K470" s="4">
        <v>3014253000</v>
      </c>
    </row>
    <row r="471" spans="1:11">
      <c r="A471" s="1" t="s">
        <v>2618</v>
      </c>
      <c r="B471" s="1" t="s">
        <v>2619</v>
      </c>
      <c r="C471" s="1" t="s">
        <v>54</v>
      </c>
      <c r="D471" s="1" t="s">
        <v>55</v>
      </c>
      <c r="E471" s="4">
        <v>10.74941020373224</v>
      </c>
      <c r="F471" s="4">
        <v>10.76583311850133</v>
      </c>
      <c r="G471" s="4">
        <v>10.84880819206609</v>
      </c>
      <c r="H471" s="5">
        <f>G471/F471-1</f>
        <v>0.0077072598703169515</v>
      </c>
      <c r="I471" s="5">
        <f>G471/E471-1</f>
        <v>0.009246831821464685</v>
      </c>
      <c r="J471" s="5">
        <v>-0.03711089700568526</v>
      </c>
      <c r="K471" s="4">
        <v>10922984770.01532</v>
      </c>
    </row>
    <row r="472" spans="1:11">
      <c r="A472" s="1" t="s">
        <v>2620</v>
      </c>
      <c r="B472" s="1" t="s">
        <v>2621</v>
      </c>
      <c r="C472" s="1" t="s">
        <v>54</v>
      </c>
      <c r="D472" s="1" t="s">
        <v>113</v>
      </c>
      <c r="E472" s="4">
        <v>6.819832220510188</v>
      </c>
      <c r="F472" s="4">
        <v>6.808662026295438</v>
      </c>
      <c r="G472" s="4">
        <v>6.805954737113847</v>
      </c>
      <c r="H472" s="5">
        <f>G472/F472-1</f>
        <v>-0.0003976242573261457</v>
      </c>
      <c r="I472" s="5">
        <f>G472/E472-1</f>
        <v>-0.002034871672444538</v>
      </c>
      <c r="J472" s="5">
        <v>-0.0031764792790131</v>
      </c>
      <c r="K472" s="4">
        <v>10962428052.6268</v>
      </c>
    </row>
    <row r="473" spans="1:11">
      <c r="A473" s="1" t="s">
        <v>2622</v>
      </c>
      <c r="B473" s="1" t="s">
        <v>2623</v>
      </c>
      <c r="C473" s="1" t="s">
        <v>37</v>
      </c>
      <c r="D473" s="1" t="s">
        <v>38</v>
      </c>
      <c r="E473" s="4">
        <v>78.90195323152975</v>
      </c>
      <c r="F473" s="4">
        <v>75.02459171976528</v>
      </c>
      <c r="G473" s="4">
        <v>72.69468830674249</v>
      </c>
      <c r="H473" s="5">
        <f>G473/F473-1</f>
        <v>-0.031055196164552767</v>
      </c>
      <c r="I473" s="5">
        <f>G473/E473-1</f>
        <v>-0.07867061169667966</v>
      </c>
      <c r="J473" s="5">
        <v>-0.08315255912474329</v>
      </c>
      <c r="K473" s="4">
        <v>31985662854.9667</v>
      </c>
    </row>
    <row r="474" spans="1:11">
      <c r="A474" s="1" t="s">
        <v>2624</v>
      </c>
      <c r="B474" s="1" t="s">
        <v>2625</v>
      </c>
      <c r="C474" s="1" t="s">
        <v>54</v>
      </c>
      <c r="D474" s="1" t="s">
        <v>165</v>
      </c>
      <c r="E474" s="4">
        <v>19.84407789845781</v>
      </c>
      <c r="F474" s="4">
        <v>20.37415580922181</v>
      </c>
      <c r="G474" s="4">
        <v>20.38209002047286</v>
      </c>
      <c r="H474" s="5">
        <f>G474/F474-1</f>
        <v>0.00038942527608676336</v>
      </c>
      <c r="I474" s="5">
        <f>G474/E474-1</f>
        <v>0.027111973898109598</v>
      </c>
      <c r="J474" s="5">
        <v>-0.008584089348010693</v>
      </c>
      <c r="K474" s="4">
        <v>40471106669.36127</v>
      </c>
    </row>
    <row r="475" spans="1:11">
      <c r="A475" s="1" t="s">
        <v>2626</v>
      </c>
      <c r="B475" s="1" t="s">
        <v>2627</v>
      </c>
      <c r="C475" s="1" t="s">
        <v>37</v>
      </c>
      <c r="D475" s="1" t="s">
        <v>51</v>
      </c>
      <c r="E475" s="4">
        <v>25.14427372730753</v>
      </c>
      <c r="F475" s="4">
        <v>26.20435430925123</v>
      </c>
      <c r="G475" s="4">
        <v>26.13226905936122</v>
      </c>
      <c r="H475" s="5">
        <f>G475/F475-1</f>
        <v>-0.00275088823175329</v>
      </c>
      <c r="I475" s="5">
        <f>G475/E475-1</f>
        <v>0.03929305506170544</v>
      </c>
      <c r="J475" s="5">
        <v>-0.04964278317059467</v>
      </c>
      <c r="K475" s="4">
        <v>5098951727.243369</v>
      </c>
    </row>
    <row r="476" spans="1:11">
      <c r="A476" s="1" t="s">
        <v>2628</v>
      </c>
      <c r="B476" s="1" t="s">
        <v>2629</v>
      </c>
      <c r="C476" s="1" t="s">
        <v>70</v>
      </c>
      <c r="D476" s="1" t="s">
        <v>71</v>
      </c>
      <c r="E476" s="4">
        <v>13.2685789776835</v>
      </c>
      <c r="F476" s="4">
        <v>13.58877795679191</v>
      </c>
      <c r="G476" s="4">
        <v>13.66904845081601</v>
      </c>
      <c r="H476" s="5">
        <f>G476/F476-1</f>
        <v>0.005907116466200346</v>
      </c>
      <c r="I476" s="5">
        <f>G476/E476-1</f>
        <v>0.030181790665455788</v>
      </c>
      <c r="J476" s="5">
        <v>-0.01365497337191957</v>
      </c>
      <c r="K476" s="4">
        <v>7837730574.625039</v>
      </c>
    </row>
    <row r="477" spans="1:11">
      <c r="A477" s="1" t="s">
        <v>2630</v>
      </c>
      <c r="B477" s="1" t="s">
        <v>2631</v>
      </c>
      <c r="C477" s="1" t="s">
        <v>138</v>
      </c>
      <c r="D477" s="1" t="s">
        <v>139</v>
      </c>
      <c r="E477" s="4">
        <v>4.922</v>
      </c>
      <c r="F477" s="4">
        <v>4.854</v>
      </c>
      <c r="G477" s="4">
        <v>4.774</v>
      </c>
      <c r="H477" s="5">
        <f>G477/F477-1</f>
        <v>-0.016481252575195726</v>
      </c>
      <c r="I477" s="5">
        <f>G477/E477-1</f>
        <v>-0.0300690776107273</v>
      </c>
      <c r="J477" s="5">
        <v>-0.06063055780113191</v>
      </c>
      <c r="K477" s="4">
        <v>1990787698.0992</v>
      </c>
    </row>
    <row r="478" spans="1:11">
      <c r="A478" s="1" t="s">
        <v>2632</v>
      </c>
      <c r="B478" s="1" t="s">
        <v>2633</v>
      </c>
      <c r="C478" s="1" t="s">
        <v>70</v>
      </c>
      <c r="D478" s="1" t="s">
        <v>100</v>
      </c>
      <c r="E478" s="4">
        <v>137.4159152975992</v>
      </c>
      <c r="F478" s="4">
        <v>142.8836738267275</v>
      </c>
      <c r="G478" s="4">
        <v>143.347629955367</v>
      </c>
      <c r="H478" s="5">
        <f>G478/F478-1</f>
        <v>0.0032470898613801147</v>
      </c>
      <c r="I478" s="5">
        <f>G478/E478-1</f>
        <v>0.04316614014411346</v>
      </c>
      <c r="J478" s="5">
        <v>-0.01392396023216003</v>
      </c>
      <c r="K478" s="4">
        <v>5576222805.263776</v>
      </c>
    </row>
    <row r="479" spans="1:11">
      <c r="A479" s="1" t="s">
        <v>2634</v>
      </c>
      <c r="B479" s="1" t="s">
        <v>2635</v>
      </c>
      <c r="C479" s="1" t="s">
        <v>37</v>
      </c>
      <c r="D479" s="1" t="s">
        <v>38</v>
      </c>
      <c r="E479" s="4">
        <v>85.75137793648783</v>
      </c>
      <c r="F479" s="4">
        <v>75.44044718836547</v>
      </c>
      <c r="G479" s="4">
        <v>74.97038510276982</v>
      </c>
      <c r="H479" s="5">
        <f>G479/F479-1</f>
        <v>-0.006230902693643348</v>
      </c>
      <c r="I479" s="5">
        <f>G479/E479-1</f>
        <v>-0.12572384366468137</v>
      </c>
      <c r="J479" s="5">
        <v>-0.1257238436646814</v>
      </c>
      <c r="K479" s="4">
        <v>3390910518.198279</v>
      </c>
    </row>
    <row r="480" spans="1:11">
      <c r="A480" s="1" t="s">
        <v>2636</v>
      </c>
      <c r="B480" s="1" t="s">
        <v>2637</v>
      </c>
      <c r="C480" s="1" t="s">
        <v>41</v>
      </c>
      <c r="D480" s="1" t="s">
        <v>58</v>
      </c>
      <c r="E480" s="4">
        <v>12.822218798151</v>
      </c>
      <c r="F480" s="4">
        <v>12.45345020194208</v>
      </c>
      <c r="G480" s="4">
        <v>12.23326736081232</v>
      </c>
      <c r="H480" s="5">
        <f>G480/F480-1</f>
        <v>-0.01768046907156884</v>
      </c>
      <c r="I480" s="5">
        <f>G480/E480-1</f>
        <v>-0.045932100099836504</v>
      </c>
      <c r="J480" s="5">
        <v>-0.0528695696703102</v>
      </c>
      <c r="K480" s="4">
        <v>11075934367.86821</v>
      </c>
    </row>
    <row r="481" spans="1:11">
      <c r="A481" s="1" t="s">
        <v>2638</v>
      </c>
      <c r="B481" s="1" t="s">
        <v>2639</v>
      </c>
      <c r="C481" s="1" t="s">
        <v>70</v>
      </c>
      <c r="D481" s="1" t="s">
        <v>100</v>
      </c>
      <c r="E481" s="4">
        <v>81.2</v>
      </c>
      <c r="F481" s="4">
        <v>75.5</v>
      </c>
      <c r="G481" s="4">
        <v>75.78</v>
      </c>
      <c r="H481" s="5">
        <f>G481/F481-1</f>
        <v>0.0037086092715232777</v>
      </c>
      <c r="I481" s="5">
        <f>G481/E481-1</f>
        <v>-0.06674876847290645</v>
      </c>
      <c r="J481" s="5">
        <v>-0.088456865127582</v>
      </c>
      <c r="K481" s="4">
        <v>37498521959.82</v>
      </c>
    </row>
    <row r="482" spans="1:11">
      <c r="A482" s="1" t="s">
        <v>2640</v>
      </c>
      <c r="B482" s="1" t="s">
        <v>2641</v>
      </c>
      <c r="C482" s="1" t="s">
        <v>116</v>
      </c>
      <c r="D482" s="1" t="s">
        <v>117</v>
      </c>
      <c r="E482" s="4">
        <v>11.18032083547338</v>
      </c>
      <c r="F482" s="4">
        <v>10.9892968978259</v>
      </c>
      <c r="G482" s="4">
        <v>11.05473195077877</v>
      </c>
      <c r="H482" s="5">
        <f>G482/F482-1</f>
        <v>0.005954434897997185</v>
      </c>
      <c r="I482" s="5">
        <f>G482/E482-1</f>
        <v>-0.011233030477635242</v>
      </c>
      <c r="J482" s="5">
        <v>-0.03052486554279676</v>
      </c>
      <c r="K482" s="4">
        <v>14969294892.30256</v>
      </c>
    </row>
    <row r="483" spans="1:11">
      <c r="A483" s="1" t="s">
        <v>2642</v>
      </c>
      <c r="B483" s="1" t="s">
        <v>2643</v>
      </c>
      <c r="C483" s="1" t="s">
        <v>70</v>
      </c>
      <c r="D483" s="1" t="s">
        <v>71</v>
      </c>
      <c r="E483" s="4">
        <v>98.88389425847456</v>
      </c>
      <c r="F483" s="4">
        <v>97.97128321790839</v>
      </c>
      <c r="G483" s="4">
        <v>96.79155251140581</v>
      </c>
      <c r="H483" s="5">
        <f>G483/F483-1</f>
        <v>-0.012041596963455303</v>
      </c>
      <c r="I483" s="5">
        <f>G483/E483-1</f>
        <v>-0.02115958076650515</v>
      </c>
      <c r="J483" s="5">
        <v>-0.03054833369590759</v>
      </c>
      <c r="K483" s="4">
        <v>19304107232.87477</v>
      </c>
    </row>
    <row r="484" spans="1:11">
      <c r="A484" s="1" t="s">
        <v>2644</v>
      </c>
      <c r="B484" s="1" t="s">
        <v>2645</v>
      </c>
      <c r="C484" s="1" t="s">
        <v>54</v>
      </c>
      <c r="D484" s="1" t="s">
        <v>165</v>
      </c>
      <c r="E484" s="4">
        <v>13.29119073463252</v>
      </c>
      <c r="F484" s="4">
        <v>13.46712775625033</v>
      </c>
      <c r="G484" s="4">
        <v>13.57006258316692</v>
      </c>
      <c r="H484" s="5">
        <f>G484/F484-1</f>
        <v>0.00764341356075815</v>
      </c>
      <c r="I484" s="5">
        <f>G484/E484-1</f>
        <v>0.020981705409414353</v>
      </c>
      <c r="J484" s="5">
        <v>-0.01811466903344294</v>
      </c>
      <c r="K484" s="4">
        <v>27141916917.551</v>
      </c>
    </row>
    <row r="485" spans="1:11">
      <c r="A485" s="1" t="s">
        <v>2646</v>
      </c>
      <c r="B485" s="1" t="s">
        <v>2647</v>
      </c>
      <c r="C485" s="1" t="s">
        <v>116</v>
      </c>
      <c r="D485" s="1" t="s">
        <v>117</v>
      </c>
      <c r="E485" s="4">
        <v>1.762179250128403</v>
      </c>
      <c r="F485" s="4">
        <v>1.710894560453725</v>
      </c>
      <c r="G485" s="4">
        <v>1.706724034076242</v>
      </c>
      <c r="H485" s="5">
        <f>G485/F485-1</f>
        <v>-0.0024376291057807142</v>
      </c>
      <c r="I485" s="5">
        <f>G485/E485-1</f>
        <v>-0.03146967940300094</v>
      </c>
      <c r="J485" s="5">
        <v>-0.06114769867166714</v>
      </c>
      <c r="K485" s="4">
        <v>3345086279.775944</v>
      </c>
    </row>
    <row r="486" spans="1:11">
      <c r="A486" s="1" t="s">
        <v>2648</v>
      </c>
      <c r="B486" s="1" t="s">
        <v>2649</v>
      </c>
      <c r="C486" s="1" t="s">
        <v>129</v>
      </c>
      <c r="D486" s="1" t="s">
        <v>129</v>
      </c>
      <c r="E486" s="4">
        <v>39.91</v>
      </c>
      <c r="F486" s="4">
        <v>40.04</v>
      </c>
      <c r="G486" s="4">
        <v>40.105</v>
      </c>
      <c r="H486" s="5">
        <f>G486/F486-1</f>
        <v>0.0016233766233766378</v>
      </c>
      <c r="I486" s="5">
        <f>G486/E486-1</f>
        <v>0.004885993485342022</v>
      </c>
      <c r="J486" s="5">
        <v>-0.02881483337509394</v>
      </c>
      <c r="K486" s="4">
        <v>230817094402.83</v>
      </c>
    </row>
    <row r="487" spans="1:11">
      <c r="A487" s="1" t="s">
        <v>2650</v>
      </c>
      <c r="B487" s="1" t="s">
        <v>2651</v>
      </c>
      <c r="C487" s="1" t="s">
        <v>37</v>
      </c>
      <c r="D487" s="1" t="s">
        <v>51</v>
      </c>
      <c r="E487" s="4">
        <v>40.2</v>
      </c>
      <c r="F487" s="4">
        <v>38.81</v>
      </c>
      <c r="G487" s="4">
        <v>39</v>
      </c>
      <c r="H487" s="5">
        <f>G487/F487-1</f>
        <v>0.00489564545220289</v>
      </c>
      <c r="I487" s="5">
        <f>G487/E487-1</f>
        <v>-0.029850746268656803</v>
      </c>
      <c r="J487" s="5">
        <v>-0.03911859371131465</v>
      </c>
      <c r="K487" s="4">
        <v>43992000000</v>
      </c>
    </row>
    <row r="488" spans="1:11">
      <c r="A488" s="1" t="s">
        <v>2652</v>
      </c>
      <c r="B488" s="1" t="s">
        <v>2653</v>
      </c>
      <c r="C488" s="1" t="s">
        <v>70</v>
      </c>
      <c r="D488" s="1" t="s">
        <v>100</v>
      </c>
      <c r="E488" s="4">
        <v>280.35</v>
      </c>
      <c r="F488" s="4">
        <v>270.6</v>
      </c>
      <c r="G488" s="4">
        <v>272.65</v>
      </c>
      <c r="H488" s="5">
        <f>G488/F488-1</f>
        <v>0.007575757575757347</v>
      </c>
      <c r="I488" s="5">
        <f>G488/E488-1</f>
        <v>-0.027465667915106295</v>
      </c>
      <c r="J488" s="5">
        <v>-0.06641366223908918</v>
      </c>
      <c r="K488" s="4">
        <v>213212300000</v>
      </c>
    </row>
    <row r="489" spans="1:11">
      <c r="A489" s="1" t="s">
        <v>2654</v>
      </c>
      <c r="B489" s="1" t="s">
        <v>2655</v>
      </c>
      <c r="C489" s="1" t="s">
        <v>93</v>
      </c>
      <c r="D489" s="1" t="s">
        <v>93</v>
      </c>
      <c r="E489" s="4">
        <v>14.42546544725963</v>
      </c>
      <c r="F489" s="4">
        <v>14.40565995073947</v>
      </c>
      <c r="G489" s="4">
        <v>14.48364035602447</v>
      </c>
      <c r="H489" s="5">
        <f>G489/F489-1</f>
        <v>0.005413178261298501</v>
      </c>
      <c r="I489" s="5">
        <f>G489/E489-1</f>
        <v>0.004032792493076309</v>
      </c>
      <c r="J489" s="5">
        <v>-0.03703293450086864</v>
      </c>
      <c r="K489" s="4">
        <v>5536673828.631865</v>
      </c>
    </row>
    <row r="490" spans="1:11">
      <c r="A490" s="1" t="s">
        <v>2656</v>
      </c>
      <c r="B490" s="1" t="s">
        <v>2657</v>
      </c>
      <c r="C490" s="1" t="s">
        <v>93</v>
      </c>
      <c r="D490" s="1" t="s">
        <v>93</v>
      </c>
      <c r="E490" s="4">
        <v>198.5371466741363</v>
      </c>
      <c r="F490" s="4">
        <v>201.849846682086</v>
      </c>
      <c r="G490" s="4">
        <v>204.1214953259102</v>
      </c>
      <c r="H490" s="5">
        <f>G490/F490-1</f>
        <v>0.011254150950146924</v>
      </c>
      <c r="I490" s="5">
        <f>G490/E490-1</f>
        <v>0.0281274751114442</v>
      </c>
      <c r="J490" s="5">
        <v>-0.03289878277845582</v>
      </c>
      <c r="K490" s="4">
        <v>32757273256.00487</v>
      </c>
    </row>
    <row r="491" spans="1:11">
      <c r="A491" s="1" t="s">
        <v>2658</v>
      </c>
      <c r="B491" s="1" t="s">
        <v>2659</v>
      </c>
      <c r="C491" s="1" t="s">
        <v>70</v>
      </c>
      <c r="D491" s="1" t="s">
        <v>100</v>
      </c>
      <c r="E491" s="4">
        <v>24.51114453273504</v>
      </c>
      <c r="F491" s="4">
        <v>24.27597335251816</v>
      </c>
      <c r="G491" s="4">
        <v>24.46750673980825</v>
      </c>
      <c r="H491" s="5">
        <f>G491/F491-1</f>
        <v>0.007889833478920805</v>
      </c>
      <c r="I491" s="5">
        <f>G491/E491-1</f>
        <v>-0.0017803245731146111</v>
      </c>
      <c r="J491" s="5">
        <v>-0.03628886026754841</v>
      </c>
      <c r="K491" s="4">
        <v>10273981244.22619</v>
      </c>
    </row>
    <row r="492" spans="1:11">
      <c r="A492" s="1" t="s">
        <v>2660</v>
      </c>
      <c r="B492" s="1" t="s">
        <v>2661</v>
      </c>
      <c r="C492" s="1" t="s">
        <v>70</v>
      </c>
      <c r="D492" s="1" t="s">
        <v>100</v>
      </c>
      <c r="E492" s="4">
        <v>23.74234479646844</v>
      </c>
      <c r="F492" s="4">
        <v>24.33004010831442</v>
      </c>
      <c r="G492" s="4">
        <v>24.70147333606975</v>
      </c>
      <c r="H492" s="5">
        <f>G492/F492-1</f>
        <v>0.015266445353223856</v>
      </c>
      <c r="I492" s="5">
        <f>G492/E492-1</f>
        <v>0.040397380621983725</v>
      </c>
      <c r="J492" s="5">
        <v>-0.04986432559063714</v>
      </c>
      <c r="K492" s="4">
        <v>11253046819.29135</v>
      </c>
    </row>
    <row r="493" spans="1:11">
      <c r="A493" s="1" t="s">
        <v>2662</v>
      </c>
      <c r="B493" s="1" t="s">
        <v>2663</v>
      </c>
      <c r="C493" s="1" t="s">
        <v>54</v>
      </c>
      <c r="D493" s="1" t="s">
        <v>55</v>
      </c>
      <c r="E493" s="4">
        <v>971.5283840480341</v>
      </c>
      <c r="F493" s="4">
        <v>993.7879403470898</v>
      </c>
      <c r="G493" s="4">
        <v>997.9036791551661</v>
      </c>
      <c r="H493" s="5">
        <f>G493/F493-1</f>
        <v>0.004141465840930669</v>
      </c>
      <c r="I493" s="5">
        <f>G493/E493-1</f>
        <v>0.02714824964478635</v>
      </c>
      <c r="J493" s="5">
        <v>-0.01368993145143316</v>
      </c>
      <c r="K493" s="4">
        <v>27892246071.47738</v>
      </c>
    </row>
    <row r="494" spans="1:11">
      <c r="A494" s="1" t="s">
        <v>2664</v>
      </c>
      <c r="B494" s="1" t="s">
        <v>2665</v>
      </c>
      <c r="C494" s="1" t="s">
        <v>70</v>
      </c>
      <c r="D494" s="1" t="s">
        <v>100</v>
      </c>
      <c r="E494" s="4">
        <v>30.36226673514809</v>
      </c>
      <c r="F494" s="4">
        <v>29.58567328349231</v>
      </c>
      <c r="G494" s="4">
        <v>29.86476206866879</v>
      </c>
      <c r="H494" s="5">
        <f>G494/F494-1</f>
        <v>0.00943324096437581</v>
      </c>
      <c r="I494" s="5">
        <f>G494/E494-1</f>
        <v>-0.016385623340281597</v>
      </c>
      <c r="J494" s="5">
        <v>-0.03555879561900754</v>
      </c>
      <c r="K494" s="4">
        <v>8626162215.695381</v>
      </c>
    </row>
    <row r="495" spans="1:11">
      <c r="A495" s="1" t="s">
        <v>2666</v>
      </c>
      <c r="B495" s="1" t="s">
        <v>2667</v>
      </c>
      <c r="C495" s="1" t="s">
        <v>37</v>
      </c>
      <c r="D495" s="1" t="s">
        <v>51</v>
      </c>
      <c r="E495" s="4">
        <v>12.48940164355419</v>
      </c>
      <c r="F495" s="4">
        <v>12.2439529088253</v>
      </c>
      <c r="G495" s="4">
        <v>12.37869374408399</v>
      </c>
      <c r="H495" s="5">
        <f>G495/F495-1</f>
        <v>0.011004684211221472</v>
      </c>
      <c r="I495" s="5">
        <f>G495/E495-1</f>
        <v>-0.00886414758927534</v>
      </c>
      <c r="J495" s="5">
        <v>-0.03189159489213378</v>
      </c>
      <c r="K495" s="4">
        <v>10366130163.56238</v>
      </c>
    </row>
    <row r="496" spans="1:11">
      <c r="A496" s="1" t="s">
        <v>2668</v>
      </c>
      <c r="B496" s="1" t="s">
        <v>2669</v>
      </c>
      <c r="C496" s="1" t="s">
        <v>37</v>
      </c>
      <c r="D496" s="1" t="s">
        <v>38</v>
      </c>
      <c r="E496" s="4">
        <v>41.60563278619232</v>
      </c>
      <c r="F496" s="4">
        <v>41.45117944379493</v>
      </c>
      <c r="G496" s="4">
        <v>40.92615691528059</v>
      </c>
      <c r="H496" s="5">
        <f>G496/F496-1</f>
        <v>-0.012666045588069164</v>
      </c>
      <c r="I496" s="5">
        <f>G496/E496-1</f>
        <v>-0.01633134326795338</v>
      </c>
      <c r="J496" s="5">
        <v>-0.04737309977523896</v>
      </c>
      <c r="K496" s="4">
        <v>14627533850.5976</v>
      </c>
    </row>
    <row r="497" spans="1:11">
      <c r="A497" s="1" t="s">
        <v>2670</v>
      </c>
      <c r="B497" s="1" t="s">
        <v>2671</v>
      </c>
      <c r="C497" s="1" t="s">
        <v>54</v>
      </c>
      <c r="D497" s="1" t="s">
        <v>113</v>
      </c>
      <c r="E497" s="4">
        <v>243.6</v>
      </c>
      <c r="F497" s="4">
        <v>249</v>
      </c>
      <c r="G497" s="4">
        <v>252</v>
      </c>
      <c r="H497" s="5">
        <f>G497/F497-1</f>
        <v>0.012048192771084265</v>
      </c>
      <c r="I497" s="5">
        <f>G497/E497-1</f>
        <v>0.034482758620689724</v>
      </c>
      <c r="J497" s="5">
        <v>-0.03220611916264093</v>
      </c>
      <c r="K497" s="4">
        <v>9247499855.999998</v>
      </c>
    </row>
    <row r="498" spans="1:11">
      <c r="A498" s="1" t="s">
        <v>2672</v>
      </c>
      <c r="B498" s="1" t="s">
        <v>2673</v>
      </c>
      <c r="C498" s="1" t="s">
        <v>41</v>
      </c>
      <c r="D498" s="1" t="s">
        <v>63</v>
      </c>
      <c r="E498" s="4">
        <v>109.8</v>
      </c>
      <c r="F498" s="4">
        <v>123.5</v>
      </c>
      <c r="G498" s="4">
        <v>128.3</v>
      </c>
      <c r="H498" s="5">
        <f>G498/F498-1</f>
        <v>0.03886639676113379</v>
      </c>
      <c r="I498" s="5">
        <f>G498/E498-1</f>
        <v>0.1684881602914392</v>
      </c>
      <c r="J498" s="5">
        <v>-0.04612708029485568</v>
      </c>
      <c r="K498" s="4">
        <v>4589549524.500001</v>
      </c>
    </row>
    <row r="499" spans="1:11">
      <c r="A499" s="1" t="s">
        <v>2674</v>
      </c>
      <c r="B499" s="1" t="s">
        <v>2675</v>
      </c>
      <c r="C499" s="1" t="s">
        <v>37</v>
      </c>
      <c r="D499" s="1" t="s">
        <v>51</v>
      </c>
      <c r="E499" s="4">
        <v>260.9406416459854</v>
      </c>
      <c r="F499" s="4">
        <v>252.0723917361074</v>
      </c>
      <c r="G499" s="4">
        <v>249.6886017323455</v>
      </c>
      <c r="H499" s="5">
        <f>G499/F499-1</f>
        <v>-0.009456767507714403</v>
      </c>
      <c r="I499" s="5">
        <f>G499/E499-1</f>
        <v>-0.0431210709173675</v>
      </c>
      <c r="J499" s="5">
        <v>-0.05447371759523401</v>
      </c>
      <c r="K499" s="4">
        <v>14888134564.97163</v>
      </c>
    </row>
    <row r="500" spans="1:11">
      <c r="A500" s="1" t="s">
        <v>2676</v>
      </c>
      <c r="B500" s="1" t="s">
        <v>2677</v>
      </c>
      <c r="C500" s="1" t="s">
        <v>41</v>
      </c>
      <c r="D500" s="1" t="s">
        <v>58</v>
      </c>
      <c r="E500" s="4">
        <v>183.9</v>
      </c>
      <c r="F500" s="4">
        <v>176.1</v>
      </c>
      <c r="G500" s="4">
        <v>171.8</v>
      </c>
      <c r="H500" s="5">
        <f>G500/F500-1</f>
        <v>-0.024417944349801157</v>
      </c>
      <c r="I500" s="5">
        <f>G500/E500-1</f>
        <v>-0.06579662860250135</v>
      </c>
      <c r="J500" s="5">
        <v>-0.07123436650353454</v>
      </c>
      <c r="K500" s="4">
        <v>3382662628.4</v>
      </c>
    </row>
    <row r="501" spans="1:11">
      <c r="A501" s="1" t="s">
        <v>2678</v>
      </c>
      <c r="B501" s="1" t="s">
        <v>2679</v>
      </c>
      <c r="C501" s="1" t="s">
        <v>70</v>
      </c>
      <c r="D501" s="1" t="s">
        <v>71</v>
      </c>
      <c r="E501" s="4">
        <v>45.32</v>
      </c>
      <c r="F501" s="4">
        <v>43.28</v>
      </c>
      <c r="G501" s="4">
        <v>43.8</v>
      </c>
      <c r="H501" s="5">
        <f>G501/F501-1</f>
        <v>0.012014787430683738</v>
      </c>
      <c r="I501" s="5">
        <f>G501/E501-1</f>
        <v>-0.033539276257722905</v>
      </c>
      <c r="J501" s="5">
        <v>-0.04898499558693736</v>
      </c>
      <c r="K501" s="4">
        <v>7417881933</v>
      </c>
    </row>
    <row r="502" spans="1:11">
      <c r="A502" s="1" t="s">
        <v>2680</v>
      </c>
      <c r="B502" s="1" t="s">
        <v>2681</v>
      </c>
      <c r="C502" s="1" t="s">
        <v>129</v>
      </c>
      <c r="D502" s="1" t="s">
        <v>129</v>
      </c>
      <c r="E502" s="4">
        <v>4.484</v>
      </c>
      <c r="F502" s="4">
        <v>4.407</v>
      </c>
      <c r="G502" s="4">
        <v>4.352</v>
      </c>
      <c r="H502" s="5">
        <f>G502/F502-1</f>
        <v>-0.012480145223508043</v>
      </c>
      <c r="I502" s="5">
        <f>G502/E502-1</f>
        <v>-0.02943800178412126</v>
      </c>
      <c r="J502" s="5">
        <v>-0.04665936473165389</v>
      </c>
      <c r="K502" s="4">
        <v>8684989863.424</v>
      </c>
    </row>
    <row r="503" spans="1:11">
      <c r="A503" s="1" t="s">
        <v>2682</v>
      </c>
      <c r="B503" s="1" t="s">
        <v>2683</v>
      </c>
      <c r="C503" s="1" t="s">
        <v>116</v>
      </c>
      <c r="D503" s="1" t="s">
        <v>223</v>
      </c>
      <c r="E503" s="4">
        <v>137.7364811964272</v>
      </c>
      <c r="F503" s="4">
        <v>132.9671203447233</v>
      </c>
      <c r="G503" s="4">
        <v>133.564260551885</v>
      </c>
      <c r="H503" s="5">
        <f>G503/F503-1</f>
        <v>0.004490886210166467</v>
      </c>
      <c r="I503" s="5">
        <f>G503/E503-1</f>
        <v>-0.03029132593123396</v>
      </c>
      <c r="J503" s="5">
        <v>-0.04455800852471425</v>
      </c>
      <c r="K503" s="4">
        <v>10716444967.71765</v>
      </c>
    </row>
    <row r="504" spans="1:11">
      <c r="A504" s="1" t="s">
        <v>2684</v>
      </c>
      <c r="B504" s="1" t="s">
        <v>2685</v>
      </c>
      <c r="C504" s="1" t="s">
        <v>70</v>
      </c>
      <c r="D504" s="1" t="s">
        <v>100</v>
      </c>
      <c r="E504" s="4">
        <v>82.44523198082521</v>
      </c>
      <c r="F504" s="4">
        <v>79.84174615450719</v>
      </c>
      <c r="G504" s="4">
        <v>80.97341020566216</v>
      </c>
      <c r="H504" s="5">
        <f>G504/F504-1</f>
        <v>0.014173838945919393</v>
      </c>
      <c r="I504" s="5">
        <f>G504/E504-1</f>
        <v>-0.017852115153309978</v>
      </c>
      <c r="J504" s="5">
        <v>-0.05011603976607093</v>
      </c>
      <c r="K504" s="4">
        <v>5977946868.566906</v>
      </c>
    </row>
    <row r="505" spans="1:11">
      <c r="A505" s="1" t="s">
        <v>2686</v>
      </c>
      <c r="B505" s="1" t="s">
        <v>2687</v>
      </c>
      <c r="C505" s="1" t="s">
        <v>54</v>
      </c>
      <c r="D505" s="1" t="s">
        <v>113</v>
      </c>
      <c r="E505" s="4">
        <v>42.52840924451358</v>
      </c>
      <c r="F505" s="4">
        <v>45.08299798055253</v>
      </c>
      <c r="G505" s="4">
        <v>44.59940356326477</v>
      </c>
      <c r="H505" s="5">
        <f>G505/F505-1</f>
        <v>-0.010726758178246532</v>
      </c>
      <c r="I505" s="5">
        <f>G505/E505-1</f>
        <v>0.048696726624411824</v>
      </c>
      <c r="J505" s="5">
        <v>-0.02826766373701839</v>
      </c>
      <c r="K505" s="4">
        <v>6836272397.163281</v>
      </c>
    </row>
    <row r="506" spans="1:11">
      <c r="A506" s="1" t="s">
        <v>2688</v>
      </c>
      <c r="B506" s="1" t="s">
        <v>2689</v>
      </c>
      <c r="C506" s="1" t="s">
        <v>54</v>
      </c>
      <c r="D506" s="1" t="s">
        <v>55</v>
      </c>
      <c r="E506" s="4">
        <v>148.8494323557976</v>
      </c>
      <c r="F506" s="4">
        <v>153.1201161307319</v>
      </c>
      <c r="G506" s="4">
        <v>151.9080781834137</v>
      </c>
      <c r="H506" s="5">
        <f>G506/F506-1</f>
        <v>-0.00791560232545363</v>
      </c>
      <c r="I506" s="5">
        <f>G506/E506-1</f>
        <v>0.020548589129349315</v>
      </c>
      <c r="J506" s="5">
        <v>-0.00791560232545363</v>
      </c>
      <c r="K506" s="4">
        <v>45384317200.89038</v>
      </c>
    </row>
    <row r="507" spans="1:11">
      <c r="A507" s="1" t="s">
        <v>2690</v>
      </c>
      <c r="B507" s="1" t="s">
        <v>2691</v>
      </c>
      <c r="C507" s="1" t="s">
        <v>76</v>
      </c>
      <c r="D507" s="1" t="s">
        <v>76</v>
      </c>
      <c r="E507" s="4">
        <v>5.786</v>
      </c>
      <c r="F507" s="4">
        <v>5.6</v>
      </c>
      <c r="G507" s="4">
        <v>5.66</v>
      </c>
      <c r="H507" s="5">
        <f>G507/F507-1</f>
        <v>0.010714285714285898</v>
      </c>
      <c r="I507" s="5">
        <f>G507/E507-1</f>
        <v>-0.021776702385067348</v>
      </c>
      <c r="J507" s="5">
        <v>-0.04567143830947529</v>
      </c>
      <c r="K507" s="4">
        <v>19022455198.94</v>
      </c>
    </row>
    <row r="508" spans="1:11">
      <c r="A508" s="1" t="s">
        <v>2692</v>
      </c>
      <c r="B508" s="1" t="s">
        <v>2693</v>
      </c>
      <c r="C508" s="1" t="s">
        <v>70</v>
      </c>
      <c r="D508" s="1" t="s">
        <v>71</v>
      </c>
      <c r="E508" s="4">
        <v>3.036226673514809</v>
      </c>
      <c r="F508" s="4">
        <v>2.991155796167397</v>
      </c>
      <c r="G508" s="4">
        <v>2.943429997418467</v>
      </c>
      <c r="H508" s="5">
        <f>G508/F508-1</f>
        <v>-0.01595563788756238</v>
      </c>
      <c r="I508" s="5">
        <f>G508/E508-1</f>
        <v>-0.030563158181111105</v>
      </c>
      <c r="J508" s="5">
        <v>-0.03813600071809919</v>
      </c>
      <c r="K508" s="4">
        <v>2852481760.428053</v>
      </c>
    </row>
    <row r="509" spans="1:11">
      <c r="A509" s="1" t="s">
        <v>2694</v>
      </c>
      <c r="B509" s="1" t="s">
        <v>2695</v>
      </c>
      <c r="C509" s="1" t="s">
        <v>37</v>
      </c>
      <c r="D509" s="1" t="s">
        <v>38</v>
      </c>
      <c r="E509" s="4">
        <v>246.8</v>
      </c>
      <c r="F509" s="4">
        <v>244.8</v>
      </c>
      <c r="G509" s="4">
        <v>237.2</v>
      </c>
      <c r="H509" s="5">
        <f>G509/F509-1</f>
        <v>-0.03104575163398704</v>
      </c>
      <c r="I509" s="5">
        <f>G509/E509-1</f>
        <v>-0.03889789303079427</v>
      </c>
      <c r="J509" s="5">
        <v>-0.06429980276134128</v>
      </c>
      <c r="K509" s="4">
        <v>15975648000</v>
      </c>
    </row>
    <row r="510" spans="1:11">
      <c r="A510" s="1" t="s">
        <v>2696</v>
      </c>
      <c r="B510" s="1" t="s">
        <v>2697</v>
      </c>
      <c r="C510" s="1" t="s">
        <v>93</v>
      </c>
      <c r="D510" s="1" t="s">
        <v>93</v>
      </c>
      <c r="E510" s="4">
        <v>8.814967329005006</v>
      </c>
      <c r="F510" s="4">
        <v>9.32200981187084</v>
      </c>
      <c r="G510" s="4">
        <v>9.547636870517305</v>
      </c>
      <c r="H510" s="5">
        <f>G510/F510-1</f>
        <v>0.02420369246545384</v>
      </c>
      <c r="I510" s="5">
        <f>G510/E510-1</f>
        <v>0.08311653511199113</v>
      </c>
      <c r="J510" s="5">
        <v>-0.04178696016514016</v>
      </c>
      <c r="K510" s="4">
        <v>9503358657.997696</v>
      </c>
    </row>
    <row r="511" spans="1:11">
      <c r="A511" s="1" t="s">
        <v>2698</v>
      </c>
      <c r="B511" s="1" t="s">
        <v>2699</v>
      </c>
      <c r="C511" s="1" t="s">
        <v>76</v>
      </c>
      <c r="D511" s="1" t="s">
        <v>76</v>
      </c>
      <c r="E511" s="4">
        <v>27.86321862694745</v>
      </c>
      <c r="F511" s="4">
        <v>27.64200395290883</v>
      </c>
      <c r="G511" s="4">
        <v>27.9334996988211</v>
      </c>
      <c r="H511" s="5">
        <f>G511/F511-1</f>
        <v>0.010545391224488387</v>
      </c>
      <c r="I511" s="5">
        <f>G511/E511-1</f>
        <v>0.0025223601341475277</v>
      </c>
      <c r="J511" s="5">
        <v>-0.03980943839085005</v>
      </c>
      <c r="K511" s="4">
        <v>33866681238.01656</v>
      </c>
    </row>
    <row r="512" spans="1:11">
      <c r="A512" s="1" t="s">
        <v>2700</v>
      </c>
      <c r="B512" s="1" t="s">
        <v>2701</v>
      </c>
      <c r="C512" s="1" t="s">
        <v>54</v>
      </c>
      <c r="D512" s="1" t="s">
        <v>165</v>
      </c>
      <c r="E512" s="4">
        <v>25.24739256976545</v>
      </c>
      <c r="F512" s="4">
        <v>25.95438686946807</v>
      </c>
      <c r="G512" s="4">
        <v>26.10694432492901</v>
      </c>
      <c r="H512" s="5">
        <f>G512/F512-1</f>
        <v>0.005877906352717677</v>
      </c>
      <c r="I512" s="5">
        <f>G512/E512-1</f>
        <v>0.0340451693294026</v>
      </c>
      <c r="J512" s="5">
        <v>-0.02564164614887421</v>
      </c>
      <c r="K512" s="4">
        <v>56988936903.93159</v>
      </c>
    </row>
    <row r="513" spans="1:11">
      <c r="A513" s="1" t="s">
        <v>2702</v>
      </c>
      <c r="B513" s="1" t="s">
        <v>2703</v>
      </c>
      <c r="C513" s="1" t="s">
        <v>54</v>
      </c>
      <c r="D513" s="1" t="s">
        <v>55</v>
      </c>
      <c r="E513" s="4">
        <v>18.58605737746534</v>
      </c>
      <c r="F513" s="4">
        <v>18.97216472568881</v>
      </c>
      <c r="G513" s="4">
        <v>19.03544012223945</v>
      </c>
      <c r="H513" s="5">
        <f>G513/F513-1</f>
        <v>0.0033351701013304424</v>
      </c>
      <c r="I513" s="5">
        <f>G513/E513-1</f>
        <v>0.02417848689733204</v>
      </c>
      <c r="J513" s="5">
        <v>-0.01049903115674189</v>
      </c>
      <c r="K513" s="4">
        <v>8085562759.182714</v>
      </c>
    </row>
    <row r="514" spans="1:11">
      <c r="A514" s="1" t="s">
        <v>2704</v>
      </c>
      <c r="B514" s="1" t="s">
        <v>2705</v>
      </c>
      <c r="C514" s="1" t="s">
        <v>93</v>
      </c>
      <c r="D514" s="1" t="s">
        <v>93</v>
      </c>
      <c r="E514" s="4">
        <v>9.821999999999999</v>
      </c>
      <c r="F514" s="4">
        <v>10.015</v>
      </c>
      <c r="G514" s="4">
        <v>10.18</v>
      </c>
      <c r="H514" s="5">
        <f>G514/F514-1</f>
        <v>0.016475287069395828</v>
      </c>
      <c r="I514" s="5">
        <f>G514/E514-1</f>
        <v>0.03644878843412758</v>
      </c>
      <c r="J514" s="5">
        <v>-0.01524090462143557</v>
      </c>
      <c r="K514" s="4">
        <v>8022886111.14</v>
      </c>
    </row>
    <row r="515" spans="1:11">
      <c r="A515" s="1" t="s">
        <v>2706</v>
      </c>
      <c r="B515" s="1" t="s">
        <v>2707</v>
      </c>
      <c r="C515" s="1" t="s">
        <v>54</v>
      </c>
      <c r="D515" s="1" t="s">
        <v>113</v>
      </c>
      <c r="E515" s="4">
        <v>13.87322033898305</v>
      </c>
      <c r="F515" s="4">
        <v>13.50675603677924</v>
      </c>
      <c r="G515" s="4">
        <v>13.49556836761036</v>
      </c>
      <c r="H515" s="5">
        <f>G515/F515-1</f>
        <v>-0.0008283017134842474</v>
      </c>
      <c r="I515" s="5">
        <f>G515/E515-1</f>
        <v>-0.027221651652969414</v>
      </c>
      <c r="J515" s="5">
        <v>-0.04739551650815954</v>
      </c>
      <c r="K515" s="4">
        <v>6910545893.625678</v>
      </c>
    </row>
    <row r="516" spans="1:11">
      <c r="A516" s="1" t="s">
        <v>2708</v>
      </c>
      <c r="B516" s="1" t="s">
        <v>2709</v>
      </c>
      <c r="C516" s="1" t="s">
        <v>47</v>
      </c>
      <c r="D516" s="1" t="s">
        <v>142</v>
      </c>
      <c r="E516" s="4">
        <v>4.646</v>
      </c>
      <c r="F516" s="4">
        <v>4.702</v>
      </c>
      <c r="G516" s="4">
        <v>4.7865</v>
      </c>
      <c r="H516" s="5">
        <f>G516/F516-1</f>
        <v>0.01797107613781379</v>
      </c>
      <c r="I516" s="5">
        <f>G516/E516-1</f>
        <v>0.030241067585019543</v>
      </c>
      <c r="J516" s="5">
        <v>-0.05120386920407949</v>
      </c>
      <c r="K516" s="4">
        <v>13879385045.2801</v>
      </c>
    </row>
    <row r="517" spans="1:11">
      <c r="A517" s="1" t="s">
        <v>2710</v>
      </c>
      <c r="B517" s="1" t="s">
        <v>2711</v>
      </c>
      <c r="C517" s="1" t="s">
        <v>41</v>
      </c>
      <c r="D517" s="1" t="s">
        <v>63</v>
      </c>
      <c r="E517" s="4">
        <v>43.095</v>
      </c>
      <c r="F517" s="4">
        <v>44</v>
      </c>
      <c r="G517" s="4">
        <v>44.815</v>
      </c>
      <c r="H517" s="5">
        <f>G517/F517-1</f>
        <v>0.018522727272727302</v>
      </c>
      <c r="I517" s="5">
        <f>G517/E517-1</f>
        <v>0.039911822717252576</v>
      </c>
      <c r="J517" s="5">
        <v>-0.01960784313725483</v>
      </c>
      <c r="K517" s="4">
        <v>40839099244.8</v>
      </c>
    </row>
    <row r="518" spans="1:11">
      <c r="A518" s="1" t="s">
        <v>2712</v>
      </c>
      <c r="B518" s="1" t="s">
        <v>2713</v>
      </c>
      <c r="C518" s="1" t="s">
        <v>37</v>
      </c>
      <c r="D518" s="1" t="s">
        <v>51</v>
      </c>
      <c r="E518" s="4">
        <v>99.18308909738069</v>
      </c>
      <c r="F518" s="4">
        <v>101.3194528881765</v>
      </c>
      <c r="G518" s="4">
        <v>99.89670888729358</v>
      </c>
      <c r="H518" s="5">
        <f>G518/F518-1</f>
        <v>-0.014042160318938346</v>
      </c>
      <c r="I518" s="5">
        <f>G518/E518-1</f>
        <v>0.007194974429685752</v>
      </c>
      <c r="J518" s="5">
        <v>-0.03364620723116551</v>
      </c>
      <c r="K518" s="4">
        <v>15929053590.93682</v>
      </c>
    </row>
    <row r="519" spans="1:11">
      <c r="A519" s="1" t="s">
        <v>2714</v>
      </c>
      <c r="B519" s="1" t="s">
        <v>2715</v>
      </c>
      <c r="C519" s="1" t="s">
        <v>70</v>
      </c>
      <c r="D519" s="1" t="s">
        <v>100</v>
      </c>
      <c r="E519" s="4">
        <v>296.8</v>
      </c>
      <c r="F519" s="4">
        <v>287.35</v>
      </c>
      <c r="G519" s="4">
        <v>288</v>
      </c>
      <c r="H519" s="5">
        <f>G519/F519-1</f>
        <v>0.002262049765094698</v>
      </c>
      <c r="I519" s="5">
        <f>G519/E519-1</f>
        <v>-0.02964959568733161</v>
      </c>
      <c r="J519" s="5">
        <v>-0.04971002485501241</v>
      </c>
      <c r="K519" s="4">
        <v>166638344544</v>
      </c>
    </row>
    <row r="520" spans="1:11">
      <c r="A520" s="1" t="s">
        <v>2716</v>
      </c>
      <c r="B520" s="1" t="s">
        <v>2717</v>
      </c>
      <c r="C520" s="1" t="s">
        <v>129</v>
      </c>
      <c r="D520" s="1" t="s">
        <v>129</v>
      </c>
      <c r="E520" s="4">
        <v>31.1302645866367</v>
      </c>
      <c r="F520" s="4">
        <v>30.42950127710479</v>
      </c>
      <c r="G520" s="4">
        <v>30.2196870423101</v>
      </c>
      <c r="H520" s="5">
        <f>G520/F520-1</f>
        <v>-0.0068950927878846935</v>
      </c>
      <c r="I520" s="5">
        <f>G520/E520-1</f>
        <v>-0.029250555895290464</v>
      </c>
      <c r="J520" s="5">
        <v>-0.04879276881064276</v>
      </c>
      <c r="K520" s="4">
        <v>9053818237.876106</v>
      </c>
    </row>
    <row r="521" spans="1:11">
      <c r="A521" s="1" t="s">
        <v>2718</v>
      </c>
      <c r="B521" s="1" t="s">
        <v>2719</v>
      </c>
      <c r="C521" s="1" t="s">
        <v>70</v>
      </c>
      <c r="D521" s="1" t="s">
        <v>100</v>
      </c>
      <c r="E521" s="4">
        <v>161.0309365112612</v>
      </c>
      <c r="F521" s="4">
        <v>167.6217427280714</v>
      </c>
      <c r="G521" s="4">
        <v>168.2314173511799</v>
      </c>
      <c r="H521" s="5">
        <f>G521/F521-1</f>
        <v>0.0036372048946993196</v>
      </c>
      <c r="I521" s="5">
        <f>G521/E521-1</f>
        <v>0.044714891411037794</v>
      </c>
      <c r="J521" s="5">
        <v>-0.02006412694943349</v>
      </c>
      <c r="K521" s="4">
        <v>5764007066.910546</v>
      </c>
    </row>
    <row r="522" spans="1:11">
      <c r="A522" s="1" t="s">
        <v>2720</v>
      </c>
      <c r="B522" s="1" t="s">
        <v>2721</v>
      </c>
      <c r="C522" s="1" t="s">
        <v>138</v>
      </c>
      <c r="D522" s="1" t="s">
        <v>258</v>
      </c>
      <c r="E522" s="4">
        <v>45.09293643513752</v>
      </c>
      <c r="F522" s="4">
        <v>44.25128704335218</v>
      </c>
      <c r="G522" s="4">
        <v>43.91882134389211</v>
      </c>
      <c r="H522" s="5">
        <f>G522/F522-1</f>
        <v>-0.0075131306154859745</v>
      </c>
      <c r="I522" s="5">
        <f>G522/E522-1</f>
        <v>-0.02603767206276919</v>
      </c>
      <c r="J522" s="5">
        <v>-0.04773625604735698</v>
      </c>
      <c r="K522" s="4">
        <v>3242976334.901409</v>
      </c>
    </row>
    <row r="523" spans="1:11">
      <c r="A523" s="1" t="s">
        <v>2722</v>
      </c>
      <c r="B523" s="1" t="s">
        <v>2723</v>
      </c>
      <c r="C523" s="1" t="s">
        <v>76</v>
      </c>
      <c r="D523" s="1" t="s">
        <v>76</v>
      </c>
      <c r="E523" s="4">
        <v>36.36465331278891</v>
      </c>
      <c r="F523" s="4">
        <v>34.77655065738593</v>
      </c>
      <c r="G523" s="4">
        <v>34.69291799328801</v>
      </c>
      <c r="H523" s="5">
        <f>G523/F523-1</f>
        <v>-0.002404857943556604</v>
      </c>
      <c r="I523" s="5">
        <f>G523/E523-1</f>
        <v>-0.0459714356444304</v>
      </c>
      <c r="J523" s="5">
        <v>-0.0577964042186293</v>
      </c>
      <c r="K523" s="4">
        <v>10479364734.97675</v>
      </c>
    </row>
    <row r="524" spans="1:11">
      <c r="A524" s="1" t="s">
        <v>2724</v>
      </c>
      <c r="B524" s="1" t="s">
        <v>2725</v>
      </c>
      <c r="C524" s="1" t="s">
        <v>47</v>
      </c>
      <c r="D524" s="1" t="s">
        <v>48</v>
      </c>
      <c r="E524" s="4">
        <v>56.25</v>
      </c>
      <c r="F524" s="4">
        <v>58.45</v>
      </c>
      <c r="G524" s="4">
        <v>58.05</v>
      </c>
      <c r="H524" s="5">
        <f>G524/F524-1</f>
        <v>-0.006843455945252486</v>
      </c>
      <c r="I524" s="5">
        <f>G524/E524-1</f>
        <v>0.03200000000000003</v>
      </c>
      <c r="J524" s="5">
        <v>-0.01614273576890402</v>
      </c>
      <c r="K524" s="4">
        <v>8559756190.350001</v>
      </c>
    </row>
    <row r="525" spans="1:11">
      <c r="A525" s="1" t="s">
        <v>2726</v>
      </c>
      <c r="B525" s="1" t="s">
        <v>2727</v>
      </c>
      <c r="C525" s="1" t="s">
        <v>70</v>
      </c>
      <c r="D525" s="1" t="s">
        <v>100</v>
      </c>
      <c r="E525" s="4">
        <v>11.47772782732132</v>
      </c>
      <c r="F525" s="4">
        <v>11.89468627517594</v>
      </c>
      <c r="G525" s="4">
        <v>11.71632724355658</v>
      </c>
      <c r="H525" s="5">
        <f>G525/F525-1</f>
        <v>-0.014994849590240222</v>
      </c>
      <c r="I525" s="5">
        <f>G525/E525-1</f>
        <v>0.020788035735374688</v>
      </c>
      <c r="J525" s="5">
        <v>-0.01499484959024022</v>
      </c>
      <c r="K525" s="4">
        <v>4254020248.167542</v>
      </c>
    </row>
    <row r="526" spans="1:11">
      <c r="A526" s="1" t="s">
        <v>2728</v>
      </c>
      <c r="B526" s="1" t="s">
        <v>2729</v>
      </c>
      <c r="C526" s="1" t="s">
        <v>54</v>
      </c>
      <c r="D526" s="1" t="s">
        <v>165</v>
      </c>
      <c r="E526" s="4">
        <v>33.79100958461185</v>
      </c>
      <c r="F526" s="4">
        <v>34.45854569414605</v>
      </c>
      <c r="G526" s="4">
        <v>34.72604211435088</v>
      </c>
      <c r="H526" s="5">
        <f>G526/F526-1</f>
        <v>0.007762847062064981</v>
      </c>
      <c r="I526" s="5">
        <f>G526/E526-1</f>
        <v>0.027671044494771202</v>
      </c>
      <c r="J526" s="5">
        <v>-0.01623994824530828</v>
      </c>
      <c r="K526" s="4">
        <v>39310078375.85818</v>
      </c>
    </row>
    <row r="527" spans="1:11">
      <c r="A527" s="1" t="s">
        <v>2730</v>
      </c>
      <c r="B527" s="1" t="s">
        <v>2731</v>
      </c>
      <c r="C527" s="1" t="s">
        <v>93</v>
      </c>
      <c r="D527" s="1" t="s">
        <v>93</v>
      </c>
      <c r="E527" s="4">
        <v>90</v>
      </c>
      <c r="F527" s="4">
        <v>91.48</v>
      </c>
      <c r="G527" s="4">
        <v>90.40000000000001</v>
      </c>
      <c r="H527" s="5">
        <f>G527/F527-1</f>
        <v>-0.011805859204197633</v>
      </c>
      <c r="I527" s="5">
        <f>G527/E527-1</f>
        <v>0.004444444444444473</v>
      </c>
      <c r="J527" s="5">
        <v>-0.02691065662002157</v>
      </c>
      <c r="K527" s="4">
        <v>12635393681.6</v>
      </c>
    </row>
    <row r="528" spans="1:11">
      <c r="A528" s="1" t="s">
        <v>2732</v>
      </c>
      <c r="B528" s="1" t="s">
        <v>2733</v>
      </c>
      <c r="C528" s="1" t="s">
        <v>93</v>
      </c>
      <c r="D528" s="1" t="s">
        <v>93</v>
      </c>
      <c r="E528" s="4">
        <v>79.90000000000001</v>
      </c>
      <c r="F528" s="4">
        <v>81.59999999999999</v>
      </c>
      <c r="G528" s="4">
        <v>81.34999999999999</v>
      </c>
      <c r="H528" s="5">
        <f>G528/F528-1</f>
        <v>-0.0030637254901960675</v>
      </c>
      <c r="I528" s="5">
        <f>G528/E528-1</f>
        <v>0.01814768460575711</v>
      </c>
      <c r="J528" s="5">
        <v>-0.02215384615384608</v>
      </c>
      <c r="K528" s="4">
        <v>8402389477.699999</v>
      </c>
    </row>
    <row r="529" spans="1:11">
      <c r="A529" s="1" t="s">
        <v>2734</v>
      </c>
      <c r="B529" s="1" t="s">
        <v>2735</v>
      </c>
      <c r="C529" s="1" t="s">
        <v>54</v>
      </c>
      <c r="D529" s="1" t="s">
        <v>165</v>
      </c>
      <c r="E529" s="4">
        <v>55.70308166409861</v>
      </c>
      <c r="F529" s="4">
        <v>59.47395376815331</v>
      </c>
      <c r="G529" s="4">
        <v>59.33396437483867</v>
      </c>
      <c r="H529" s="5">
        <f>G529/F529-1</f>
        <v>-0.0023537932900905556</v>
      </c>
      <c r="I529" s="5">
        <f>G529/E529-1</f>
        <v>0.06518279783217484</v>
      </c>
      <c r="J529" s="5">
        <v>-0.02614102313232736</v>
      </c>
      <c r="K529" s="4">
        <v>3306491550.586009</v>
      </c>
    </row>
    <row r="530" spans="1:11">
      <c r="A530" s="1" t="s">
        <v>2736</v>
      </c>
      <c r="B530" s="1" t="s">
        <v>2737</v>
      </c>
      <c r="C530" s="1" t="s">
        <v>54</v>
      </c>
      <c r="D530" s="1" t="s">
        <v>113</v>
      </c>
      <c r="E530" s="4">
        <v>3.844330080465674</v>
      </c>
      <c r="F530" s="4">
        <v>3.871044427257885</v>
      </c>
      <c r="G530" s="4">
        <v>3.871832028224766</v>
      </c>
      <c r="H530" s="5">
        <f>G530/F530-1</f>
        <v>0.00020345955250111736</v>
      </c>
      <c r="I530" s="5">
        <f>G530/E530-1</f>
        <v>0.0071538986464347865</v>
      </c>
      <c r="J530" s="5">
        <v>-0.04943279114541621</v>
      </c>
      <c r="K530" s="4">
        <v>2806175165.976188</v>
      </c>
    </row>
    <row r="531" spans="1:11">
      <c r="A531" s="1" t="s">
        <v>2738</v>
      </c>
      <c r="B531" s="1" t="s">
        <v>2739</v>
      </c>
      <c r="C531" s="1" t="s">
        <v>129</v>
      </c>
      <c r="D531" s="1" t="s">
        <v>129</v>
      </c>
      <c r="E531" s="4">
        <v>29.72</v>
      </c>
      <c r="F531" s="4">
        <v>30.14</v>
      </c>
      <c r="G531" s="4">
        <v>29.92</v>
      </c>
      <c r="H531" s="5">
        <f>G531/F531-1</f>
        <v>-0.007299270072992692</v>
      </c>
      <c r="I531" s="5">
        <f>G531/E531-1</f>
        <v>0.006729475100942128</v>
      </c>
      <c r="J531" s="5">
        <v>-0.05804418670836753</v>
      </c>
      <c r="K531" s="4">
        <v>5395014028.8</v>
      </c>
    </row>
    <row r="532" spans="1:11">
      <c r="A532" s="1" t="s">
        <v>2740</v>
      </c>
      <c r="B532" s="1" t="s">
        <v>2741</v>
      </c>
      <c r="C532" s="1" t="s">
        <v>138</v>
      </c>
      <c r="D532" s="1" t="s">
        <v>258</v>
      </c>
      <c r="E532" s="4">
        <v>3.622</v>
      </c>
      <c r="F532" s="4">
        <v>3.679</v>
      </c>
      <c r="G532" s="4">
        <v>3.681</v>
      </c>
      <c r="H532" s="5">
        <f>G532/F532-1</f>
        <v>0.0005436259853222047</v>
      </c>
      <c r="I532" s="5">
        <f>G532/E532-1</f>
        <v>0.016289342904472814</v>
      </c>
      <c r="J532" s="5">
        <v>-0.0236156351791531</v>
      </c>
      <c r="K532" s="4">
        <v>20871864680.274</v>
      </c>
    </row>
    <row r="533" spans="1:11">
      <c r="A533" s="1" t="s">
        <v>2742</v>
      </c>
      <c r="B533" s="1" t="s">
        <v>2743</v>
      </c>
      <c r="C533" s="1" t="s">
        <v>116</v>
      </c>
      <c r="D533" s="1" t="s">
        <v>223</v>
      </c>
      <c r="E533" s="4">
        <v>12.9</v>
      </c>
      <c r="F533" s="4">
        <v>12.62</v>
      </c>
      <c r="G533" s="4">
        <v>12.33</v>
      </c>
      <c r="H533" s="5">
        <f>G533/F533-1</f>
        <v>-0.022979397781299427</v>
      </c>
      <c r="I533" s="5">
        <f>G533/E533-1</f>
        <v>-0.04418604651162794</v>
      </c>
      <c r="J533" s="5">
        <v>-0.07424242424242411</v>
      </c>
      <c r="K533" s="4">
        <v>2346748432.2</v>
      </c>
    </row>
    <row r="534" spans="1:11">
      <c r="A534" s="1" t="s">
        <v>2744</v>
      </c>
      <c r="B534" s="1" t="s">
        <v>2745</v>
      </c>
      <c r="C534" s="1" t="s">
        <v>138</v>
      </c>
      <c r="D534" s="1" t="s">
        <v>258</v>
      </c>
      <c r="E534" s="4">
        <v>12.35079432268634</v>
      </c>
      <c r="F534" s="4">
        <v>12.47535514645294</v>
      </c>
      <c r="G534" s="4">
        <v>12.31378179113739</v>
      </c>
      <c r="H534" s="5">
        <f>G534/F534-1</f>
        <v>-0.012951403260170191</v>
      </c>
      <c r="I534" s="5">
        <f>G534/E534-1</f>
        <v>-0.0029967733719739043</v>
      </c>
      <c r="J534" s="5">
        <v>-0.02522038955629358</v>
      </c>
      <c r="K534" s="4">
        <v>16849563178.45124</v>
      </c>
    </row>
    <row r="535" spans="1:11">
      <c r="A535" s="1" t="s">
        <v>2746</v>
      </c>
      <c r="B535" s="1" t="s">
        <v>2747</v>
      </c>
      <c r="C535" s="1" t="s">
        <v>138</v>
      </c>
      <c r="D535" s="1" t="s">
        <v>258</v>
      </c>
      <c r="E535" s="4">
        <v>15.12274304750294</v>
      </c>
      <c r="F535" s="4">
        <v>15.35946420911923</v>
      </c>
      <c r="G535" s="4">
        <v>15.19883004175658</v>
      </c>
      <c r="H535" s="5">
        <f>G535/F535-1</f>
        <v>-0.010458318413690604</v>
      </c>
      <c r="I535" s="5">
        <f>G535/E535-1</f>
        <v>0.005031295844585726</v>
      </c>
      <c r="J535" s="5">
        <v>-0.01623495019773957</v>
      </c>
      <c r="K535" s="4">
        <v>10605760044.62737</v>
      </c>
    </row>
    <row r="536" spans="1:11">
      <c r="A536" s="1" t="s">
        <v>2748</v>
      </c>
      <c r="B536" s="1" t="s">
        <v>2749</v>
      </c>
      <c r="C536" s="1" t="s">
        <v>138</v>
      </c>
      <c r="D536" s="1" t="s">
        <v>258</v>
      </c>
      <c r="E536" s="4">
        <v>3.934445709129056</v>
      </c>
      <c r="F536" s="4">
        <v>4.006346604502442</v>
      </c>
      <c r="G536" s="4">
        <v>3.99272995235488</v>
      </c>
      <c r="H536" s="5">
        <f>G536/F536-1</f>
        <v>-0.0033987703740505637</v>
      </c>
      <c r="I536" s="5">
        <f>G536/E536-1</f>
        <v>0.014813838475541408</v>
      </c>
      <c r="J536" s="5">
        <v>-0.01727432844754284</v>
      </c>
      <c r="K536" s="4">
        <v>15699850522.14496</v>
      </c>
    </row>
    <row r="537" spans="1:11">
      <c r="A537" s="1" t="s">
        <v>2750</v>
      </c>
      <c r="B537" s="1" t="s">
        <v>2751</v>
      </c>
      <c r="C537" s="1" t="s">
        <v>41</v>
      </c>
      <c r="D537" s="1" t="s">
        <v>58</v>
      </c>
      <c r="E537" s="4">
        <v>79.50034290934198</v>
      </c>
      <c r="F537" s="4">
        <v>77.78629854969979</v>
      </c>
      <c r="G537" s="4">
        <v>77.36305696775185</v>
      </c>
      <c r="H537" s="5">
        <f>G537/F537-1</f>
        <v>-0.005441081396584613</v>
      </c>
      <c r="I537" s="5">
        <f>G537/E537-1</f>
        <v>-0.026883983934854028</v>
      </c>
      <c r="J537" s="5">
        <v>-0.05601934831400257</v>
      </c>
      <c r="K537" s="4">
        <v>5306390795.978338</v>
      </c>
    </row>
    <row r="538" spans="1:11">
      <c r="A538" s="1" t="s">
        <v>2752</v>
      </c>
      <c r="B538" s="1" t="s">
        <v>2753</v>
      </c>
      <c r="C538" s="1" t="s">
        <v>129</v>
      </c>
      <c r="D538" s="1" t="s">
        <v>129</v>
      </c>
      <c r="E538" s="4">
        <v>22.37</v>
      </c>
      <c r="F538" s="4">
        <v>24.37</v>
      </c>
      <c r="G538" s="4">
        <v>24.16</v>
      </c>
      <c r="H538" s="5">
        <f>G538/F538-1</f>
        <v>-0.008617152236356174</v>
      </c>
      <c r="I538" s="5">
        <f>G538/E538-1</f>
        <v>0.08001788109074659</v>
      </c>
      <c r="J538" s="5">
        <v>-0.009438009438009431</v>
      </c>
      <c r="K538" s="4">
        <v>24392896504.96</v>
      </c>
    </row>
    <row r="539" spans="1:11">
      <c r="A539" s="1" t="s">
        <v>2754</v>
      </c>
      <c r="B539" s="1" t="s">
        <v>2755</v>
      </c>
      <c r="C539" s="1" t="s">
        <v>70</v>
      </c>
      <c r="D539" s="1" t="s">
        <v>71</v>
      </c>
      <c r="E539" s="4">
        <v>71.73999999999999</v>
      </c>
      <c r="F539" s="4">
        <v>71.44</v>
      </c>
      <c r="G539" s="4">
        <v>70.44</v>
      </c>
      <c r="H539" s="5">
        <f>G539/F539-1</f>
        <v>-0.013997760358342659</v>
      </c>
      <c r="I539" s="5">
        <f>G539/E539-1</f>
        <v>-0.01812099247281851</v>
      </c>
      <c r="J539" s="5">
        <v>-0.03086763070077858</v>
      </c>
      <c r="K539" s="4">
        <v>4217550270.6</v>
      </c>
    </row>
    <row r="540" spans="1:11">
      <c r="A540" s="1" t="s">
        <v>2756</v>
      </c>
      <c r="B540" s="1" t="s">
        <v>2757</v>
      </c>
      <c r="C540" s="1" t="s">
        <v>129</v>
      </c>
      <c r="D540" s="1" t="s">
        <v>129</v>
      </c>
      <c r="E540" s="4">
        <v>12.79288092036638</v>
      </c>
      <c r="F540" s="4">
        <v>12.55864757695596</v>
      </c>
      <c r="G540" s="4">
        <v>12.58227778507948</v>
      </c>
      <c r="H540" s="5">
        <f>G540/F540-1</f>
        <v>0.0018815886009000415</v>
      </c>
      <c r="I540" s="5">
        <f>G540/E540-1</f>
        <v>-0.016462526040683878</v>
      </c>
      <c r="J540" s="5">
        <v>-0.07456961669496409</v>
      </c>
      <c r="K540" s="4">
        <v>2473672616.648069</v>
      </c>
    </row>
    <row r="541" spans="1:11">
      <c r="A541" s="1" t="s">
        <v>2758</v>
      </c>
      <c r="B541" s="1" t="s">
        <v>2759</v>
      </c>
      <c r="C541" s="1" t="s">
        <v>47</v>
      </c>
      <c r="D541" s="1" t="s">
        <v>331</v>
      </c>
      <c r="E541" s="4">
        <v>18.90342880937868</v>
      </c>
      <c r="F541" s="4">
        <v>18.59896399391147</v>
      </c>
      <c r="G541" s="4">
        <v>18.69933027043823</v>
      </c>
      <c r="H541" s="5">
        <f>G541/F541-1</f>
        <v>0.005396336944338165</v>
      </c>
      <c r="I541" s="5">
        <f>G541/E541-1</f>
        <v>-0.01079690573591563</v>
      </c>
      <c r="J541" s="5">
        <v>-0.03538741633910736</v>
      </c>
      <c r="K541" s="4">
        <v>2016501406.995022</v>
      </c>
    </row>
    <row r="542" spans="1:11">
      <c r="A542" s="1" t="s">
        <v>2760</v>
      </c>
      <c r="B542" s="1" t="s">
        <v>2761</v>
      </c>
      <c r="C542" s="1" t="s">
        <v>138</v>
      </c>
      <c r="D542" s="1" t="s">
        <v>258</v>
      </c>
      <c r="E542" s="4">
        <v>7.647</v>
      </c>
      <c r="F542" s="4">
        <v>7.763</v>
      </c>
      <c r="G542" s="4">
        <v>7.75</v>
      </c>
      <c r="H542" s="5">
        <f>G542/F542-1</f>
        <v>-0.0016746103310575355</v>
      </c>
      <c r="I542" s="5">
        <f>G542/E542-1</f>
        <v>0.013469334379495157</v>
      </c>
      <c r="J542" s="5">
        <v>-0.03624298111281277</v>
      </c>
      <c r="K542" s="4">
        <v>16551875097.25</v>
      </c>
    </row>
    <row r="543" spans="1:11">
      <c r="A543" s="1" t="s">
        <v>2762</v>
      </c>
      <c r="B543" s="1" t="s">
        <v>2763</v>
      </c>
      <c r="C543" s="1" t="s">
        <v>93</v>
      </c>
      <c r="D543" s="1" t="s">
        <v>93</v>
      </c>
      <c r="E543" s="4">
        <v>13.37</v>
      </c>
      <c r="F543" s="4">
        <v>14.28</v>
      </c>
      <c r="G543" s="4">
        <v>15.21</v>
      </c>
      <c r="H543" s="5">
        <f>G543/F543-1</f>
        <v>0.06512605042016828</v>
      </c>
      <c r="I543" s="5">
        <f>G543/E543-1</f>
        <v>0.13762154076290223</v>
      </c>
      <c r="J543" s="5">
        <v>-0.06226982829320926</v>
      </c>
      <c r="K543" s="4">
        <v>9468707780.610001</v>
      </c>
    </row>
    <row r="544" spans="1:11">
      <c r="A544" s="1" t="s">
        <v>2764</v>
      </c>
      <c r="B544" s="1" t="s">
        <v>2765</v>
      </c>
      <c r="C544" s="1" t="s">
        <v>54</v>
      </c>
      <c r="D544" s="1" t="s">
        <v>55</v>
      </c>
      <c r="E544" s="4">
        <v>120.8</v>
      </c>
      <c r="F544" s="4">
        <v>128.5</v>
      </c>
      <c r="G544" s="4">
        <v>127.2</v>
      </c>
      <c r="H544" s="5">
        <f>G544/F544-1</f>
        <v>-0.010116731517509692</v>
      </c>
      <c r="I544" s="5">
        <f>G544/E544-1</f>
        <v>0.052980132450331174</v>
      </c>
      <c r="J544" s="5">
        <v>-0.01011673151750969</v>
      </c>
      <c r="K544" s="4">
        <v>32846727655.2</v>
      </c>
    </row>
    <row r="545" spans="1:11">
      <c r="A545" s="1" t="s">
        <v>2766</v>
      </c>
      <c r="B545" s="1" t="s">
        <v>2767</v>
      </c>
      <c r="C545" s="1" t="s">
        <v>70</v>
      </c>
      <c r="D545" s="1" t="s">
        <v>100</v>
      </c>
      <c r="E545" s="4">
        <v>9.974578860156079</v>
      </c>
      <c r="F545" s="4">
        <v>9.772978512354824</v>
      </c>
      <c r="G545" s="4">
        <v>9.804733020161274</v>
      </c>
      <c r="H545" s="5">
        <f>G545/F545-1</f>
        <v>0.003249214941617451</v>
      </c>
      <c r="I545" s="5">
        <f>G545/E545-1</f>
        <v>-0.017027870787934885</v>
      </c>
      <c r="J545" s="5">
        <v>-0.03241073954776663</v>
      </c>
      <c r="K545" s="4">
        <v>2902594692.826895</v>
      </c>
    </row>
    <row r="546" spans="1:11">
      <c r="A546" s="1" t="s">
        <v>2768</v>
      </c>
      <c r="B546" s="1" t="s">
        <v>2769</v>
      </c>
      <c r="C546" s="1" t="s">
        <v>76</v>
      </c>
      <c r="D546" s="1" t="s">
        <v>76</v>
      </c>
      <c r="E546" s="4">
        <v>1.912982241531654</v>
      </c>
      <c r="F546" s="4">
        <v>1.981961145694783</v>
      </c>
      <c r="G546" s="4">
        <v>2.000584622499574</v>
      </c>
      <c r="H546" s="5">
        <f>G546/F546-1</f>
        <v>0.00939648935361026</v>
      </c>
      <c r="I546" s="5">
        <f>G546/E546-1</f>
        <v>0.045793619546504294</v>
      </c>
      <c r="J546" s="5">
        <v>-0.03014729692920093</v>
      </c>
      <c r="K546" s="4">
        <v>3506123367.807345</v>
      </c>
    </row>
    <row r="547" spans="1:11">
      <c r="A547" s="1" t="s">
        <v>2770</v>
      </c>
      <c r="B547" s="1" t="s">
        <v>2771</v>
      </c>
      <c r="C547" s="1" t="s">
        <v>41</v>
      </c>
      <c r="D547" s="1" t="s">
        <v>63</v>
      </c>
      <c r="E547" s="4">
        <v>27.88</v>
      </c>
      <c r="F547" s="4">
        <v>26.42</v>
      </c>
      <c r="G547" s="4">
        <v>27.46</v>
      </c>
      <c r="H547" s="5">
        <f>G547/F547-1</f>
        <v>0.039364118092354294</v>
      </c>
      <c r="I547" s="5">
        <f>G547/E547-1</f>
        <v>-0.01506456241032994</v>
      </c>
      <c r="J547" s="5">
        <v>-0.0616929753438985</v>
      </c>
      <c r="K547" s="4">
        <v>17938543490.2</v>
      </c>
    </row>
    <row r="548" spans="1:11">
      <c r="A548" s="1" t="s">
        <v>2772</v>
      </c>
      <c r="B548" s="1" t="s">
        <v>2773</v>
      </c>
      <c r="C548" s="1" t="s">
        <v>70</v>
      </c>
      <c r="D548" s="1" t="s">
        <v>100</v>
      </c>
      <c r="E548" s="4">
        <v>38.87413254675099</v>
      </c>
      <c r="F548" s="4">
        <v>40.15357730468484</v>
      </c>
      <c r="G548" s="4">
        <v>40.62020059709248</v>
      </c>
      <c r="H548" s="5">
        <f>G548/F548-1</f>
        <v>0.011620964400429479</v>
      </c>
      <c r="I548" s="5">
        <f>G548/E548-1</f>
        <v>0.04491593602099342</v>
      </c>
      <c r="J548" s="5">
        <v>-0.03470677333070937</v>
      </c>
      <c r="K548" s="4">
        <v>9135524912.472513</v>
      </c>
    </row>
    <row r="549" spans="1:11">
      <c r="A549" s="1" t="s">
        <v>2774</v>
      </c>
      <c r="B549" s="1" t="s">
        <v>2775</v>
      </c>
      <c r="C549" s="1" t="s">
        <v>76</v>
      </c>
      <c r="D549" s="1" t="s">
        <v>76</v>
      </c>
      <c r="E549" s="4">
        <v>9.821999999999999</v>
      </c>
      <c r="F549" s="4">
        <v>9.488</v>
      </c>
      <c r="G549" s="4">
        <v>9.44</v>
      </c>
      <c r="H549" s="5">
        <f>G549/F549-1</f>
        <v>-0.005059021922428353</v>
      </c>
      <c r="I549" s="5">
        <f>G549/E549-1</f>
        <v>-0.03889228263082867</v>
      </c>
      <c r="J549" s="5">
        <v>-0.04588639579543163</v>
      </c>
      <c r="K549" s="4">
        <v>18974324480</v>
      </c>
    </row>
    <row r="550" spans="1:11">
      <c r="A550" s="1" t="s">
        <v>2776</v>
      </c>
      <c r="B550" s="1" t="s">
        <v>2777</v>
      </c>
      <c r="C550" s="1" t="s">
        <v>54</v>
      </c>
      <c r="D550" s="1" t="s">
        <v>55</v>
      </c>
      <c r="E550" s="4">
        <v>20.54635354473316</v>
      </c>
      <c r="F550" s="4">
        <v>21.08452074771961</v>
      </c>
      <c r="G550" s="4">
        <v>20.89703839078003</v>
      </c>
      <c r="H550" s="5">
        <f>G550/F550-1</f>
        <v>-0.008891943012736658</v>
      </c>
      <c r="I550" s="5">
        <f>G550/E550-1</f>
        <v>0.017067984607748388</v>
      </c>
      <c r="J550" s="5">
        <v>-0.01409999168556364</v>
      </c>
      <c r="K550" s="4">
        <v>12544206483.47045</v>
      </c>
    </row>
    <row r="551" spans="1:11">
      <c r="A551" s="1" t="s">
        <v>2778</v>
      </c>
      <c r="B551" s="1" t="s">
        <v>2779</v>
      </c>
      <c r="C551" s="1" t="s">
        <v>66</v>
      </c>
      <c r="D551" s="1" t="s">
        <v>214</v>
      </c>
      <c r="E551" s="4">
        <v>5.339087827426812</v>
      </c>
      <c r="F551" s="4">
        <v>5.450421242588297</v>
      </c>
      <c r="G551" s="4">
        <v>5.530856208587903</v>
      </c>
      <c r="H551" s="5">
        <f>G551/F551-1</f>
        <v>0.014757568712507219</v>
      </c>
      <c r="I551" s="5">
        <f>G551/E551-1</f>
        <v>0.03591781730504229</v>
      </c>
      <c r="J551" s="5">
        <v>-0.02214232135022787</v>
      </c>
      <c r="K551" s="4">
        <v>34651505254.94075</v>
      </c>
    </row>
    <row r="552" spans="1:11">
      <c r="A552" s="1" t="s">
        <v>2780</v>
      </c>
      <c r="B552" s="1" t="s">
        <v>2781</v>
      </c>
      <c r="C552" s="1" t="s">
        <v>129</v>
      </c>
      <c r="D552" s="1" t="s">
        <v>129</v>
      </c>
      <c r="E552" s="4">
        <v>77.44</v>
      </c>
      <c r="F552" s="4">
        <v>78.02</v>
      </c>
      <c r="G552" s="4">
        <v>76.09999999999999</v>
      </c>
      <c r="H552" s="5">
        <f>G552/F552-1</f>
        <v>-0.024609074596257385</v>
      </c>
      <c r="I552" s="5">
        <f>G552/E552-1</f>
        <v>-0.01730371900826455</v>
      </c>
      <c r="J552" s="5">
        <v>-0.04222623966942141</v>
      </c>
      <c r="K552" s="4">
        <v>173634075935.4</v>
      </c>
    </row>
    <row r="553" spans="1:11">
      <c r="A553" s="1" t="s">
        <v>2782</v>
      </c>
      <c r="B553" s="1" t="s">
        <v>2783</v>
      </c>
      <c r="C553" s="1" t="s">
        <v>37</v>
      </c>
      <c r="D553" s="1" t="s">
        <v>38</v>
      </c>
      <c r="E553" s="4">
        <v>187.2</v>
      </c>
      <c r="F553" s="4">
        <v>186</v>
      </c>
      <c r="G553" s="4">
        <v>178.7</v>
      </c>
      <c r="H553" s="5">
        <f>G553/F553-1</f>
        <v>-0.03924731182795704</v>
      </c>
      <c r="I553" s="5">
        <f>G553/E553-1</f>
        <v>-0.045405982905982856</v>
      </c>
      <c r="J553" s="5">
        <v>-0.06975533576262372</v>
      </c>
      <c r="K553" s="4">
        <v>7954401262.599998</v>
      </c>
    </row>
    <row r="554" spans="1:11">
      <c r="A554" s="1" t="s">
        <v>2784</v>
      </c>
      <c r="B554" s="1" t="s">
        <v>2785</v>
      </c>
      <c r="C554" s="1" t="s">
        <v>47</v>
      </c>
      <c r="D554" s="1" t="s">
        <v>48</v>
      </c>
      <c r="E554" s="4">
        <v>6.92</v>
      </c>
      <c r="F554" s="4">
        <v>6.818</v>
      </c>
      <c r="G554" s="4">
        <v>6.878</v>
      </c>
      <c r="H554" s="5">
        <f>G554/F554-1</f>
        <v>0.00880023467292479</v>
      </c>
      <c r="I554" s="5">
        <f>G554/E554-1</f>
        <v>-0.006069364161849666</v>
      </c>
      <c r="J554" s="5">
        <v>-0.06488864448721476</v>
      </c>
      <c r="K554" s="4">
        <v>3490110644.974</v>
      </c>
    </row>
    <row r="555" spans="1:11">
      <c r="A555" s="1" t="s">
        <v>2786</v>
      </c>
      <c r="B555" s="1" t="s">
        <v>2787</v>
      </c>
      <c r="C555" s="1" t="s">
        <v>47</v>
      </c>
      <c r="D555" s="1" t="s">
        <v>331</v>
      </c>
      <c r="E555" s="4">
        <v>0.967154973463448</v>
      </c>
      <c r="F555" s="4">
        <v>0.9592648277047349</v>
      </c>
      <c r="G555" s="4">
        <v>0.9626063161517943</v>
      </c>
      <c r="H555" s="5">
        <f>G555/F555-1</f>
        <v>0.003483384723960592</v>
      </c>
      <c r="I555" s="5">
        <f>G555/E555-1</f>
        <v>-0.004703131800444238</v>
      </c>
      <c r="J555" s="5">
        <v>-0.05179149779316938</v>
      </c>
      <c r="K555" s="4">
        <v>3348768274.391589</v>
      </c>
    </row>
    <row r="556" spans="1:11">
      <c r="A556" s="1" t="s">
        <v>2788</v>
      </c>
      <c r="B556" s="1" t="s">
        <v>2789</v>
      </c>
      <c r="C556" s="1" t="s">
        <v>54</v>
      </c>
      <c r="D556" s="1" t="s">
        <v>113</v>
      </c>
      <c r="E556" s="4">
        <v>45.41350233396552</v>
      </c>
      <c r="F556" s="4">
        <v>47.52481598848691</v>
      </c>
      <c r="G556" s="4">
        <v>47.65138945326406</v>
      </c>
      <c r="H556" s="5">
        <f>G556/F556-1</f>
        <v>0.0026633130953690465</v>
      </c>
      <c r="I556" s="5">
        <f>G556/E556-1</f>
        <v>0.04927801213923977</v>
      </c>
      <c r="J556" s="5">
        <v>-0.01735840680350198</v>
      </c>
      <c r="K556" s="4">
        <v>156191970421.6841</v>
      </c>
    </row>
    <row r="557" spans="1:11">
      <c r="A557" s="1" t="s">
        <v>2790</v>
      </c>
      <c r="B557" s="1" t="s">
        <v>2791</v>
      </c>
      <c r="C557" s="1" t="s">
        <v>37</v>
      </c>
      <c r="D557" s="1" t="s">
        <v>38</v>
      </c>
      <c r="E557" s="4">
        <v>221.7</v>
      </c>
      <c r="F557" s="4">
        <v>220.7</v>
      </c>
      <c r="G557" s="4">
        <v>210.6</v>
      </c>
      <c r="H557" s="5">
        <f>G557/F557-1</f>
        <v>-0.04576347983688267</v>
      </c>
      <c r="I557" s="5">
        <f>G557/E557-1</f>
        <v>-0.05006765899864685</v>
      </c>
      <c r="J557" s="5">
        <v>-0.06024096385542166</v>
      </c>
      <c r="K557" s="4">
        <v>40962891574.8</v>
      </c>
    </row>
    <row r="558" spans="1:11">
      <c r="A558" s="1" t="s">
        <v>2792</v>
      </c>
      <c r="B558" s="1" t="s">
        <v>2793</v>
      </c>
      <c r="C558" s="1" t="s">
        <v>54</v>
      </c>
      <c r="D558" s="1" t="s">
        <v>165</v>
      </c>
      <c r="E558" s="4">
        <v>83.03</v>
      </c>
      <c r="F558" s="4">
        <v>84.64</v>
      </c>
      <c r="G558" s="4">
        <v>83.67</v>
      </c>
      <c r="H558" s="5">
        <f>G558/F558-1</f>
        <v>-0.011460302457466875</v>
      </c>
      <c r="I558" s="5">
        <f>G558/E558-1</f>
        <v>0.007708057328676299</v>
      </c>
      <c r="J558" s="5">
        <v>-0.03168891468369128</v>
      </c>
      <c r="K558" s="4">
        <v>126170428765.05</v>
      </c>
    </row>
    <row r="559" spans="1:11">
      <c r="A559" s="1" t="s">
        <v>2794</v>
      </c>
      <c r="B559" s="1" t="s">
        <v>2795</v>
      </c>
      <c r="C559" s="1" t="s">
        <v>47</v>
      </c>
      <c r="D559" s="1" t="s">
        <v>331</v>
      </c>
      <c r="E559" s="4">
        <v>202.1702268608535</v>
      </c>
      <c r="F559" s="4">
        <v>195.0788666164164</v>
      </c>
      <c r="G559" s="4">
        <v>196.9434797309641</v>
      </c>
      <c r="H559" s="5">
        <f>G559/F559-1</f>
        <v>0.009558252756379337</v>
      </c>
      <c r="I559" s="5">
        <f>G559/E559-1</f>
        <v>-0.025853199113669456</v>
      </c>
      <c r="J559" s="5">
        <v>-0.03507618482971686</v>
      </c>
      <c r="K559" s="4">
        <v>10218273165.75329</v>
      </c>
    </row>
    <row r="560" spans="1:11">
      <c r="A560" s="1" t="s">
        <v>2796</v>
      </c>
      <c r="B560" s="1" t="s">
        <v>2797</v>
      </c>
      <c r="C560" s="1" t="s">
        <v>66</v>
      </c>
      <c r="D560" s="1" t="s">
        <v>240</v>
      </c>
      <c r="E560" s="4">
        <v>54.6637579181647</v>
      </c>
      <c r="F560" s="4">
        <v>55.08614935120736</v>
      </c>
      <c r="G560" s="4">
        <v>55.41326908183461</v>
      </c>
      <c r="H560" s="5">
        <f>G560/F560-1</f>
        <v>0.005938329951902466</v>
      </c>
      <c r="I560" s="5">
        <f>G560/E560-1</f>
        <v>0.013711299629125095</v>
      </c>
      <c r="J560" s="5">
        <v>-0.01458983619216792</v>
      </c>
      <c r="K560" s="4">
        <v>119378336152.9016</v>
      </c>
    </row>
    <row r="561" spans="1:11">
      <c r="A561" s="1" t="s">
        <v>2798</v>
      </c>
      <c r="B561" s="1" t="s">
        <v>2799</v>
      </c>
      <c r="C561" s="1" t="s">
        <v>138</v>
      </c>
      <c r="D561" s="1" t="s">
        <v>139</v>
      </c>
      <c r="E561" s="4">
        <v>14.73</v>
      </c>
      <c r="F561" s="4">
        <v>14.43</v>
      </c>
      <c r="G561" s="4">
        <v>14.245</v>
      </c>
      <c r="H561" s="5">
        <f>G561/F561-1</f>
        <v>-0.012820512820512886</v>
      </c>
      <c r="I561" s="5">
        <f>G561/E561-1</f>
        <v>-0.03292600135777335</v>
      </c>
      <c r="J561" s="5">
        <v>-0.04235294117647059</v>
      </c>
      <c r="K561" s="4">
        <v>26189816445.485</v>
      </c>
    </row>
    <row r="562" spans="1:11">
      <c r="A562" s="1" t="s">
        <v>2800</v>
      </c>
      <c r="B562" s="1" t="s">
        <v>2801</v>
      </c>
      <c r="C562" s="1" t="s">
        <v>93</v>
      </c>
      <c r="D562" s="1" t="s">
        <v>93</v>
      </c>
      <c r="E562" s="4">
        <v>22.96</v>
      </c>
      <c r="F562" s="4">
        <v>23.12</v>
      </c>
      <c r="G562" s="4">
        <v>22.92</v>
      </c>
      <c r="H562" s="5">
        <f>G562/F562-1</f>
        <v>-0.00865051903114189</v>
      </c>
      <c r="I562" s="5">
        <f>G562/E562-1</f>
        <v>-0.0017421602787456303</v>
      </c>
      <c r="J562" s="5">
        <v>-0.04553122303337087</v>
      </c>
      <c r="K562" s="4">
        <v>5647488000</v>
      </c>
    </row>
    <row r="563" spans="1:11">
      <c r="A563" s="1" t="s">
        <v>2802</v>
      </c>
      <c r="B563" s="1" t="s">
        <v>2803</v>
      </c>
      <c r="C563" s="1" t="s">
        <v>54</v>
      </c>
      <c r="D563" s="1" t="s">
        <v>55</v>
      </c>
      <c r="E563" s="4">
        <v>27.77</v>
      </c>
      <c r="F563" s="4">
        <v>28.48</v>
      </c>
      <c r="G563" s="4">
        <v>28.42</v>
      </c>
      <c r="H563" s="5">
        <f>G563/F563-1</f>
        <v>-0.002106741573033699</v>
      </c>
      <c r="I563" s="5">
        <f>G563/E563-1</f>
        <v>0.02340655383507384</v>
      </c>
      <c r="J563" s="5">
        <v>-0.01719901719901717</v>
      </c>
      <c r="K563" s="4">
        <v>20390597097.36</v>
      </c>
    </row>
    <row r="564" spans="1:11">
      <c r="A564" s="1" t="s">
        <v>2804</v>
      </c>
      <c r="B564" s="1" t="s">
        <v>2805</v>
      </c>
      <c r="C564" s="1" t="s">
        <v>54</v>
      </c>
      <c r="D564" s="1" t="s">
        <v>165</v>
      </c>
      <c r="E564" s="4">
        <v>3.564</v>
      </c>
      <c r="F564" s="4">
        <v>3.642</v>
      </c>
      <c r="G564" s="4">
        <v>3.648</v>
      </c>
      <c r="H564" s="5">
        <f>G564/F564-1</f>
        <v>0.0016474464579900872</v>
      </c>
      <c r="I564" s="5">
        <f>G564/E564-1</f>
        <v>0.023569023569023573</v>
      </c>
      <c r="J564" s="5">
        <v>-0.01835372636262522</v>
      </c>
      <c r="K564" s="4">
        <v>9380592939.264002</v>
      </c>
    </row>
    <row r="565" spans="1:11">
      <c r="A565" s="1" t="s">
        <v>2806</v>
      </c>
      <c r="B565" s="1" t="s">
        <v>2807</v>
      </c>
      <c r="C565" s="1" t="s">
        <v>93</v>
      </c>
      <c r="D565" s="1" t="s">
        <v>93</v>
      </c>
      <c r="E565" s="4">
        <v>23.67</v>
      </c>
      <c r="F565" s="4">
        <v>24.01</v>
      </c>
      <c r="G565" s="4">
        <v>24.24</v>
      </c>
      <c r="H565" s="5">
        <f>G565/F565-1</f>
        <v>0.009579341940857855</v>
      </c>
      <c r="I565" s="5">
        <f>G565/E565-1</f>
        <v>0.024081115335867986</v>
      </c>
      <c r="J565" s="5">
        <v>-0.01234060057589459</v>
      </c>
      <c r="K565" s="4">
        <v>12792313343.76</v>
      </c>
    </row>
    <row r="566" spans="1:11">
      <c r="A566" s="1" t="s">
        <v>2808</v>
      </c>
      <c r="B566" s="1" t="s">
        <v>2809</v>
      </c>
      <c r="C566" s="1" t="s">
        <v>116</v>
      </c>
      <c r="D566" s="1" t="s">
        <v>117</v>
      </c>
      <c r="E566" s="4">
        <v>103.05</v>
      </c>
      <c r="F566" s="4">
        <v>96.88</v>
      </c>
      <c r="G566" s="4">
        <v>97.14</v>
      </c>
      <c r="H566" s="5">
        <f>G566/F566-1</f>
        <v>0.002683732452518628</v>
      </c>
      <c r="I566" s="5">
        <f>G566/E566-1</f>
        <v>-0.05735080058224162</v>
      </c>
      <c r="J566" s="5">
        <v>-0.06239689471130516</v>
      </c>
      <c r="K566" s="4">
        <v>14038857366</v>
      </c>
    </row>
    <row r="567" spans="1:11">
      <c r="A567" s="1" t="s">
        <v>2810</v>
      </c>
      <c r="B567" s="1" t="s">
        <v>2811</v>
      </c>
      <c r="C567" s="1" t="s">
        <v>116</v>
      </c>
      <c r="D567" s="1" t="s">
        <v>117</v>
      </c>
      <c r="E567" s="4">
        <v>6.165875706214689</v>
      </c>
      <c r="F567" s="4">
        <v>5.751864569906333</v>
      </c>
      <c r="G567" s="4">
        <v>5.705367868513897</v>
      </c>
      <c r="H567" s="5">
        <f>G567/F567-1</f>
        <v>-0.008083761505044085</v>
      </c>
      <c r="I567" s="5">
        <f>G567/E567-1</f>
        <v>-0.07468652623610927</v>
      </c>
      <c r="J567" s="5">
        <v>-0.07587909043287</v>
      </c>
      <c r="K567" s="4">
        <v>2932874414.392868</v>
      </c>
    </row>
    <row r="568" spans="1:11">
      <c r="A568" s="1" t="s">
        <v>2812</v>
      </c>
      <c r="B568" s="1" t="s">
        <v>2813</v>
      </c>
      <c r="C568" s="1" t="s">
        <v>76</v>
      </c>
      <c r="D568" s="1" t="s">
        <v>76</v>
      </c>
      <c r="E568" s="4">
        <v>16.62917993494265</v>
      </c>
      <c r="F568" s="4">
        <v>15.84032310733007</v>
      </c>
      <c r="G568" s="4">
        <v>15.84565872128044</v>
      </c>
      <c r="H568" s="5">
        <f>G568/F568-1</f>
        <v>0.0003368374441747868</v>
      </c>
      <c r="I568" s="5">
        <f>G568/E568-1</f>
        <v>-0.047117249120373184</v>
      </c>
      <c r="J568" s="5">
        <v>-0.05572230185120519</v>
      </c>
      <c r="K568" s="4">
        <v>11771169864.00372</v>
      </c>
    </row>
    <row r="569" spans="1:11">
      <c r="A569" s="1" t="s">
        <v>2814</v>
      </c>
      <c r="B569" s="1" t="s">
        <v>2815</v>
      </c>
      <c r="C569" s="1" t="s">
        <v>70</v>
      </c>
      <c r="D569" s="1" t="s">
        <v>100</v>
      </c>
      <c r="E569" s="4">
        <v>646.047141438013</v>
      </c>
      <c r="F569" s="4">
        <v>635.5124597069373</v>
      </c>
      <c r="G569" s="4">
        <v>651.4447931057703</v>
      </c>
      <c r="H569" s="5">
        <f>G569/F569-1</f>
        <v>0.025070056700666532</v>
      </c>
      <c r="I569" s="5">
        <f>G569/E569-1</f>
        <v>0.008354888245063474</v>
      </c>
      <c r="J569" s="5">
        <v>-0.0436603699957282</v>
      </c>
      <c r="K569" s="4">
        <v>19543343793.17311</v>
      </c>
    </row>
    <row r="570" spans="1:11">
      <c r="A570" s="1" t="s">
        <v>2816</v>
      </c>
      <c r="B570" s="1" t="s">
        <v>2817</v>
      </c>
      <c r="C570" s="1" t="s">
        <v>70</v>
      </c>
      <c r="D570" s="1" t="s">
        <v>100</v>
      </c>
      <c r="E570" s="4">
        <v>27.78</v>
      </c>
      <c r="F570" s="4">
        <v>28.5</v>
      </c>
      <c r="G570" s="4">
        <v>28.62</v>
      </c>
      <c r="H570" s="5">
        <f>G570/F570-1</f>
        <v>0.004210526315789442</v>
      </c>
      <c r="I570" s="5">
        <f>G570/E570-1</f>
        <v>0.030237580993520474</v>
      </c>
      <c r="J570" s="5">
        <v>-0.01811845626565223</v>
      </c>
      <c r="K570" s="4">
        <v>5281237295.1</v>
      </c>
    </row>
    <row r="571" spans="1:11">
      <c r="A571" s="1" t="s">
        <v>2818</v>
      </c>
      <c r="B571" s="1" t="s">
        <v>2819</v>
      </c>
      <c r="C571" s="1" t="s">
        <v>129</v>
      </c>
      <c r="D571" s="1" t="s">
        <v>129</v>
      </c>
      <c r="E571" s="4">
        <v>4.576517299733662</v>
      </c>
      <c r="F571" s="4">
        <v>4.671779879769616</v>
      </c>
      <c r="G571" s="4">
        <v>4.636648060903461</v>
      </c>
      <c r="H571" s="5">
        <f>G571/F571-1</f>
        <v>-0.007520007314190447</v>
      </c>
      <c r="I571" s="5">
        <f>G571/E571-1</f>
        <v>0.01313897822986454</v>
      </c>
      <c r="J571" s="5">
        <v>-0.028838456219346</v>
      </c>
      <c r="K571" s="4">
        <v>11574957179.74319</v>
      </c>
    </row>
    <row r="572" spans="1:11">
      <c r="A572" s="1" t="s">
        <v>2820</v>
      </c>
      <c r="B572" s="1" t="s">
        <v>2821</v>
      </c>
      <c r="C572" s="1" t="s">
        <v>54</v>
      </c>
      <c r="D572" s="1" t="s">
        <v>165</v>
      </c>
      <c r="E572" s="4">
        <v>157.9321328225907</v>
      </c>
      <c r="F572" s="4">
        <v>162.716780790736</v>
      </c>
      <c r="G572" s="4">
        <v>163.127050705885</v>
      </c>
      <c r="H572" s="5">
        <f>G572/F572-1</f>
        <v>0.0025213743361642837</v>
      </c>
      <c r="I572" s="5">
        <f>G572/E572-1</f>
        <v>0.03289335609194821</v>
      </c>
      <c r="J572" s="5">
        <v>-0.01436573104309347</v>
      </c>
      <c r="K572" s="4">
        <v>2576177586.317711</v>
      </c>
    </row>
    <row r="573" spans="1:11">
      <c r="A573" s="1" t="s">
        <v>2822</v>
      </c>
      <c r="B573" s="1" t="s">
        <v>2823</v>
      </c>
      <c r="C573" s="1" t="s">
        <v>138</v>
      </c>
      <c r="D573" s="1" t="s">
        <v>139</v>
      </c>
      <c r="E573" s="4">
        <v>23.19112610329918</v>
      </c>
      <c r="F573" s="4">
        <v>23.2848616828454</v>
      </c>
      <c r="G573" s="4">
        <v>23.22027423471622</v>
      </c>
      <c r="H573" s="5">
        <f>G573/F573-1</f>
        <v>-0.002773795653540856</v>
      </c>
      <c r="I573" s="5">
        <f>G573/E573-1</f>
        <v>0.0012568657204141687</v>
      </c>
      <c r="J573" s="5">
        <v>-0.04767690848143613</v>
      </c>
      <c r="K573" s="4">
        <v>4897430090.760636</v>
      </c>
    </row>
    <row r="574" spans="1:11">
      <c r="A574" s="1" t="s">
        <v>2824</v>
      </c>
      <c r="B574" s="1" t="s">
        <v>2825</v>
      </c>
      <c r="C574" s="1" t="s">
        <v>76</v>
      </c>
      <c r="D574" s="1" t="s">
        <v>76</v>
      </c>
      <c r="E574" s="4">
        <v>58.65</v>
      </c>
      <c r="F574" s="4">
        <v>59.4</v>
      </c>
      <c r="G574" s="4">
        <v>60.05</v>
      </c>
      <c r="H574" s="5">
        <f>G574/F574-1</f>
        <v>0.01094276094276081</v>
      </c>
      <c r="I574" s="5">
        <f>G574/E574-1</f>
        <v>0.023870417732310356</v>
      </c>
      <c r="J574" s="5">
        <v>-0.008382229673092989</v>
      </c>
      <c r="K574" s="4">
        <v>20862311944.3</v>
      </c>
    </row>
    <row r="575" spans="1:11">
      <c r="A575" s="1" t="s">
        <v>2826</v>
      </c>
      <c r="B575" s="1" t="s">
        <v>2827</v>
      </c>
      <c r="C575" s="1" t="s">
        <v>76</v>
      </c>
      <c r="D575" s="1" t="s">
        <v>76</v>
      </c>
      <c r="E575" s="4">
        <v>34.09</v>
      </c>
      <c r="F575" s="4">
        <v>31.81</v>
      </c>
      <c r="G575" s="4">
        <v>31.9</v>
      </c>
      <c r="H575" s="5">
        <f>G575/F575-1</f>
        <v>0.002829298962590432</v>
      </c>
      <c r="I575" s="5">
        <f>G575/E575-1</f>
        <v>-0.06424171311234983</v>
      </c>
      <c r="J575" s="5">
        <v>-0.06688178351422713</v>
      </c>
      <c r="K575" s="4">
        <v>23685643135</v>
      </c>
    </row>
    <row r="576" spans="1:11">
      <c r="A576" s="1" t="s">
        <v>2828</v>
      </c>
      <c r="B576" s="1" t="s">
        <v>2829</v>
      </c>
      <c r="C576" s="1" t="s">
        <v>66</v>
      </c>
      <c r="D576" s="1" t="s">
        <v>67</v>
      </c>
      <c r="E576" s="4">
        <v>57.1</v>
      </c>
      <c r="F576" s="4">
        <v>56.7</v>
      </c>
      <c r="G576" s="4">
        <v>56.9</v>
      </c>
      <c r="H576" s="5">
        <f>G576/F576-1</f>
        <v>0.003527336860670083</v>
      </c>
      <c r="I576" s="5">
        <f>G576/E576-1</f>
        <v>-0.00350262697022774</v>
      </c>
      <c r="J576" s="5">
        <v>-0.01391304347826083</v>
      </c>
      <c r="K576" s="4">
        <v>2699193750</v>
      </c>
    </row>
    <row r="577" spans="1:11">
      <c r="A577" s="1" t="s">
        <v>2830</v>
      </c>
      <c r="B577" s="1" t="s">
        <v>2831</v>
      </c>
      <c r="C577" s="1" t="s">
        <v>129</v>
      </c>
      <c r="D577" s="1" t="s">
        <v>129</v>
      </c>
      <c r="E577" s="4">
        <v>17.71</v>
      </c>
      <c r="F577" s="4">
        <v>18.625</v>
      </c>
      <c r="G577" s="4">
        <v>18.64</v>
      </c>
      <c r="H577" s="5">
        <f>G577/F577-1</f>
        <v>0.0008053691275167196</v>
      </c>
      <c r="I577" s="5">
        <f>G577/E577-1</f>
        <v>0.05251270468661762</v>
      </c>
      <c r="J577" s="5">
        <v>-0.02445726848035179</v>
      </c>
      <c r="K577" s="4">
        <v>4956123558.48</v>
      </c>
    </row>
    <row r="578" spans="1:11">
      <c r="A578" s="1" t="s">
        <v>2832</v>
      </c>
      <c r="B578" s="1" t="s">
        <v>2833</v>
      </c>
      <c r="C578" s="1" t="s">
        <v>116</v>
      </c>
      <c r="D578" s="1" t="s">
        <v>223</v>
      </c>
      <c r="E578" s="4">
        <v>20.06</v>
      </c>
      <c r="F578" s="4">
        <v>19.21</v>
      </c>
      <c r="G578" s="4">
        <v>19.15</v>
      </c>
      <c r="H578" s="5">
        <f>G578/F578-1</f>
        <v>-0.003123373243102634</v>
      </c>
      <c r="I578" s="5">
        <f>G578/E578-1</f>
        <v>-0.04536390827517445</v>
      </c>
      <c r="J578" s="5">
        <v>-0.06679960119641082</v>
      </c>
      <c r="K578" s="4">
        <v>16247559128.2</v>
      </c>
    </row>
    <row r="579" spans="1:11">
      <c r="A579" s="1" t="s">
        <v>2834</v>
      </c>
      <c r="B579" s="1" t="s">
        <v>2835</v>
      </c>
      <c r="C579" s="1" t="s">
        <v>138</v>
      </c>
      <c r="D579" s="1" t="s">
        <v>258</v>
      </c>
      <c r="E579" s="4">
        <v>1.368053672316385</v>
      </c>
      <c r="F579" s="4">
        <v>1.423417719343474</v>
      </c>
      <c r="G579" s="4">
        <v>1.461244299113674</v>
      </c>
      <c r="H579" s="5">
        <f>G579/F579-1</f>
        <v>0.026574475824037602</v>
      </c>
      <c r="I579" s="5">
        <f>G579/E579-1</f>
        <v>0.06811913061824426</v>
      </c>
      <c r="J579" s="5">
        <v>-0.01100824294315705</v>
      </c>
      <c r="K579" s="4">
        <v>33817520049.43046</v>
      </c>
    </row>
    <row r="580" spans="1:11">
      <c r="A580" s="1" t="s">
        <v>2836</v>
      </c>
      <c r="B580" s="1" t="s">
        <v>2837</v>
      </c>
      <c r="C580" s="1" t="s">
        <v>93</v>
      </c>
      <c r="D580" s="1" t="s">
        <v>93</v>
      </c>
      <c r="E580" s="4">
        <v>43.78</v>
      </c>
      <c r="F580" s="4">
        <v>45.44</v>
      </c>
      <c r="G580" s="4">
        <v>46.72</v>
      </c>
      <c r="H580" s="5">
        <f>G580/F580-1</f>
        <v>0.028169014084507005</v>
      </c>
      <c r="I580" s="5">
        <f>G580/E580-1</f>
        <v>0.06715395157606197</v>
      </c>
      <c r="J580" s="5">
        <v>-0.03421394543092249</v>
      </c>
      <c r="K580" s="4">
        <v>8341816895.36</v>
      </c>
    </row>
    <row r="581" spans="1:11">
      <c r="A581" s="1" t="s">
        <v>2838</v>
      </c>
      <c r="B581" s="1" t="s">
        <v>2839</v>
      </c>
      <c r="C581" s="1" t="s">
        <v>70</v>
      </c>
      <c r="D581" s="1" t="s">
        <v>100</v>
      </c>
      <c r="E581" s="4">
        <v>31.00524112849288</v>
      </c>
      <c r="F581" s="4">
        <v>31.3857517397256</v>
      </c>
      <c r="G581" s="4">
        <v>31.36052261428163</v>
      </c>
      <c r="H581" s="5">
        <f>G581/F581-1</f>
        <v>-0.0008038400881135166</v>
      </c>
      <c r="I581" s="5">
        <f>G581/E581-1</f>
        <v>0.011458755773463558</v>
      </c>
      <c r="J581" s="5">
        <v>-0.04427124168398966</v>
      </c>
      <c r="K581" s="4">
        <v>63774081451.69643</v>
      </c>
    </row>
    <row r="582" spans="1:11">
      <c r="A582" s="1" t="s">
        <v>2840</v>
      </c>
      <c r="B582" s="1" t="s">
        <v>2841</v>
      </c>
      <c r="C582" s="1" t="s">
        <v>47</v>
      </c>
      <c r="D582" s="1" t="s">
        <v>142</v>
      </c>
      <c r="E582" s="4">
        <v>75.02</v>
      </c>
      <c r="F582" s="4">
        <v>76.36</v>
      </c>
      <c r="G582" s="4">
        <v>81.3</v>
      </c>
      <c r="H582" s="5">
        <f>G582/F582-1</f>
        <v>0.06469355683603983</v>
      </c>
      <c r="I582" s="5">
        <f>G582/E582-1</f>
        <v>0.08371101039722739</v>
      </c>
      <c r="J582" s="5">
        <v>-0.05123583934088571</v>
      </c>
      <c r="K582" s="4">
        <v>41077342803.7</v>
      </c>
    </row>
    <row r="583" spans="1:11">
      <c r="A583" s="1" t="s">
        <v>2842</v>
      </c>
      <c r="B583" s="1" t="s">
        <v>2843</v>
      </c>
      <c r="C583" s="1" t="s">
        <v>129</v>
      </c>
      <c r="D583" s="1" t="s">
        <v>129</v>
      </c>
      <c r="E583" s="4">
        <v>47.56</v>
      </c>
      <c r="F583" s="4">
        <v>47.98</v>
      </c>
      <c r="G583" s="4">
        <v>47.8</v>
      </c>
      <c r="H583" s="5">
        <f>G583/F583-1</f>
        <v>-0.0037515631513130865</v>
      </c>
      <c r="I583" s="5">
        <f>G583/E583-1</f>
        <v>0.005046257359125228</v>
      </c>
      <c r="J583" s="5">
        <v>-0.01345668629100083</v>
      </c>
      <c r="K583" s="4">
        <v>5509628712.200001</v>
      </c>
    </row>
    <row r="584" spans="1:11">
      <c r="A584" s="1" t="s">
        <v>2844</v>
      </c>
      <c r="B584" s="1" t="s">
        <v>2845</v>
      </c>
      <c r="C584" s="1" t="s">
        <v>70</v>
      </c>
      <c r="D584" s="1" t="s">
        <v>71</v>
      </c>
      <c r="E584" s="4">
        <v>9.384</v>
      </c>
      <c r="F584" s="4">
        <v>9.026</v>
      </c>
      <c r="G584" s="4">
        <v>9.146000000000001</v>
      </c>
      <c r="H584" s="5">
        <f>G584/F584-1</f>
        <v>0.013294925769997912</v>
      </c>
      <c r="I584" s="5">
        <f>G584/E584-1</f>
        <v>-0.025362318840579712</v>
      </c>
      <c r="J584" s="5">
        <v>-0.05861040068201195</v>
      </c>
      <c r="K584" s="4">
        <v>9456618866.544001</v>
      </c>
    </row>
    <row r="585" spans="1:11">
      <c r="A585" s="1" t="s">
        <v>2846</v>
      </c>
      <c r="B585" s="1" t="s">
        <v>2847</v>
      </c>
      <c r="C585" s="1" t="s">
        <v>70</v>
      </c>
      <c r="D585" s="1" t="s">
        <v>100</v>
      </c>
      <c r="E585" s="4">
        <v>27.86331668859322</v>
      </c>
      <c r="F585" s="4">
        <v>28.75040297388924</v>
      </c>
      <c r="G585" s="4">
        <v>28.53609659893329</v>
      </c>
      <c r="H585" s="5">
        <f>G585/F585-1</f>
        <v>-0.007454030301786929</v>
      </c>
      <c r="I585" s="5">
        <f>G585/E585-1</f>
        <v>0.02414572241557633</v>
      </c>
      <c r="J585" s="5">
        <v>-0.02824236853130868</v>
      </c>
      <c r="K585" s="4">
        <v>28409437992.73506</v>
      </c>
    </row>
    <row r="586" spans="1:11">
      <c r="A586" s="1" t="s">
        <v>2848</v>
      </c>
      <c r="B586" s="1" t="s">
        <v>2849</v>
      </c>
      <c r="C586" s="1" t="s">
        <v>54</v>
      </c>
      <c r="D586" s="1" t="s">
        <v>113</v>
      </c>
      <c r="E586" s="4">
        <v>187.2104849155473</v>
      </c>
      <c r="F586" s="4">
        <v>191.9332932000817</v>
      </c>
      <c r="G586" s="4">
        <v>188.2235200452519</v>
      </c>
      <c r="H586" s="5">
        <f>G586/F586-1</f>
        <v>-0.019328450489111138</v>
      </c>
      <c r="I586" s="5">
        <f>G586/E586-1</f>
        <v>0.005411209367689018</v>
      </c>
      <c r="J586" s="5">
        <v>-0.02676694365008569</v>
      </c>
      <c r="K586" s="4">
        <v>7528940801.810076</v>
      </c>
    </row>
    <row r="587" spans="1:11">
      <c r="A587" s="1" t="s">
        <v>2850</v>
      </c>
      <c r="B587" s="1" t="s">
        <v>2851</v>
      </c>
      <c r="C587" s="1" t="s">
        <v>116</v>
      </c>
      <c r="D587" s="1" t="s">
        <v>117</v>
      </c>
      <c r="E587" s="4">
        <v>21.26</v>
      </c>
      <c r="F587" s="4">
        <v>21.66</v>
      </c>
      <c r="G587" s="4">
        <v>21.64</v>
      </c>
      <c r="H587" s="5">
        <f>G587/F587-1</f>
        <v>-0.0009233610341643494</v>
      </c>
      <c r="I587" s="5">
        <f>G587/E587-1</f>
        <v>0.017873941674506177</v>
      </c>
      <c r="J587" s="5">
        <v>-0.02506963788300831</v>
      </c>
      <c r="K587" s="4">
        <v>5235778134.48</v>
      </c>
    </row>
    <row r="588" spans="1:11">
      <c r="A588" s="1" t="s">
        <v>2852</v>
      </c>
      <c r="B588" s="1" t="s">
        <v>2853</v>
      </c>
      <c r="C588" s="1" t="s">
        <v>70</v>
      </c>
      <c r="D588" s="1" t="s">
        <v>100</v>
      </c>
      <c r="E588" s="4">
        <v>32.88467043314502</v>
      </c>
      <c r="F588" s="4">
        <v>31.30820658245252</v>
      </c>
      <c r="G588" s="4">
        <v>31.69131744256089</v>
      </c>
      <c r="H588" s="5">
        <f>G588/F588-1</f>
        <v>0.012236755213027362</v>
      </c>
      <c r="I588" s="5">
        <f>G588/E588-1</f>
        <v>-0.0362890360421958</v>
      </c>
      <c r="J588" s="5">
        <v>-0.09009737660573203</v>
      </c>
      <c r="K588" s="4">
        <v>8227447951.846623</v>
      </c>
    </row>
    <row r="589" spans="1:11">
      <c r="A589" s="1" t="s">
        <v>2854</v>
      </c>
      <c r="B589" s="1" t="s">
        <v>2855</v>
      </c>
      <c r="C589" s="1" t="s">
        <v>93</v>
      </c>
      <c r="D589" s="1" t="s">
        <v>93</v>
      </c>
      <c r="E589" s="4">
        <v>19.3</v>
      </c>
      <c r="F589" s="4">
        <v>18.68</v>
      </c>
      <c r="G589" s="4">
        <v>19.31</v>
      </c>
      <c r="H589" s="5">
        <f>G589/F589-1</f>
        <v>0.03372591006423975</v>
      </c>
      <c r="I589" s="5">
        <f>G589/E589-1</f>
        <v>0.0005181347150258198</v>
      </c>
      <c r="J589" s="5">
        <v>-0.07936507936507942</v>
      </c>
      <c r="K589" s="4">
        <v>2114400529.07</v>
      </c>
    </row>
    <row r="590" spans="1:11">
      <c r="A590" s="1" t="s">
        <v>2856</v>
      </c>
      <c r="B590" s="1" t="s">
        <v>2857</v>
      </c>
      <c r="C590" s="1" t="s">
        <v>116</v>
      </c>
      <c r="D590" s="1" t="s">
        <v>223</v>
      </c>
      <c r="E590" s="4">
        <v>7.122703438940532</v>
      </c>
      <c r="F590" s="4">
        <v>7.109778387207436</v>
      </c>
      <c r="G590" s="4">
        <v>7.068490821669505</v>
      </c>
      <c r="H590" s="5">
        <f>G590/F590-1</f>
        <v>-0.005807152247139014</v>
      </c>
      <c r="I590" s="5">
        <f>G590/E590-1</f>
        <v>-0.0076112416775128144</v>
      </c>
      <c r="J590" s="5">
        <v>-0.02761121764902397</v>
      </c>
      <c r="K590" s="4">
        <v>2173044305.806198</v>
      </c>
    </row>
    <row r="591" spans="1:11">
      <c r="A591" s="1" t="s">
        <v>2858</v>
      </c>
      <c r="B591" s="1" t="s">
        <v>2859</v>
      </c>
      <c r="C591" s="1" t="s">
        <v>54</v>
      </c>
      <c r="D591" s="1" t="s">
        <v>113</v>
      </c>
      <c r="E591" s="4">
        <v>11.05653620955316</v>
      </c>
      <c r="F591" s="4">
        <v>11.31052608060497</v>
      </c>
      <c r="G591" s="4">
        <v>10.97561999827898</v>
      </c>
      <c r="H591" s="5">
        <f>G591/F591-1</f>
        <v>-0.029610124227579138</v>
      </c>
      <c r="I591" s="5">
        <f>G591/E591-1</f>
        <v>-0.007318405126215399</v>
      </c>
      <c r="J591" s="5">
        <v>-0.04022910791276035</v>
      </c>
      <c r="K591" s="4">
        <v>13521256616.96928</v>
      </c>
    </row>
    <row r="592" spans="1:11">
      <c r="A592" s="1" t="s">
        <v>2860</v>
      </c>
      <c r="B592" s="1" t="s">
        <v>2861</v>
      </c>
      <c r="C592" s="1" t="s">
        <v>70</v>
      </c>
      <c r="D592" s="1" t="s">
        <v>71</v>
      </c>
      <c r="E592" s="4">
        <v>71.22</v>
      </c>
      <c r="F592" s="4">
        <v>70.58</v>
      </c>
      <c r="G592" s="4">
        <v>68.86</v>
      </c>
      <c r="H592" s="5">
        <f>G592/F592-1</f>
        <v>-0.024369509776140497</v>
      </c>
      <c r="I592" s="5">
        <f>G592/E592-1</f>
        <v>-0.03313675933726479</v>
      </c>
      <c r="J592" s="5">
        <v>-0.0516039051603906</v>
      </c>
      <c r="K592" s="4">
        <v>16011062295.58</v>
      </c>
    </row>
    <row r="593" spans="1:11">
      <c r="A593" s="1" t="s">
        <v>2862</v>
      </c>
      <c r="B593" s="1" t="s">
        <v>2863</v>
      </c>
      <c r="C593" s="1" t="s">
        <v>138</v>
      </c>
      <c r="D593" s="1" t="s">
        <v>139</v>
      </c>
      <c r="E593" s="4">
        <v>4.518138846087999</v>
      </c>
      <c r="F593" s="4">
        <v>4.440178740225145</v>
      </c>
      <c r="G593" s="4">
        <v>4.361628087083727</v>
      </c>
      <c r="H593" s="5">
        <f>G593/F593-1</f>
        <v>-0.01769087636716049</v>
      </c>
      <c r="I593" s="5">
        <f>G593/E593-1</f>
        <v>-0.03464053769391917</v>
      </c>
      <c r="J593" s="5">
        <v>-0.09984798677133744</v>
      </c>
      <c r="K593" s="4">
        <v>4705334665.064955</v>
      </c>
    </row>
    <row r="594" spans="1:11">
      <c r="A594" s="1" t="s">
        <v>2864</v>
      </c>
      <c r="B594" s="1" t="s">
        <v>2865</v>
      </c>
      <c r="C594" s="1" t="s">
        <v>70</v>
      </c>
      <c r="D594" s="1" t="s">
        <v>100</v>
      </c>
      <c r="E594" s="4">
        <v>29.46</v>
      </c>
      <c r="F594" s="4">
        <v>28.93</v>
      </c>
      <c r="G594" s="4">
        <v>29.12</v>
      </c>
      <c r="H594" s="5">
        <f>G594/F594-1</f>
        <v>0.00656757690978238</v>
      </c>
      <c r="I594" s="5">
        <f>G594/E594-1</f>
        <v>-0.01154107264086901</v>
      </c>
      <c r="J594" s="5">
        <v>-0.07832121612690024</v>
      </c>
      <c r="K594" s="4">
        <v>17230985116.8</v>
      </c>
    </row>
    <row r="595" spans="1:11">
      <c r="A595" s="1" t="s">
        <v>2866</v>
      </c>
      <c r="B595" s="1" t="s">
        <v>2867</v>
      </c>
      <c r="C595" s="1" t="s">
        <v>47</v>
      </c>
      <c r="D595" s="1" t="s">
        <v>48</v>
      </c>
      <c r="E595" s="4">
        <v>28.30697483307653</v>
      </c>
      <c r="F595" s="4">
        <v>27.64200395290883</v>
      </c>
      <c r="G595" s="4">
        <v>27.68918337492471</v>
      </c>
      <c r="H595" s="5">
        <f>G595/F595-1</f>
        <v>0.0017068017968691063</v>
      </c>
      <c r="I595" s="5">
        <f>G595/E595-1</f>
        <v>-0.02182470793134461</v>
      </c>
      <c r="J595" s="5">
        <v>-0.04956644832773971</v>
      </c>
      <c r="K595" s="4">
        <v>4644626122.206351</v>
      </c>
    </row>
    <row r="596" spans="1:11">
      <c r="A596" s="1" t="s">
        <v>2868</v>
      </c>
      <c r="B596" s="1" t="s">
        <v>2869</v>
      </c>
      <c r="C596" s="1" t="s">
        <v>93</v>
      </c>
      <c r="D596" s="1" t="s">
        <v>93</v>
      </c>
      <c r="E596" s="4">
        <v>41.45482866995616</v>
      </c>
      <c r="F596" s="4">
        <v>42.83081870755505</v>
      </c>
      <c r="G596" s="4">
        <v>42.34829918245293</v>
      </c>
      <c r="H596" s="5">
        <f>G596/F596-1</f>
        <v>-0.011265708657047013</v>
      </c>
      <c r="I596" s="5">
        <f>G596/E596-1</f>
        <v>0.021552869500683913</v>
      </c>
      <c r="J596" s="5">
        <v>-0.04083242866610304</v>
      </c>
      <c r="K596" s="4">
        <v>10787197061.63391</v>
      </c>
    </row>
    <row r="597" spans="1:11">
      <c r="A597" s="1" t="s">
        <v>2870</v>
      </c>
      <c r="B597" s="1" t="s">
        <v>2871</v>
      </c>
      <c r="C597" s="1" t="s">
        <v>66</v>
      </c>
      <c r="D597" s="1" t="s">
        <v>214</v>
      </c>
      <c r="E597" s="4">
        <v>7.259498564493303</v>
      </c>
      <c r="F597" s="4">
        <v>7.286009395041877</v>
      </c>
      <c r="G597" s="4">
        <v>7.317232186397119</v>
      </c>
      <c r="H597" s="5">
        <f>G597/F597-1</f>
        <v>0.004285307589157128</v>
      </c>
      <c r="I597" s="5">
        <f>G597/E597-1</f>
        <v>0.007952838807103513</v>
      </c>
      <c r="J597" s="5">
        <v>-0.005499189323737608</v>
      </c>
      <c r="K597" s="4">
        <v>7338998061.844936</v>
      </c>
    </row>
    <row r="598" spans="1:11">
      <c r="A598" s="1" t="s">
        <v>2872</v>
      </c>
      <c r="B598" s="1" t="s">
        <v>2873</v>
      </c>
      <c r="C598" s="1" t="s">
        <v>47</v>
      </c>
      <c r="D598" s="1" t="s">
        <v>120</v>
      </c>
      <c r="E598" s="4">
        <v>22.78</v>
      </c>
      <c r="F598" s="4">
        <v>22.82</v>
      </c>
      <c r="G598" s="4">
        <v>23.51</v>
      </c>
      <c r="H598" s="5">
        <f>G598/F598-1</f>
        <v>0.030236634531113138</v>
      </c>
      <c r="I598" s="5">
        <f>G598/E598-1</f>
        <v>0.03204565408252846</v>
      </c>
      <c r="J598" s="5">
        <v>-0.07423935091277889</v>
      </c>
      <c r="K598" s="4">
        <v>5883382507.630001</v>
      </c>
    </row>
    <row r="599" spans="1:11">
      <c r="A599" s="1" t="s">
        <v>2874</v>
      </c>
      <c r="B599" s="1" t="s">
        <v>2875</v>
      </c>
      <c r="C599" s="1" t="s">
        <v>37</v>
      </c>
      <c r="D599" s="1" t="s">
        <v>38</v>
      </c>
      <c r="E599" s="4">
        <v>42.96542160526231</v>
      </c>
      <c r="F599" s="4">
        <v>41.54025185385114</v>
      </c>
      <c r="G599" s="4">
        <v>40.85758978581447</v>
      </c>
      <c r="H599" s="5">
        <f>G599/F599-1</f>
        <v>-0.016433748895852696</v>
      </c>
      <c r="I599" s="5">
        <f>G599/E599-1</f>
        <v>-0.04905879520543743</v>
      </c>
      <c r="J599" s="5">
        <v>-0.08224216357479963</v>
      </c>
      <c r="K599" s="4">
        <v>2924535531.742085</v>
      </c>
    </row>
    <row r="600" spans="1:11">
      <c r="A600" s="1" t="s">
        <v>2876</v>
      </c>
      <c r="B600" s="1" t="s">
        <v>2877</v>
      </c>
      <c r="C600" s="1" t="s">
        <v>138</v>
      </c>
      <c r="D600" s="1" t="s">
        <v>258</v>
      </c>
      <c r="E600" s="4">
        <v>18.5443382982366</v>
      </c>
      <c r="F600" s="4">
        <v>18.66853656440664</v>
      </c>
      <c r="G600" s="4">
        <v>19.12647792788917</v>
      </c>
      <c r="H600" s="5">
        <f>G600/F600-1</f>
        <v>0.024530115786131956</v>
      </c>
      <c r="I600" s="5">
        <f>G600/E600-1</f>
        <v>0.031391771455545836</v>
      </c>
      <c r="J600" s="5">
        <v>-0.03812737719842696</v>
      </c>
      <c r="K600" s="4">
        <v>4313093491.608089</v>
      </c>
    </row>
    <row r="601" spans="1:11">
      <c r="A601" s="1" t="s">
        <v>2878</v>
      </c>
      <c r="B601" s="1" t="s">
        <v>2879</v>
      </c>
      <c r="C601" s="1" t="s">
        <v>54</v>
      </c>
      <c r="D601" s="1" t="s">
        <v>55</v>
      </c>
      <c r="E601" s="4">
        <v>626.1720557106775</v>
      </c>
      <c r="F601" s="4">
        <v>644.4693467229412</v>
      </c>
      <c r="G601" s="4">
        <v>639.7472862103026</v>
      </c>
      <c r="H601" s="5">
        <f>G601/F601-1</f>
        <v>-0.007327052150191027</v>
      </c>
      <c r="I601" s="5">
        <f>G601/E601-1</f>
        <v>0.021679713068986972</v>
      </c>
      <c r="J601" s="5">
        <v>-0.009957717504766261</v>
      </c>
      <c r="K601" s="4">
        <v>96745869083.28935</v>
      </c>
    </row>
  </sheetData>
  <autoFilter ref="A1:K601"/>
  <conditionalFormatting sqref="H2:H601">
    <cfRule type="colorScale" priority="1">
      <colorScale>
        <cfvo type="min" val="0"/>
        <cfvo type="num" val="0"/>
        <cfvo type="max" val="0"/>
        <color rgb="FFF6C7CE"/>
        <color rgb="FFFFFFFF"/>
        <color rgb="FFB9E5D1"/>
      </colorScale>
    </cfRule>
  </conditionalFormatting>
  <conditionalFormatting sqref="I2:I601">
    <cfRule type="colorScale" priority="2">
      <colorScale>
        <cfvo type="min" val="0"/>
        <cfvo type="num" val="0"/>
        <cfvo type="max" val="0"/>
        <color rgb="FFF6C7CE"/>
        <color rgb="FFFFFFFF"/>
        <color rgb="FFB9E5D1"/>
      </colorScale>
    </cfRule>
  </conditionalFormatting>
  <conditionalFormatting sqref="J2:J601">
    <cfRule type="colorScale" priority="3">
      <colorScale>
        <cfvo type="min" val="0"/>
        <cfvo type="num" val="0"/>
        <cfvo type="max" val="0"/>
        <color rgb="FFF6C7CE"/>
        <color rgb="FFFFFFFF"/>
        <color rgb="FFB9E5D1"/>
      </colorScale>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101"/>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5.7109375" style="1" customWidth="1"/>
    <col min="2" max="2" width="22.7109375" style="1" customWidth="1"/>
    <col min="3" max="3" width="40.7109375" style="1" customWidth="1"/>
    <col min="4" max="4" width="27.7109375" style="1" customWidth="1"/>
    <col min="5" max="7" width="15.7109375" style="1" customWidth="1"/>
  </cols>
  <sheetData>
    <row r="1" spans="1:7" ht="30" customHeight="1">
      <c r="A1" s="3" t="s">
        <v>1071</v>
      </c>
      <c r="B1" s="3" t="s">
        <v>24</v>
      </c>
      <c r="C1" s="3" t="s">
        <v>25</v>
      </c>
      <c r="D1" s="3" t="s">
        <v>26</v>
      </c>
      <c r="E1" s="3" t="s">
        <v>1072</v>
      </c>
      <c r="F1" s="3" t="s">
        <v>1073</v>
      </c>
      <c r="G1" s="3" t="s">
        <v>1074</v>
      </c>
    </row>
    <row r="2" spans="1:7">
      <c r="A2" s="4">
        <v>1</v>
      </c>
      <c r="B2" s="1" t="s">
        <v>1802</v>
      </c>
      <c r="C2" s="1" t="s">
        <v>1803</v>
      </c>
      <c r="D2" s="1" t="s">
        <v>41</v>
      </c>
      <c r="E2" s="5">
        <v>0.1115591397849462</v>
      </c>
      <c r="F2" s="5">
        <v>0.1763869132290186</v>
      </c>
      <c r="G2" s="4">
        <v>165.4</v>
      </c>
    </row>
    <row r="3" spans="1:7">
      <c r="A3" s="4">
        <v>2</v>
      </c>
      <c r="B3" s="1" t="s">
        <v>2762</v>
      </c>
      <c r="C3" s="1" t="s">
        <v>2763</v>
      </c>
      <c r="D3" s="1" t="s">
        <v>93</v>
      </c>
      <c r="E3" s="5">
        <v>0.06512605042016828</v>
      </c>
      <c r="F3" s="5">
        <v>0.1376215407629022</v>
      </c>
      <c r="G3" s="4">
        <v>15.21</v>
      </c>
    </row>
    <row r="4" spans="1:7">
      <c r="A4" s="4">
        <v>3</v>
      </c>
      <c r="B4" s="1" t="s">
        <v>2840</v>
      </c>
      <c r="C4" s="1" t="s">
        <v>2841</v>
      </c>
      <c r="D4" s="1" t="s">
        <v>47</v>
      </c>
      <c r="E4" s="5">
        <v>0.06469355683603983</v>
      </c>
      <c r="F4" s="5">
        <v>0.08371101039722739</v>
      </c>
      <c r="G4" s="4">
        <v>81.3</v>
      </c>
    </row>
    <row r="5" spans="1:7">
      <c r="A5" s="4">
        <v>4</v>
      </c>
      <c r="B5" s="1" t="s">
        <v>1792</v>
      </c>
      <c r="C5" s="1" t="s">
        <v>1793</v>
      </c>
      <c r="D5" s="1" t="s">
        <v>41</v>
      </c>
      <c r="E5" s="5">
        <v>0.06203346203346216</v>
      </c>
      <c r="F5" s="5">
        <v>-0.00626204238920991</v>
      </c>
      <c r="G5" s="4">
        <v>825.2</v>
      </c>
    </row>
    <row r="6" spans="1:7">
      <c r="A6" s="4">
        <v>5</v>
      </c>
      <c r="B6" s="1" t="s">
        <v>2360</v>
      </c>
      <c r="C6" s="1" t="s">
        <v>2361</v>
      </c>
      <c r="D6" s="1" t="s">
        <v>70</v>
      </c>
      <c r="E6" s="5">
        <v>0.0457817604250248</v>
      </c>
      <c r="F6" s="5">
        <v>0.04593583485211084</v>
      </c>
      <c r="G6" s="4">
        <v>3024.852996258236</v>
      </c>
    </row>
    <row r="7" spans="1:7">
      <c r="A7" s="4">
        <v>6</v>
      </c>
      <c r="B7" s="1" t="s">
        <v>1938</v>
      </c>
      <c r="C7" s="1" t="s">
        <v>1939</v>
      </c>
      <c r="D7" s="1" t="s">
        <v>41</v>
      </c>
      <c r="E7" s="5">
        <v>0.0405544283801762</v>
      </c>
      <c r="F7" s="5">
        <v>0.09519940140113925</v>
      </c>
      <c r="G7" s="4">
        <v>65.03467859908787</v>
      </c>
    </row>
    <row r="8" spans="1:7">
      <c r="A8" s="4">
        <v>7</v>
      </c>
      <c r="B8" s="1" t="s">
        <v>2298</v>
      </c>
      <c r="C8" s="1" t="s">
        <v>2299</v>
      </c>
      <c r="D8" s="1" t="s">
        <v>70</v>
      </c>
      <c r="E8" s="5">
        <v>0.03970621987606138</v>
      </c>
      <c r="F8" s="5">
        <v>0.1021897810218977</v>
      </c>
      <c r="G8" s="4">
        <v>45.3</v>
      </c>
    </row>
    <row r="9" spans="1:7">
      <c r="A9" s="4">
        <v>8</v>
      </c>
      <c r="B9" s="1" t="s">
        <v>2162</v>
      </c>
      <c r="C9" s="1" t="s">
        <v>2163</v>
      </c>
      <c r="D9" s="1" t="s">
        <v>129</v>
      </c>
      <c r="E9" s="5">
        <v>0.03942307692307678</v>
      </c>
      <c r="F9" s="5">
        <v>0.05258033106134374</v>
      </c>
      <c r="G9" s="4">
        <v>216.2</v>
      </c>
    </row>
    <row r="10" spans="1:7">
      <c r="A10" s="4">
        <v>9</v>
      </c>
      <c r="B10" s="1" t="s">
        <v>2770</v>
      </c>
      <c r="C10" s="1" t="s">
        <v>2771</v>
      </c>
      <c r="D10" s="1" t="s">
        <v>41</v>
      </c>
      <c r="E10" s="5">
        <v>0.03936411809235429</v>
      </c>
      <c r="F10" s="5">
        <v>-0.01506456241032994</v>
      </c>
      <c r="G10" s="4">
        <v>27.46</v>
      </c>
    </row>
    <row r="11" spans="1:7">
      <c r="A11" s="4">
        <v>10</v>
      </c>
      <c r="B11" s="1" t="s">
        <v>2672</v>
      </c>
      <c r="C11" s="1" t="s">
        <v>2673</v>
      </c>
      <c r="D11" s="1" t="s">
        <v>41</v>
      </c>
      <c r="E11" s="5">
        <v>0.03886639676113379</v>
      </c>
      <c r="F11" s="5">
        <v>0.1684881602914392</v>
      </c>
      <c r="G11" s="4">
        <v>128.3</v>
      </c>
    </row>
    <row r="12" spans="1:7">
      <c r="A12" s="4">
        <v>11</v>
      </c>
      <c r="B12" s="1" t="s">
        <v>2468</v>
      </c>
      <c r="C12" s="1" t="s">
        <v>2469</v>
      </c>
      <c r="D12" s="1" t="s">
        <v>47</v>
      </c>
      <c r="E12" s="5">
        <v>0.03607142857142853</v>
      </c>
      <c r="F12" s="5">
        <v>0.03755364806866957</v>
      </c>
      <c r="G12" s="4">
        <v>29.01</v>
      </c>
    </row>
    <row r="13" spans="1:7">
      <c r="A13" s="4">
        <v>12</v>
      </c>
      <c r="B13" s="1" t="s">
        <v>1994</v>
      </c>
      <c r="C13" s="1" t="s">
        <v>1995</v>
      </c>
      <c r="D13" s="1" t="s">
        <v>47</v>
      </c>
      <c r="E13" s="5">
        <v>0.03440366972477071</v>
      </c>
      <c r="F13" s="5">
        <v>0.01177790241166576</v>
      </c>
      <c r="G13" s="4">
        <v>180.4</v>
      </c>
    </row>
    <row r="14" spans="1:7">
      <c r="A14" s="4">
        <v>13</v>
      </c>
      <c r="B14" s="1" t="s">
        <v>2854</v>
      </c>
      <c r="C14" s="1" t="s">
        <v>2855</v>
      </c>
      <c r="D14" s="1" t="s">
        <v>93</v>
      </c>
      <c r="E14" s="5">
        <v>0.03372591006423975</v>
      </c>
      <c r="F14" s="5">
        <v>0.0005181347150258198</v>
      </c>
      <c r="G14" s="4">
        <v>19.31</v>
      </c>
    </row>
    <row r="15" spans="1:7">
      <c r="A15" s="4">
        <v>14</v>
      </c>
      <c r="B15" s="1" t="s">
        <v>2334</v>
      </c>
      <c r="C15" s="1" t="s">
        <v>2335</v>
      </c>
      <c r="D15" s="1" t="s">
        <v>70</v>
      </c>
      <c r="E15" s="5">
        <v>0.03333333333333344</v>
      </c>
      <c r="F15" s="5">
        <v>0.01506221349050429</v>
      </c>
      <c r="G15" s="4">
        <v>15.5</v>
      </c>
    </row>
    <row r="16" spans="1:7">
      <c r="A16" s="4">
        <v>15</v>
      </c>
      <c r="B16" s="1" t="s">
        <v>2352</v>
      </c>
      <c r="C16" s="1" t="s">
        <v>2353</v>
      </c>
      <c r="D16" s="1" t="s">
        <v>70</v>
      </c>
      <c r="E16" s="5">
        <v>0.03261267863686346</v>
      </c>
      <c r="F16" s="5">
        <v>0.04641663572224286</v>
      </c>
      <c r="G16" s="4">
        <v>140.9</v>
      </c>
    </row>
    <row r="17" spans="1:7">
      <c r="A17" s="4">
        <v>16</v>
      </c>
      <c r="B17" s="1" t="s">
        <v>2294</v>
      </c>
      <c r="C17" s="1" t="s">
        <v>2295</v>
      </c>
      <c r="D17" s="1" t="s">
        <v>47</v>
      </c>
      <c r="E17" s="5">
        <v>0.03251938946000621</v>
      </c>
      <c r="F17" s="5">
        <v>-0.04684071077929652</v>
      </c>
      <c r="G17" s="4">
        <v>3.576325617416746</v>
      </c>
    </row>
    <row r="18" spans="1:7">
      <c r="A18" s="4">
        <v>17</v>
      </c>
      <c r="B18" s="1" t="s">
        <v>2010</v>
      </c>
      <c r="C18" s="1" t="s">
        <v>2011</v>
      </c>
      <c r="D18" s="1" t="s">
        <v>76</v>
      </c>
      <c r="E18" s="5">
        <v>0.03128446915237038</v>
      </c>
      <c r="F18" s="5">
        <v>0.06718161989581839</v>
      </c>
      <c r="G18" s="4">
        <v>9.278203252732123</v>
      </c>
    </row>
    <row r="19" spans="1:7">
      <c r="A19" s="4">
        <v>18</v>
      </c>
      <c r="B19" s="1" t="s">
        <v>1794</v>
      </c>
      <c r="C19" s="1" t="s">
        <v>1795</v>
      </c>
      <c r="D19" s="1" t="s">
        <v>41</v>
      </c>
      <c r="E19" s="5">
        <v>0.03091190108191655</v>
      </c>
      <c r="F19" s="5">
        <v>-0.02563081009296142</v>
      </c>
      <c r="G19" s="4">
        <v>1467.4</v>
      </c>
    </row>
    <row r="20" spans="1:7">
      <c r="A20" s="4">
        <v>19</v>
      </c>
      <c r="B20" s="1" t="s">
        <v>2022</v>
      </c>
      <c r="C20" s="1" t="s">
        <v>2023</v>
      </c>
      <c r="D20" s="1" t="s">
        <v>54</v>
      </c>
      <c r="E20" s="5">
        <v>0.03057240658060278</v>
      </c>
      <c r="F20" s="5">
        <v>0.02611418686848999</v>
      </c>
      <c r="G20" s="4">
        <v>172.9232430484213</v>
      </c>
    </row>
    <row r="21" spans="1:7">
      <c r="A21" s="4">
        <v>20</v>
      </c>
      <c r="B21" s="1" t="s">
        <v>2872</v>
      </c>
      <c r="C21" s="1" t="s">
        <v>2873</v>
      </c>
      <c r="D21" s="1" t="s">
        <v>47</v>
      </c>
      <c r="E21" s="5">
        <v>0.03023663453111314</v>
      </c>
      <c r="F21" s="5">
        <v>0.03204565408252846</v>
      </c>
      <c r="G21" s="4">
        <v>23.51</v>
      </c>
    </row>
    <row r="22" spans="1:7">
      <c r="A22" s="4">
        <v>21</v>
      </c>
      <c r="B22" s="1" t="s">
        <v>2102</v>
      </c>
      <c r="C22" s="1" t="s">
        <v>2103</v>
      </c>
      <c r="D22" s="1" t="s">
        <v>76</v>
      </c>
      <c r="E22" s="5">
        <v>0.02944062806673209</v>
      </c>
      <c r="F22" s="5">
        <v>0.05083896819434019</v>
      </c>
      <c r="G22" s="4">
        <v>20.98</v>
      </c>
    </row>
    <row r="23" spans="1:7">
      <c r="A23" s="4">
        <v>22</v>
      </c>
      <c r="B23" s="1" t="s">
        <v>1706</v>
      </c>
      <c r="C23" s="1" t="s">
        <v>1707</v>
      </c>
      <c r="D23" s="1" t="s">
        <v>70</v>
      </c>
      <c r="E23" s="5">
        <v>0.02934702861335281</v>
      </c>
      <c r="F23" s="5">
        <v>0.09013209013209034</v>
      </c>
      <c r="G23" s="4">
        <v>280.6</v>
      </c>
    </row>
    <row r="24" spans="1:7">
      <c r="A24" s="4">
        <v>23</v>
      </c>
      <c r="B24" s="1" t="s">
        <v>2436</v>
      </c>
      <c r="C24" s="1" t="s">
        <v>2437</v>
      </c>
      <c r="D24" s="1" t="s">
        <v>41</v>
      </c>
      <c r="E24" s="5">
        <v>0.02925089179548168</v>
      </c>
      <c r="F24" s="5">
        <v>-0.0114207400639561</v>
      </c>
      <c r="G24" s="4">
        <v>8.656000000000001</v>
      </c>
    </row>
    <row r="25" spans="1:7">
      <c r="A25" s="4">
        <v>24</v>
      </c>
      <c r="B25" s="1" t="s">
        <v>2114</v>
      </c>
      <c r="C25" s="1" t="s">
        <v>2115</v>
      </c>
      <c r="D25" s="1" t="s">
        <v>129</v>
      </c>
      <c r="E25" s="5">
        <v>0.02901047267653367</v>
      </c>
      <c r="F25" s="5">
        <v>0.0572238247281629</v>
      </c>
      <c r="G25" s="4">
        <v>40.30217453896319</v>
      </c>
    </row>
    <row r="26" spans="1:7">
      <c r="A26" s="4">
        <v>25</v>
      </c>
      <c r="B26" s="1" t="s">
        <v>2836</v>
      </c>
      <c r="C26" s="1" t="s">
        <v>2837</v>
      </c>
      <c r="D26" s="1" t="s">
        <v>93</v>
      </c>
      <c r="E26" s="5">
        <v>0.028169014084507</v>
      </c>
      <c r="F26" s="5">
        <v>0.06715395157606197</v>
      </c>
      <c r="G26" s="4">
        <v>46.72</v>
      </c>
    </row>
    <row r="27" spans="1:7">
      <c r="A27" s="4">
        <v>26</v>
      </c>
      <c r="B27" s="1" t="s">
        <v>1864</v>
      </c>
      <c r="C27" s="1" t="s">
        <v>1865</v>
      </c>
      <c r="D27" s="1" t="s">
        <v>41</v>
      </c>
      <c r="E27" s="5">
        <v>0.02742946708463956</v>
      </c>
      <c r="F27" s="5">
        <v>-0.07589285714285721</v>
      </c>
      <c r="G27" s="4">
        <v>196.65</v>
      </c>
    </row>
    <row r="28" spans="1:7">
      <c r="A28" s="4">
        <v>27</v>
      </c>
      <c r="B28" s="1" t="s">
        <v>2350</v>
      </c>
      <c r="C28" s="1" t="s">
        <v>2351</v>
      </c>
      <c r="D28" s="1" t="s">
        <v>47</v>
      </c>
      <c r="E28" s="5">
        <v>0.02741072772259323</v>
      </c>
      <c r="F28" s="5">
        <v>0.02592654373170533</v>
      </c>
      <c r="G28" s="4">
        <v>4949.278442399826</v>
      </c>
    </row>
    <row r="29" spans="1:7">
      <c r="A29" s="4">
        <v>28</v>
      </c>
      <c r="B29" s="1" t="s">
        <v>2834</v>
      </c>
      <c r="C29" s="1" t="s">
        <v>2835</v>
      </c>
      <c r="D29" s="1" t="s">
        <v>138</v>
      </c>
      <c r="E29" s="5">
        <v>0.0265744758240376</v>
      </c>
      <c r="F29" s="5">
        <v>0.06811913061824426</v>
      </c>
      <c r="G29" s="4">
        <v>1.461244299113674</v>
      </c>
    </row>
    <row r="30" spans="1:7">
      <c r="A30" s="4">
        <v>29</v>
      </c>
      <c r="B30" s="1" t="s">
        <v>2814</v>
      </c>
      <c r="C30" s="1" t="s">
        <v>2815</v>
      </c>
      <c r="D30" s="1" t="s">
        <v>70</v>
      </c>
      <c r="E30" s="5">
        <v>0.02507005670066653</v>
      </c>
      <c r="F30" s="5">
        <v>0.008354888245063474</v>
      </c>
      <c r="G30" s="4">
        <v>651.4447931057703</v>
      </c>
    </row>
    <row r="31" spans="1:7">
      <c r="A31" s="4">
        <v>30</v>
      </c>
      <c r="B31" s="1" t="s">
        <v>2376</v>
      </c>
      <c r="C31" s="1" t="s">
        <v>2377</v>
      </c>
      <c r="D31" s="1" t="s">
        <v>54</v>
      </c>
      <c r="E31" s="5">
        <v>0.02489532131562489</v>
      </c>
      <c r="F31" s="5">
        <v>0.02389997147723077</v>
      </c>
      <c r="G31" s="4">
        <v>4.96087468992185</v>
      </c>
    </row>
    <row r="32" spans="1:7">
      <c r="A32" s="4">
        <v>31</v>
      </c>
      <c r="B32" s="1" t="s">
        <v>1702</v>
      </c>
      <c r="C32" s="1" t="s">
        <v>1703</v>
      </c>
      <c r="D32" s="1" t="s">
        <v>47</v>
      </c>
      <c r="E32" s="5">
        <v>0.02468866069477804</v>
      </c>
      <c r="F32" s="5">
        <v>0.03009005051614322</v>
      </c>
      <c r="G32" s="4">
        <v>46.9</v>
      </c>
    </row>
    <row r="33" spans="1:7">
      <c r="A33" s="4">
        <v>32</v>
      </c>
      <c r="B33" s="1" t="s">
        <v>2592</v>
      </c>
      <c r="C33" s="1" t="s">
        <v>2593</v>
      </c>
      <c r="D33" s="1" t="s">
        <v>70</v>
      </c>
      <c r="E33" s="5">
        <v>0.02462579746369742</v>
      </c>
      <c r="F33" s="5">
        <v>0.01921362248030101</v>
      </c>
      <c r="G33" s="4">
        <v>35.10398815446561</v>
      </c>
    </row>
    <row r="34" spans="1:7">
      <c r="A34" s="4">
        <v>33</v>
      </c>
      <c r="B34" s="1" t="s">
        <v>2876</v>
      </c>
      <c r="C34" s="1" t="s">
        <v>2877</v>
      </c>
      <c r="D34" s="1" t="s">
        <v>138</v>
      </c>
      <c r="E34" s="5">
        <v>0.02453011578613196</v>
      </c>
      <c r="F34" s="5">
        <v>0.03139177145554584</v>
      </c>
      <c r="G34" s="4">
        <v>19.12647792788917</v>
      </c>
    </row>
    <row r="35" spans="1:7">
      <c r="A35" s="4">
        <v>34</v>
      </c>
      <c r="B35" s="1" t="s">
        <v>2696</v>
      </c>
      <c r="C35" s="1" t="s">
        <v>2697</v>
      </c>
      <c r="D35" s="1" t="s">
        <v>93</v>
      </c>
      <c r="E35" s="5">
        <v>0.02420369246545384</v>
      </c>
      <c r="F35" s="5">
        <v>0.08311653511199113</v>
      </c>
      <c r="G35" s="4">
        <v>9.547636870517305</v>
      </c>
    </row>
    <row r="36" spans="1:7">
      <c r="A36" s="4">
        <v>35</v>
      </c>
      <c r="B36" s="1" t="s">
        <v>2398</v>
      </c>
      <c r="C36" s="1" t="s">
        <v>2399</v>
      </c>
      <c r="D36" s="1" t="s">
        <v>93</v>
      </c>
      <c r="E36" s="5">
        <v>0.02406335668595805</v>
      </c>
      <c r="F36" s="5">
        <v>0.07446468520294025</v>
      </c>
      <c r="G36" s="4">
        <v>67.23999999999999</v>
      </c>
    </row>
    <row r="37" spans="1:7">
      <c r="A37" s="4">
        <v>36</v>
      </c>
      <c r="B37" s="1" t="s">
        <v>2222</v>
      </c>
      <c r="C37" s="1" t="s">
        <v>2223</v>
      </c>
      <c r="D37" s="1" t="s">
        <v>41</v>
      </c>
      <c r="E37" s="5">
        <v>0.0239510174680353</v>
      </c>
      <c r="F37" s="5">
        <v>0.0159013757370019</v>
      </c>
      <c r="G37" s="4">
        <v>56.86</v>
      </c>
    </row>
    <row r="38" spans="1:7">
      <c r="A38" s="4">
        <v>37</v>
      </c>
      <c r="B38" s="1" t="s">
        <v>2418</v>
      </c>
      <c r="C38" s="1" t="s">
        <v>2419</v>
      </c>
      <c r="D38" s="1" t="s">
        <v>129</v>
      </c>
      <c r="E38" s="5">
        <v>0.02337495997438355</v>
      </c>
      <c r="F38" s="5">
        <v>-0.02709284627092845</v>
      </c>
      <c r="G38" s="4">
        <v>31.96</v>
      </c>
    </row>
    <row r="39" spans="1:7">
      <c r="A39" s="4">
        <v>38</v>
      </c>
      <c r="B39" s="1" t="s">
        <v>2574</v>
      </c>
      <c r="C39" s="1" t="s">
        <v>2575</v>
      </c>
      <c r="D39" s="1" t="s">
        <v>70</v>
      </c>
      <c r="E39" s="5">
        <v>0.02327624066754508</v>
      </c>
      <c r="F39" s="5">
        <v>0.01084598698481565</v>
      </c>
      <c r="G39" s="4">
        <v>23.3</v>
      </c>
    </row>
    <row r="40" spans="1:7">
      <c r="A40" s="4">
        <v>39</v>
      </c>
      <c r="B40" s="1" t="s">
        <v>2300</v>
      </c>
      <c r="C40" s="1" t="s">
        <v>2301</v>
      </c>
      <c r="D40" s="1" t="s">
        <v>70</v>
      </c>
      <c r="E40" s="5">
        <v>0.02235852906892166</v>
      </c>
      <c r="F40" s="5">
        <v>0.02878701158862995</v>
      </c>
      <c r="G40" s="4">
        <v>5.260669784755086</v>
      </c>
    </row>
    <row r="41" spans="1:7">
      <c r="A41" s="4">
        <v>40</v>
      </c>
      <c r="B41" s="1" t="s">
        <v>2470</v>
      </c>
      <c r="C41" s="1" t="s">
        <v>2471</v>
      </c>
      <c r="D41" s="1" t="s">
        <v>54</v>
      </c>
      <c r="E41" s="5">
        <v>0.02173376576945318</v>
      </c>
      <c r="F41" s="5">
        <v>0.01967155556982392</v>
      </c>
      <c r="G41" s="4">
        <v>61.20499442124245</v>
      </c>
    </row>
    <row r="42" spans="1:7">
      <c r="A42" s="4">
        <v>41</v>
      </c>
      <c r="B42" s="1" t="s">
        <v>2482</v>
      </c>
      <c r="C42" s="1" t="s">
        <v>2483</v>
      </c>
      <c r="D42" s="1" t="s">
        <v>54</v>
      </c>
      <c r="E42" s="5">
        <v>0.02088940570284392</v>
      </c>
      <c r="F42" s="5">
        <v>0.02576353662892483</v>
      </c>
      <c r="G42" s="4">
        <v>27.11202670649202</v>
      </c>
    </row>
    <row r="43" spans="1:7">
      <c r="A43" s="4">
        <v>42</v>
      </c>
      <c r="B43" s="1" t="s">
        <v>2198</v>
      </c>
      <c r="C43" s="1" t="s">
        <v>2199</v>
      </c>
      <c r="D43" s="1" t="s">
        <v>93</v>
      </c>
      <c r="E43" s="5">
        <v>0.02079460205744987</v>
      </c>
      <c r="F43" s="5">
        <v>0.045299930096939</v>
      </c>
      <c r="G43" s="4">
        <v>78.5221735601209</v>
      </c>
    </row>
    <row r="44" spans="1:7">
      <c r="A44" s="4">
        <v>43</v>
      </c>
      <c r="B44" s="1" t="s">
        <v>2494</v>
      </c>
      <c r="C44" s="1" t="s">
        <v>2495</v>
      </c>
      <c r="D44" s="1" t="s">
        <v>70</v>
      </c>
      <c r="E44" s="5">
        <v>0.02045075125208684</v>
      </c>
      <c r="F44" s="5">
        <v>-0.01411290322580649</v>
      </c>
      <c r="G44" s="4">
        <v>122.25</v>
      </c>
    </row>
    <row r="45" spans="1:7">
      <c r="A45" s="4">
        <v>44</v>
      </c>
      <c r="B45" s="1" t="s">
        <v>1746</v>
      </c>
      <c r="C45" s="1" t="s">
        <v>1747</v>
      </c>
      <c r="D45" s="1" t="s">
        <v>41</v>
      </c>
      <c r="E45" s="5">
        <v>0.02032176121930562</v>
      </c>
      <c r="F45" s="5">
        <v>-0.04085964446802859</v>
      </c>
      <c r="G45" s="4">
        <v>36.15</v>
      </c>
    </row>
    <row r="46" spans="1:7">
      <c r="A46" s="4">
        <v>45</v>
      </c>
      <c r="B46" s="1" t="s">
        <v>1918</v>
      </c>
      <c r="C46" s="1" t="s">
        <v>1919</v>
      </c>
      <c r="D46" s="1" t="s">
        <v>70</v>
      </c>
      <c r="E46" s="5">
        <v>0.02030755737899526</v>
      </c>
      <c r="F46" s="5">
        <v>0.08848544065018915</v>
      </c>
      <c r="G46" s="4">
        <v>353.5837311584535</v>
      </c>
    </row>
    <row r="47" spans="1:7">
      <c r="A47" s="4">
        <v>46</v>
      </c>
      <c r="B47" s="1" t="s">
        <v>1768</v>
      </c>
      <c r="C47" s="1" t="s">
        <v>1769</v>
      </c>
      <c r="D47" s="1" t="s">
        <v>70</v>
      </c>
      <c r="E47" s="5">
        <v>0.02009273570324566</v>
      </c>
      <c r="F47" s="5">
        <v>0.03189493433395874</v>
      </c>
      <c r="G47" s="4">
        <v>16.5</v>
      </c>
    </row>
    <row r="48" spans="1:7">
      <c r="A48" s="4">
        <v>47</v>
      </c>
      <c r="B48" s="1" t="s">
        <v>2406</v>
      </c>
      <c r="C48" s="1" t="s">
        <v>2407</v>
      </c>
      <c r="D48" s="1" t="s">
        <v>41</v>
      </c>
      <c r="E48" s="5">
        <v>0.01945449810191868</v>
      </c>
      <c r="F48" s="5">
        <v>-0.02010206495702438</v>
      </c>
      <c r="G48" s="4">
        <v>28.18397613426975</v>
      </c>
    </row>
    <row r="49" spans="1:7">
      <c r="A49" s="4">
        <v>48</v>
      </c>
      <c r="B49" s="1" t="s">
        <v>1954</v>
      </c>
      <c r="C49" s="1" t="s">
        <v>1955</v>
      </c>
      <c r="D49" s="1" t="s">
        <v>47</v>
      </c>
      <c r="E49" s="5">
        <v>0.01908288236969535</v>
      </c>
      <c r="F49" s="5">
        <v>0.04041872637394595</v>
      </c>
      <c r="G49" s="4">
        <v>71.56</v>
      </c>
    </row>
    <row r="50" spans="1:7">
      <c r="A50" s="4">
        <v>49</v>
      </c>
      <c r="B50" s="1" t="s">
        <v>2220</v>
      </c>
      <c r="C50" s="1" t="s">
        <v>2221</v>
      </c>
      <c r="D50" s="1" t="s">
        <v>41</v>
      </c>
      <c r="E50" s="5">
        <v>0.01902588064249633</v>
      </c>
      <c r="F50" s="5">
        <v>0.01810613960451302</v>
      </c>
      <c r="G50" s="4">
        <v>179.5035603595397</v>
      </c>
    </row>
    <row r="51" spans="1:7">
      <c r="A51" s="4">
        <v>50</v>
      </c>
      <c r="B51" s="1" t="s">
        <v>1710</v>
      </c>
      <c r="C51" s="1" t="s">
        <v>1711</v>
      </c>
      <c r="D51" s="1" t="s">
        <v>41</v>
      </c>
      <c r="E51" s="5">
        <v>0.01880779861833548</v>
      </c>
      <c r="F51" s="5">
        <v>0.02654450488845361</v>
      </c>
      <c r="G51" s="4">
        <v>54.64151832377689</v>
      </c>
    </row>
    <row r="52" spans="1:7">
      <c r="A52" s="4">
        <v>51</v>
      </c>
      <c r="B52" s="1" t="s">
        <v>2710</v>
      </c>
      <c r="C52" s="1" t="s">
        <v>2711</v>
      </c>
      <c r="D52" s="1" t="s">
        <v>41</v>
      </c>
      <c r="E52" s="5">
        <v>0.0185227272727273</v>
      </c>
      <c r="F52" s="5">
        <v>0.03991182271725258</v>
      </c>
      <c r="G52" s="4">
        <v>44.815</v>
      </c>
    </row>
    <row r="53" spans="1:7">
      <c r="A53" s="4">
        <v>52</v>
      </c>
      <c r="B53" s="1" t="s">
        <v>2168</v>
      </c>
      <c r="C53" s="1" t="s">
        <v>2169</v>
      </c>
      <c r="D53" s="1" t="s">
        <v>93</v>
      </c>
      <c r="E53" s="5">
        <v>0.01833740831295838</v>
      </c>
      <c r="F53" s="5">
        <v>0.04385964912280693</v>
      </c>
      <c r="G53" s="4">
        <v>166.6</v>
      </c>
    </row>
    <row r="54" spans="1:7">
      <c r="A54" s="4">
        <v>53</v>
      </c>
      <c r="B54" s="1" t="s">
        <v>2708</v>
      </c>
      <c r="C54" s="1" t="s">
        <v>2709</v>
      </c>
      <c r="D54" s="1" t="s">
        <v>47</v>
      </c>
      <c r="E54" s="5">
        <v>0.01797107613781379</v>
      </c>
      <c r="F54" s="5">
        <v>0.03024106758501954</v>
      </c>
      <c r="G54" s="4">
        <v>4.7865</v>
      </c>
    </row>
    <row r="55" spans="1:7">
      <c r="A55" s="4">
        <v>54</v>
      </c>
      <c r="B55" s="1" t="s">
        <v>2328</v>
      </c>
      <c r="C55" s="1" t="s">
        <v>2329</v>
      </c>
      <c r="D55" s="1" t="s">
        <v>70</v>
      </c>
      <c r="E55" s="5">
        <v>0.01790347690710958</v>
      </c>
      <c r="F55" s="5">
        <v>0.03155403628714182</v>
      </c>
      <c r="G55" s="4">
        <v>7.846</v>
      </c>
    </row>
    <row r="56" spans="1:7">
      <c r="A56" s="4">
        <v>55</v>
      </c>
      <c r="B56" s="1" t="s">
        <v>1724</v>
      </c>
      <c r="C56" s="1" t="s">
        <v>1725</v>
      </c>
      <c r="D56" s="1" t="s">
        <v>70</v>
      </c>
      <c r="E56" s="5">
        <v>0.01767441860465113</v>
      </c>
      <c r="F56" s="5">
        <v>-0.0009132420091323423</v>
      </c>
      <c r="G56" s="4">
        <v>109.4</v>
      </c>
    </row>
    <row r="57" spans="1:7">
      <c r="A57" s="4">
        <v>56</v>
      </c>
      <c r="B57" s="1" t="s">
        <v>2384</v>
      </c>
      <c r="C57" s="1" t="s">
        <v>2385</v>
      </c>
      <c r="D57" s="1" t="s">
        <v>54</v>
      </c>
      <c r="E57" s="5">
        <v>0.01724911472218538</v>
      </c>
      <c r="F57" s="5">
        <v>0.027598960687375</v>
      </c>
      <c r="G57" s="4">
        <v>4.158031150503398</v>
      </c>
    </row>
    <row r="58" spans="1:7">
      <c r="A58" s="4">
        <v>57</v>
      </c>
      <c r="B58" s="1" t="s">
        <v>1680</v>
      </c>
      <c r="C58" s="1" t="s">
        <v>1681</v>
      </c>
      <c r="D58" s="1" t="s">
        <v>76</v>
      </c>
      <c r="E58" s="5">
        <v>0.0172033524481694</v>
      </c>
      <c r="F58" s="5">
        <v>0.01407211961301669</v>
      </c>
      <c r="G58" s="4">
        <v>2.306</v>
      </c>
    </row>
    <row r="59" spans="1:7">
      <c r="A59" s="4">
        <v>58</v>
      </c>
      <c r="B59" s="1" t="s">
        <v>2572</v>
      </c>
      <c r="C59" s="1" t="s">
        <v>2573</v>
      </c>
      <c r="D59" s="1" t="s">
        <v>70</v>
      </c>
      <c r="E59" s="5">
        <v>0.01689189189189166</v>
      </c>
      <c r="F59" s="5">
        <v>0.009220452640402277</v>
      </c>
      <c r="G59" s="4">
        <v>36.12</v>
      </c>
    </row>
    <row r="60" spans="1:7">
      <c r="A60" s="4">
        <v>59</v>
      </c>
      <c r="B60" s="1" t="s">
        <v>1892</v>
      </c>
      <c r="C60" s="1" t="s">
        <v>1893</v>
      </c>
      <c r="D60" s="1" t="s">
        <v>47</v>
      </c>
      <c r="E60" s="5">
        <v>0.01683937823834203</v>
      </c>
      <c r="F60" s="5">
        <v>0.06657608695652173</v>
      </c>
      <c r="G60" s="4">
        <v>62.8</v>
      </c>
    </row>
    <row r="61" spans="1:7">
      <c r="A61" s="4">
        <v>60</v>
      </c>
      <c r="B61" s="1" t="s">
        <v>1720</v>
      </c>
      <c r="C61" s="1" t="s">
        <v>1721</v>
      </c>
      <c r="D61" s="1" t="s">
        <v>70</v>
      </c>
      <c r="E61" s="5">
        <v>0.01664984493383725</v>
      </c>
      <c r="F61" s="5">
        <v>0.01194067325093084</v>
      </c>
      <c r="G61" s="4">
        <v>25.691978781318</v>
      </c>
    </row>
    <row r="62" spans="1:7">
      <c r="A62" s="4">
        <v>61</v>
      </c>
      <c r="B62" s="1" t="s">
        <v>2188</v>
      </c>
      <c r="C62" s="1" t="s">
        <v>2189</v>
      </c>
      <c r="D62" s="1" t="s">
        <v>47</v>
      </c>
      <c r="E62" s="5">
        <v>0.01657940640993605</v>
      </c>
      <c r="F62" s="5">
        <v>-0.04376957749469801</v>
      </c>
      <c r="G62" s="4">
        <v>15.79274524765115</v>
      </c>
    </row>
    <row r="63" spans="1:7">
      <c r="A63" s="4">
        <v>62</v>
      </c>
      <c r="B63" s="1" t="s">
        <v>2704</v>
      </c>
      <c r="C63" s="1" t="s">
        <v>2705</v>
      </c>
      <c r="D63" s="1" t="s">
        <v>93</v>
      </c>
      <c r="E63" s="5">
        <v>0.01647528706939583</v>
      </c>
      <c r="F63" s="5">
        <v>0.03644878843412758</v>
      </c>
      <c r="G63" s="4">
        <v>10.18</v>
      </c>
    </row>
    <row r="64" spans="1:7">
      <c r="A64" s="4">
        <v>63</v>
      </c>
      <c r="B64" s="1" t="s">
        <v>1716</v>
      </c>
      <c r="C64" s="1" t="s">
        <v>1717</v>
      </c>
      <c r="D64" s="1" t="s">
        <v>66</v>
      </c>
      <c r="E64" s="5">
        <v>0.01637239165329052</v>
      </c>
      <c r="F64" s="5">
        <v>0.01997422680412364</v>
      </c>
      <c r="G64" s="4">
        <v>31.66</v>
      </c>
    </row>
    <row r="65" spans="1:7">
      <c r="A65" s="4">
        <v>64</v>
      </c>
      <c r="B65" s="1" t="s">
        <v>1924</v>
      </c>
      <c r="C65" s="1" t="s">
        <v>1925</v>
      </c>
      <c r="D65" s="1" t="s">
        <v>93</v>
      </c>
      <c r="E65" s="5">
        <v>0.01621351958094275</v>
      </c>
      <c r="F65" s="5">
        <v>0.02464788732394374</v>
      </c>
      <c r="G65" s="4">
        <v>40.74</v>
      </c>
    </row>
    <row r="66" spans="1:7">
      <c r="A66" s="4">
        <v>65</v>
      </c>
      <c r="B66" s="1" t="s">
        <v>2098</v>
      </c>
      <c r="C66" s="1" t="s">
        <v>2099</v>
      </c>
      <c r="D66" s="1" t="s">
        <v>37</v>
      </c>
      <c r="E66" s="5">
        <v>0.01606217616580308</v>
      </c>
      <c r="F66" s="5">
        <v>-0.02291978076731449</v>
      </c>
      <c r="G66" s="4">
        <v>39.22</v>
      </c>
    </row>
    <row r="67" spans="1:7">
      <c r="A67" s="4">
        <v>66</v>
      </c>
      <c r="B67" s="1" t="s">
        <v>2176</v>
      </c>
      <c r="C67" s="1" t="s">
        <v>2177</v>
      </c>
      <c r="D67" s="1" t="s">
        <v>76</v>
      </c>
      <c r="E67" s="5">
        <v>0.01581243184296621</v>
      </c>
      <c r="F67" s="5">
        <v>-0.03671147880041359</v>
      </c>
      <c r="G67" s="4">
        <v>3.726</v>
      </c>
    </row>
    <row r="68" spans="1:7">
      <c r="A68" s="4">
        <v>67</v>
      </c>
      <c r="B68" s="1" t="s">
        <v>2606</v>
      </c>
      <c r="C68" s="1" t="s">
        <v>2607</v>
      </c>
      <c r="D68" s="1" t="s">
        <v>93</v>
      </c>
      <c r="E68" s="5">
        <v>0.01569694908882924</v>
      </c>
      <c r="F68" s="5">
        <v>0.0387956907146263</v>
      </c>
      <c r="G68" s="4">
        <v>10.43850967935917</v>
      </c>
    </row>
    <row r="69" spans="1:7">
      <c r="A69" s="4">
        <v>68</v>
      </c>
      <c r="B69" s="1" t="s">
        <v>2462</v>
      </c>
      <c r="C69" s="1" t="s">
        <v>2463</v>
      </c>
      <c r="D69" s="1" t="s">
        <v>76</v>
      </c>
      <c r="E69" s="5">
        <v>0.01554664689152196</v>
      </c>
      <c r="F69" s="5">
        <v>0.02787853086619352</v>
      </c>
      <c r="G69" s="4">
        <v>18.34176673095993</v>
      </c>
    </row>
    <row r="70" spans="1:7">
      <c r="A70" s="4">
        <v>69</v>
      </c>
      <c r="B70" s="1" t="s">
        <v>2480</v>
      </c>
      <c r="C70" s="1" t="s">
        <v>2481</v>
      </c>
      <c r="D70" s="1" t="s">
        <v>129</v>
      </c>
      <c r="E70" s="5">
        <v>0.01548676284691686</v>
      </c>
      <c r="F70" s="5">
        <v>0.03170047502945761</v>
      </c>
      <c r="G70" s="4">
        <v>36.64414216959571</v>
      </c>
    </row>
    <row r="71" spans="1:7">
      <c r="A71" s="4">
        <v>70</v>
      </c>
      <c r="B71" s="1" t="s">
        <v>1694</v>
      </c>
      <c r="C71" s="1" t="s">
        <v>1695</v>
      </c>
      <c r="D71" s="1" t="s">
        <v>66</v>
      </c>
      <c r="E71" s="5">
        <v>0.0152824130092255</v>
      </c>
      <c r="F71" s="5">
        <v>0.001576454548660511</v>
      </c>
      <c r="G71" s="4">
        <v>24.10587729111092</v>
      </c>
    </row>
    <row r="72" spans="1:7">
      <c r="A72" s="4">
        <v>71</v>
      </c>
      <c r="B72" s="1" t="s">
        <v>2660</v>
      </c>
      <c r="C72" s="1" t="s">
        <v>2661</v>
      </c>
      <c r="D72" s="1" t="s">
        <v>70</v>
      </c>
      <c r="E72" s="5">
        <v>0.01526644535322386</v>
      </c>
      <c r="F72" s="5">
        <v>0.04039738062198373</v>
      </c>
      <c r="G72" s="4">
        <v>24.70147333606975</v>
      </c>
    </row>
    <row r="73" spans="1:7">
      <c r="A73" s="4">
        <v>72</v>
      </c>
      <c r="B73" s="1" t="s">
        <v>1956</v>
      </c>
      <c r="C73" s="1" t="s">
        <v>1957</v>
      </c>
      <c r="D73" s="1" t="s">
        <v>41</v>
      </c>
      <c r="E73" s="5">
        <v>0.01503853004444489</v>
      </c>
      <c r="F73" s="5">
        <v>0.00396258531927729</v>
      </c>
      <c r="G73" s="4">
        <v>364.9622151385901</v>
      </c>
    </row>
    <row r="74" spans="1:7">
      <c r="A74" s="4">
        <v>73</v>
      </c>
      <c r="B74" s="1" t="s">
        <v>2444</v>
      </c>
      <c r="C74" s="1" t="s">
        <v>2445</v>
      </c>
      <c r="D74" s="1" t="s">
        <v>76</v>
      </c>
      <c r="E74" s="5">
        <v>0.01501706484641629</v>
      </c>
      <c r="F74" s="5">
        <v>0.01019021739130421</v>
      </c>
      <c r="G74" s="4">
        <v>29.74</v>
      </c>
    </row>
    <row r="75" spans="1:7">
      <c r="A75" s="4">
        <v>74</v>
      </c>
      <c r="B75" s="1" t="s">
        <v>2026</v>
      </c>
      <c r="C75" s="1" t="s">
        <v>2027</v>
      </c>
      <c r="D75" s="1" t="s">
        <v>54</v>
      </c>
      <c r="E75" s="5">
        <v>0.0149999999999999</v>
      </c>
      <c r="F75" s="5">
        <v>0.04138166894664841</v>
      </c>
      <c r="G75" s="4">
        <v>30.45</v>
      </c>
    </row>
    <row r="76" spans="1:7">
      <c r="A76" s="4">
        <v>75</v>
      </c>
      <c r="B76" s="1" t="s">
        <v>1780</v>
      </c>
      <c r="C76" s="1" t="s">
        <v>1781</v>
      </c>
      <c r="D76" s="1" t="s">
        <v>47</v>
      </c>
      <c r="E76" s="5">
        <v>0.01482479784366575</v>
      </c>
      <c r="F76" s="5">
        <v>0.0286885245901638</v>
      </c>
      <c r="G76" s="4">
        <v>37.65</v>
      </c>
    </row>
    <row r="77" spans="1:7">
      <c r="A77" s="4">
        <v>76</v>
      </c>
      <c r="B77" s="1" t="s">
        <v>2778</v>
      </c>
      <c r="C77" s="1" t="s">
        <v>2779</v>
      </c>
      <c r="D77" s="1" t="s">
        <v>66</v>
      </c>
      <c r="E77" s="5">
        <v>0.01475756871250722</v>
      </c>
      <c r="F77" s="5">
        <v>0.03591781730504229</v>
      </c>
      <c r="G77" s="4">
        <v>5.530856208587903</v>
      </c>
    </row>
    <row r="78" spans="1:7">
      <c r="A78" s="4">
        <v>77</v>
      </c>
      <c r="B78" s="1" t="s">
        <v>2274</v>
      </c>
      <c r="C78" s="1" t="s">
        <v>2275</v>
      </c>
      <c r="D78" s="1" t="s">
        <v>93</v>
      </c>
      <c r="E78" s="5">
        <v>0.01465396155987975</v>
      </c>
      <c r="F78" s="5">
        <v>0.004145161799326447</v>
      </c>
      <c r="G78" s="4">
        <v>26.6653816366922</v>
      </c>
    </row>
    <row r="79" spans="1:7">
      <c r="A79" s="4">
        <v>78</v>
      </c>
      <c r="B79" s="1" t="s">
        <v>2286</v>
      </c>
      <c r="C79" s="1" t="s">
        <v>2287</v>
      </c>
      <c r="D79" s="1" t="s">
        <v>70</v>
      </c>
      <c r="E79" s="5">
        <v>0.01436388508891939</v>
      </c>
      <c r="F79" s="5">
        <v>0.03778866340097986</v>
      </c>
      <c r="G79" s="4">
        <v>29.66</v>
      </c>
    </row>
    <row r="80" spans="1:7">
      <c r="A80" s="4">
        <v>79</v>
      </c>
      <c r="B80" s="1" t="s">
        <v>2434</v>
      </c>
      <c r="C80" s="1" t="s">
        <v>2435</v>
      </c>
      <c r="D80" s="1" t="s">
        <v>41</v>
      </c>
      <c r="E80" s="5">
        <v>0.01428493230783223</v>
      </c>
      <c r="F80" s="5">
        <v>0.03606607438245657</v>
      </c>
      <c r="G80" s="4">
        <v>15.56350916609169</v>
      </c>
    </row>
    <row r="81" spans="1:7">
      <c r="A81" s="4">
        <v>80</v>
      </c>
      <c r="B81" s="1" t="s">
        <v>2454</v>
      </c>
      <c r="C81" s="1" t="s">
        <v>2455</v>
      </c>
      <c r="D81" s="1" t="s">
        <v>66</v>
      </c>
      <c r="E81" s="5">
        <v>0.01426684280052837</v>
      </c>
      <c r="F81" s="5">
        <v>-0.006983962752198813</v>
      </c>
      <c r="G81" s="4">
        <v>383.9</v>
      </c>
    </row>
    <row r="82" spans="1:7">
      <c r="A82" s="4">
        <v>81</v>
      </c>
      <c r="B82" s="1" t="s">
        <v>2684</v>
      </c>
      <c r="C82" s="1" t="s">
        <v>2685</v>
      </c>
      <c r="D82" s="1" t="s">
        <v>70</v>
      </c>
      <c r="E82" s="5">
        <v>0.01417383894591939</v>
      </c>
      <c r="F82" s="5">
        <v>-0.01785211515330998</v>
      </c>
      <c r="G82" s="4">
        <v>80.97341020566216</v>
      </c>
    </row>
    <row r="83" spans="1:7">
      <c r="A83" s="4">
        <v>82</v>
      </c>
      <c r="B83" s="1" t="s">
        <v>2132</v>
      </c>
      <c r="C83" s="1" t="s">
        <v>2133</v>
      </c>
      <c r="D83" s="1" t="s">
        <v>70</v>
      </c>
      <c r="E83" s="5">
        <v>0.01413644744929332</v>
      </c>
      <c r="F83" s="5">
        <v>0.09707446808510634</v>
      </c>
      <c r="G83" s="4">
        <v>82.5</v>
      </c>
    </row>
    <row r="84" spans="1:7">
      <c r="A84" s="4">
        <v>83</v>
      </c>
      <c r="B84" s="1" t="s">
        <v>2096</v>
      </c>
      <c r="C84" s="1" t="s">
        <v>2097</v>
      </c>
      <c r="D84" s="1" t="s">
        <v>70</v>
      </c>
      <c r="E84" s="5">
        <v>0.01412537942210323</v>
      </c>
      <c r="F84" s="5">
        <v>-0.0161447624645682</v>
      </c>
      <c r="G84" s="4">
        <v>76.79193365113787</v>
      </c>
    </row>
    <row r="85" spans="1:7">
      <c r="A85" s="4">
        <v>84</v>
      </c>
      <c r="B85" s="1" t="s">
        <v>1712</v>
      </c>
      <c r="C85" s="1" t="s">
        <v>1713</v>
      </c>
      <c r="D85" s="1" t="s">
        <v>70</v>
      </c>
      <c r="E85" s="5">
        <v>0.01390268123138028</v>
      </c>
      <c r="F85" s="5">
        <v>-0.02761904761904765</v>
      </c>
      <c r="G85" s="4">
        <v>102.1</v>
      </c>
    </row>
    <row r="86" spans="1:7">
      <c r="A86" s="4">
        <v>85</v>
      </c>
      <c r="B86" s="1" t="s">
        <v>1758</v>
      </c>
      <c r="C86" s="1" t="s">
        <v>1759</v>
      </c>
      <c r="D86" s="1" t="s">
        <v>47</v>
      </c>
      <c r="E86" s="5">
        <v>0.0138241470518965</v>
      </c>
      <c r="F86" s="5">
        <v>0.0112749628522395</v>
      </c>
      <c r="G86" s="4">
        <v>10.57693736483805</v>
      </c>
    </row>
    <row r="87" spans="1:7">
      <c r="A87" s="4">
        <v>86</v>
      </c>
      <c r="B87" s="1" t="s">
        <v>1714</v>
      </c>
      <c r="C87" s="1" t="s">
        <v>1715</v>
      </c>
      <c r="D87" s="1" t="s">
        <v>93</v>
      </c>
      <c r="E87" s="5">
        <v>0.01380452788514641</v>
      </c>
      <c r="F87" s="5">
        <v>0.07055393586005843</v>
      </c>
      <c r="G87" s="4">
        <v>18.36</v>
      </c>
    </row>
    <row r="88" spans="1:7">
      <c r="A88" s="4">
        <v>87</v>
      </c>
      <c r="B88" s="1" t="s">
        <v>2844</v>
      </c>
      <c r="C88" s="1" t="s">
        <v>2845</v>
      </c>
      <c r="D88" s="1" t="s">
        <v>70</v>
      </c>
      <c r="E88" s="5">
        <v>0.01329492576999791</v>
      </c>
      <c r="F88" s="5">
        <v>-0.02536231884057971</v>
      </c>
      <c r="G88" s="4">
        <v>9.146000000000001</v>
      </c>
    </row>
    <row r="89" spans="1:7">
      <c r="A89" s="4">
        <v>88</v>
      </c>
      <c r="B89" s="1" t="s">
        <v>2120</v>
      </c>
      <c r="C89" s="1" t="s">
        <v>2121</v>
      </c>
      <c r="D89" s="1" t="s">
        <v>70</v>
      </c>
      <c r="E89" s="5">
        <v>0.013260530421217</v>
      </c>
      <c r="F89" s="5">
        <v>-0.012917933130699</v>
      </c>
      <c r="G89" s="4">
        <v>64.95</v>
      </c>
    </row>
    <row r="90" spans="1:7">
      <c r="A90" s="4">
        <v>89</v>
      </c>
      <c r="B90" s="1" t="s">
        <v>2254</v>
      </c>
      <c r="C90" s="1" t="s">
        <v>2255</v>
      </c>
      <c r="D90" s="1" t="s">
        <v>54</v>
      </c>
      <c r="E90" s="5">
        <v>0.0132126955334213</v>
      </c>
      <c r="F90" s="5">
        <v>0.04787074940494551</v>
      </c>
      <c r="G90" s="4">
        <v>7.794854143361158</v>
      </c>
    </row>
    <row r="91" spans="1:7">
      <c r="A91" s="4">
        <v>90</v>
      </c>
      <c r="B91" s="1" t="s">
        <v>2296</v>
      </c>
      <c r="C91" s="1" t="s">
        <v>2297</v>
      </c>
      <c r="D91" s="1" t="s">
        <v>93</v>
      </c>
      <c r="E91" s="5">
        <v>0.0131903681374117</v>
      </c>
      <c r="F91" s="5">
        <v>0.03983600737234916</v>
      </c>
      <c r="G91" s="4">
        <v>82.56528235681058</v>
      </c>
    </row>
    <row r="92" spans="1:7">
      <c r="A92" s="4">
        <v>91</v>
      </c>
      <c r="B92" s="1" t="s">
        <v>2604</v>
      </c>
      <c r="C92" s="1" t="s">
        <v>2605</v>
      </c>
      <c r="D92" s="1" t="s">
        <v>66</v>
      </c>
      <c r="E92" s="5">
        <v>0.01267295658447987</v>
      </c>
      <c r="F92" s="5">
        <v>0.01836510643226297</v>
      </c>
      <c r="G92" s="4">
        <v>3.966068324584804</v>
      </c>
    </row>
    <row r="93" spans="1:7">
      <c r="A93" s="4">
        <v>92</v>
      </c>
      <c r="B93" s="1" t="s">
        <v>2396</v>
      </c>
      <c r="C93" s="1" t="s">
        <v>2397</v>
      </c>
      <c r="D93" s="1" t="s">
        <v>70</v>
      </c>
      <c r="E93" s="5">
        <v>0.01266775970070189</v>
      </c>
      <c r="F93" s="5">
        <v>0.06722387304859301</v>
      </c>
      <c r="G93" s="4">
        <v>5.861264951381121</v>
      </c>
    </row>
    <row r="94" spans="1:7">
      <c r="A94" s="4">
        <v>93</v>
      </c>
      <c r="B94" s="1" t="s">
        <v>1962</v>
      </c>
      <c r="C94" s="1" t="s">
        <v>1963</v>
      </c>
      <c r="D94" s="1" t="s">
        <v>66</v>
      </c>
      <c r="E94" s="5">
        <v>0.01263157894736833</v>
      </c>
      <c r="F94" s="5">
        <v>-0.02103120759837174</v>
      </c>
      <c r="G94" s="4">
        <v>5.772</v>
      </c>
    </row>
    <row r="95" spans="1:7">
      <c r="A95" s="4">
        <v>94</v>
      </c>
      <c r="B95" s="1" t="s">
        <v>2284</v>
      </c>
      <c r="C95" s="1" t="s">
        <v>2285</v>
      </c>
      <c r="D95" s="1" t="s">
        <v>70</v>
      </c>
      <c r="E95" s="5">
        <v>0.01262135922330088</v>
      </c>
      <c r="F95" s="5">
        <v>0.0145914396887159</v>
      </c>
      <c r="G95" s="4">
        <v>104.3</v>
      </c>
    </row>
    <row r="96" spans="1:7">
      <c r="A96" s="4">
        <v>95</v>
      </c>
      <c r="B96" s="1" t="s">
        <v>2292</v>
      </c>
      <c r="C96" s="1" t="s">
        <v>2293</v>
      </c>
      <c r="D96" s="1" t="s">
        <v>66</v>
      </c>
      <c r="E96" s="5">
        <v>0.01252236135957063</v>
      </c>
      <c r="F96" s="5">
        <v>0.0300272975432212</v>
      </c>
      <c r="G96" s="4">
        <v>22.64</v>
      </c>
    </row>
    <row r="97" spans="1:7">
      <c r="A97" s="4">
        <v>96</v>
      </c>
      <c r="B97" s="1" t="s">
        <v>2174</v>
      </c>
      <c r="C97" s="1" t="s">
        <v>2175</v>
      </c>
      <c r="D97" s="1" t="s">
        <v>66</v>
      </c>
      <c r="E97" s="5">
        <v>0.01245363010068878</v>
      </c>
      <c r="F97" s="5">
        <v>0.007647679324894519</v>
      </c>
      <c r="G97" s="4">
        <v>76.42</v>
      </c>
    </row>
    <row r="98" spans="1:7">
      <c r="A98" s="4">
        <v>97</v>
      </c>
      <c r="B98" s="1" t="s">
        <v>1684</v>
      </c>
      <c r="C98" s="1" t="s">
        <v>1685</v>
      </c>
      <c r="D98" s="1" t="s">
        <v>66</v>
      </c>
      <c r="E98" s="5">
        <v>0.01228912439910901</v>
      </c>
      <c r="F98" s="5">
        <v>0.05117412373931107</v>
      </c>
      <c r="G98" s="4">
        <v>18.66333540947492</v>
      </c>
    </row>
    <row r="99" spans="1:7">
      <c r="A99" s="4">
        <v>98</v>
      </c>
      <c r="B99" s="1" t="s">
        <v>2852</v>
      </c>
      <c r="C99" s="1" t="s">
        <v>2853</v>
      </c>
      <c r="D99" s="1" t="s">
        <v>70</v>
      </c>
      <c r="E99" s="5">
        <v>0.01223675521302736</v>
      </c>
      <c r="F99" s="5">
        <v>-0.0362890360421958</v>
      </c>
      <c r="G99" s="4">
        <v>31.69131744256089</v>
      </c>
    </row>
    <row r="100" spans="1:7">
      <c r="A100" s="4">
        <v>99</v>
      </c>
      <c r="B100" s="1" t="s">
        <v>2276</v>
      </c>
      <c r="C100" s="1" t="s">
        <v>2277</v>
      </c>
      <c r="D100" s="1" t="s">
        <v>66</v>
      </c>
      <c r="E100" s="5">
        <v>0.01221543586896168</v>
      </c>
      <c r="F100" s="5">
        <v>0.03933865450399088</v>
      </c>
      <c r="G100" s="4">
        <v>18.23</v>
      </c>
    </row>
    <row r="101" spans="1:7">
      <c r="A101" s="4">
        <v>100</v>
      </c>
      <c r="B101" s="1" t="s">
        <v>2670</v>
      </c>
      <c r="C101" s="1" t="s">
        <v>2671</v>
      </c>
      <c r="D101" s="1" t="s">
        <v>54</v>
      </c>
      <c r="E101" s="5">
        <v>0.01204819277108427</v>
      </c>
      <c r="F101" s="5">
        <v>0.03448275862068972</v>
      </c>
      <c r="G101" s="4">
        <v>252</v>
      </c>
    </row>
  </sheetData>
  <autoFilter ref="A1:G101"/>
  <conditionalFormatting sqref="E2:E101">
    <cfRule type="colorScale" priority="1">
      <colorScale>
        <cfvo type="min" val="0"/>
        <cfvo type="num" val="0"/>
        <cfvo type="max" val="0"/>
        <color rgb="FFF6C7CE"/>
        <color rgb="FFFFFFFF"/>
        <color rgb="FFB9E5D1"/>
      </colorScale>
    </cfRule>
  </conditionalFormatting>
  <conditionalFormatting sqref="F2:F101">
    <cfRule type="colorScale" priority="2">
      <colorScale>
        <cfvo type="min" val="0"/>
        <cfvo type="num" val="0"/>
        <cfvo type="max" val="0"/>
        <color rgb="FFF6C7CE"/>
        <color rgb="FFFFFFFF"/>
        <color rgb="FFB9E5D1"/>
      </colorScale>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101"/>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5.7109375" style="1" customWidth="1"/>
    <col min="2" max="2" width="22.7109375" style="1" customWidth="1"/>
    <col min="3" max="3" width="40.7109375" style="1" customWidth="1"/>
    <col min="4" max="4" width="27.7109375" style="1" customWidth="1"/>
    <col min="5" max="7" width="15.7109375" style="1" customWidth="1"/>
  </cols>
  <sheetData>
    <row r="1" spans="1:7" ht="30" customHeight="1">
      <c r="A1" s="3" t="s">
        <v>1071</v>
      </c>
      <c r="B1" s="3" t="s">
        <v>24</v>
      </c>
      <c r="C1" s="3" t="s">
        <v>25</v>
      </c>
      <c r="D1" s="3" t="s">
        <v>26</v>
      </c>
      <c r="E1" s="3" t="s">
        <v>1072</v>
      </c>
      <c r="F1" s="3" t="s">
        <v>1073</v>
      </c>
      <c r="G1" s="3" t="s">
        <v>1074</v>
      </c>
    </row>
    <row r="2" spans="1:7">
      <c r="A2" s="4">
        <v>1</v>
      </c>
      <c r="B2" s="1" t="s">
        <v>2016</v>
      </c>
      <c r="C2" s="1" t="s">
        <v>2017</v>
      </c>
      <c r="D2" s="1" t="s">
        <v>41</v>
      </c>
      <c r="E2" s="5">
        <v>-0.06494661921708189</v>
      </c>
      <c r="F2" s="5">
        <v>-0.06286223807400804</v>
      </c>
      <c r="G2" s="4">
        <v>21.02</v>
      </c>
    </row>
    <row r="3" spans="1:7">
      <c r="A3" s="4">
        <v>2</v>
      </c>
      <c r="B3" s="1" t="s">
        <v>2414</v>
      </c>
      <c r="C3" s="1" t="s">
        <v>2415</v>
      </c>
      <c r="D3" s="1" t="s">
        <v>41</v>
      </c>
      <c r="E3" s="5">
        <v>-0.06022304832713754</v>
      </c>
      <c r="F3" s="5">
        <v>-0.03878326996197712</v>
      </c>
      <c r="G3" s="4">
        <v>63.2</v>
      </c>
    </row>
    <row r="4" spans="1:7">
      <c r="A4" s="4">
        <v>3</v>
      </c>
      <c r="B4" s="1" t="s">
        <v>2790</v>
      </c>
      <c r="C4" s="1" t="s">
        <v>2791</v>
      </c>
      <c r="D4" s="1" t="s">
        <v>37</v>
      </c>
      <c r="E4" s="5">
        <v>-0.04576347983688267</v>
      </c>
      <c r="F4" s="5">
        <v>-0.05006765899864685</v>
      </c>
      <c r="G4" s="4">
        <v>210.6</v>
      </c>
    </row>
    <row r="5" spans="1:7">
      <c r="A5" s="4">
        <v>4</v>
      </c>
      <c r="B5" s="1" t="s">
        <v>2084</v>
      </c>
      <c r="C5" s="1" t="s">
        <v>2085</v>
      </c>
      <c r="D5" s="1" t="s">
        <v>70</v>
      </c>
      <c r="E5" s="5">
        <v>-0.04421301891271368</v>
      </c>
      <c r="F5" s="5">
        <v>-0.04934777790505562</v>
      </c>
      <c r="G5" s="4">
        <v>32.73838740211686</v>
      </c>
    </row>
    <row r="6" spans="1:7">
      <c r="A6" s="4">
        <v>5</v>
      </c>
      <c r="B6" s="1" t="s">
        <v>1996</v>
      </c>
      <c r="C6" s="1" t="s">
        <v>1997</v>
      </c>
      <c r="D6" s="1" t="s">
        <v>37</v>
      </c>
      <c r="E6" s="5">
        <v>-0.04179254783484387</v>
      </c>
      <c r="F6" s="5">
        <v>-0.01653746770025832</v>
      </c>
      <c r="G6" s="4">
        <v>190.3</v>
      </c>
    </row>
    <row r="7" spans="1:7">
      <c r="A7" s="4">
        <v>6</v>
      </c>
      <c r="B7" s="1" t="s">
        <v>2782</v>
      </c>
      <c r="C7" s="1" t="s">
        <v>2783</v>
      </c>
      <c r="D7" s="1" t="s">
        <v>37</v>
      </c>
      <c r="E7" s="5">
        <v>-0.03924731182795704</v>
      </c>
      <c r="F7" s="5">
        <v>-0.04540598290598286</v>
      </c>
      <c r="G7" s="4">
        <v>178.7</v>
      </c>
    </row>
    <row r="8" spans="1:7">
      <c r="A8" s="4">
        <v>7</v>
      </c>
      <c r="B8" s="1" t="s">
        <v>1902</v>
      </c>
      <c r="C8" s="1" t="s">
        <v>1903</v>
      </c>
      <c r="D8" s="1" t="s">
        <v>129</v>
      </c>
      <c r="E8" s="5">
        <v>-0.03677581863979862</v>
      </c>
      <c r="F8" s="5">
        <v>-0.003647733194372171</v>
      </c>
      <c r="G8" s="4">
        <v>3.824</v>
      </c>
    </row>
    <row r="9" spans="1:7">
      <c r="A9" s="4">
        <v>8</v>
      </c>
      <c r="B9" s="1" t="s">
        <v>2116</v>
      </c>
      <c r="C9" s="1" t="s">
        <v>2117</v>
      </c>
      <c r="D9" s="1" t="s">
        <v>54</v>
      </c>
      <c r="E9" s="5">
        <v>-0.03523758675920985</v>
      </c>
      <c r="F9" s="5">
        <v>0.009497206703910743</v>
      </c>
      <c r="G9" s="4">
        <v>36.14</v>
      </c>
    </row>
    <row r="10" spans="1:7">
      <c r="A10" s="4">
        <v>9</v>
      </c>
      <c r="B10" s="1" t="s">
        <v>2540</v>
      </c>
      <c r="C10" s="1" t="s">
        <v>2541</v>
      </c>
      <c r="D10" s="1" t="s">
        <v>70</v>
      </c>
      <c r="E10" s="5">
        <v>-0.03382545318632035</v>
      </c>
      <c r="F10" s="5">
        <v>-0.1050718365933876</v>
      </c>
      <c r="G10" s="4">
        <v>1034</v>
      </c>
    </row>
    <row r="11" spans="1:7">
      <c r="A11" s="4">
        <v>10</v>
      </c>
      <c r="B11" s="1" t="s">
        <v>2054</v>
      </c>
      <c r="C11" s="1" t="s">
        <v>2055</v>
      </c>
      <c r="D11" s="1" t="s">
        <v>129</v>
      </c>
      <c r="E11" s="5">
        <v>-0.03290025146689024</v>
      </c>
      <c r="F11" s="5">
        <v>-0.04411764705882359</v>
      </c>
      <c r="G11" s="4">
        <v>23.075</v>
      </c>
    </row>
    <row r="12" spans="1:7">
      <c r="A12" s="4">
        <v>11</v>
      </c>
      <c r="B12" s="1" t="s">
        <v>1930</v>
      </c>
      <c r="C12" s="1" t="s">
        <v>1931</v>
      </c>
      <c r="D12" s="1" t="s">
        <v>41</v>
      </c>
      <c r="E12" s="5">
        <v>-0.03272727272727272</v>
      </c>
      <c r="F12" s="5">
        <v>-0.04273504273504269</v>
      </c>
      <c r="G12" s="4">
        <v>106.4</v>
      </c>
    </row>
    <row r="13" spans="1:7">
      <c r="A13" s="4">
        <v>12</v>
      </c>
      <c r="B13" s="1" t="s">
        <v>2442</v>
      </c>
      <c r="C13" s="1" t="s">
        <v>2443</v>
      </c>
      <c r="D13" s="1" t="s">
        <v>93</v>
      </c>
      <c r="E13" s="5">
        <v>-0.03107818452237621</v>
      </c>
      <c r="F13" s="5">
        <v>-0.03093543382690589</v>
      </c>
      <c r="G13" s="4">
        <v>58.41003176321741</v>
      </c>
    </row>
    <row r="14" spans="1:7">
      <c r="A14" s="4">
        <v>13</v>
      </c>
      <c r="B14" s="1" t="s">
        <v>2622</v>
      </c>
      <c r="C14" s="1" t="s">
        <v>2623</v>
      </c>
      <c r="D14" s="1" t="s">
        <v>37</v>
      </c>
      <c r="E14" s="5">
        <v>-0.03105519616455277</v>
      </c>
      <c r="F14" s="5">
        <v>-0.07867061169667966</v>
      </c>
      <c r="G14" s="4">
        <v>72.69468830674249</v>
      </c>
    </row>
    <row r="15" spans="1:7">
      <c r="A15" s="4">
        <v>14</v>
      </c>
      <c r="B15" s="1" t="s">
        <v>2694</v>
      </c>
      <c r="C15" s="1" t="s">
        <v>2695</v>
      </c>
      <c r="D15" s="1" t="s">
        <v>37</v>
      </c>
      <c r="E15" s="5">
        <v>-0.03104575163398704</v>
      </c>
      <c r="F15" s="5">
        <v>-0.03889789303079427</v>
      </c>
      <c r="G15" s="4">
        <v>237.2</v>
      </c>
    </row>
    <row r="16" spans="1:7">
      <c r="A16" s="4">
        <v>15</v>
      </c>
      <c r="B16" s="1" t="s">
        <v>2858</v>
      </c>
      <c r="C16" s="1" t="s">
        <v>2859</v>
      </c>
      <c r="D16" s="1" t="s">
        <v>54</v>
      </c>
      <c r="E16" s="5">
        <v>-0.02961012422757914</v>
      </c>
      <c r="F16" s="5">
        <v>-0.007318405126215399</v>
      </c>
      <c r="G16" s="4">
        <v>10.97561999827898</v>
      </c>
    </row>
    <row r="17" spans="1:7">
      <c r="A17" s="4">
        <v>16</v>
      </c>
      <c r="B17" s="1" t="s">
        <v>2124</v>
      </c>
      <c r="C17" s="1" t="s">
        <v>2125</v>
      </c>
      <c r="D17" s="1" t="s">
        <v>37</v>
      </c>
      <c r="E17" s="5">
        <v>-0.02842769109618903</v>
      </c>
      <c r="F17" s="5">
        <v>-0.07964810174578352</v>
      </c>
      <c r="G17" s="4">
        <v>168.7099517241764</v>
      </c>
    </row>
    <row r="18" spans="1:7">
      <c r="A18" s="4">
        <v>17</v>
      </c>
      <c r="B18" s="1" t="s">
        <v>2344</v>
      </c>
      <c r="C18" s="1" t="s">
        <v>2345</v>
      </c>
      <c r="D18" s="1" t="s">
        <v>37</v>
      </c>
      <c r="E18" s="5">
        <v>-0.02806761683981074</v>
      </c>
      <c r="F18" s="5">
        <v>-0.04682558296052519</v>
      </c>
      <c r="G18" s="4">
        <v>603.1659919190221</v>
      </c>
    </row>
    <row r="19" spans="1:7">
      <c r="A19" s="4">
        <v>18</v>
      </c>
      <c r="B19" s="1" t="s">
        <v>2504</v>
      </c>
      <c r="C19" s="1" t="s">
        <v>2505</v>
      </c>
      <c r="D19" s="1" t="s">
        <v>138</v>
      </c>
      <c r="E19" s="5">
        <v>-0.02554216867469883</v>
      </c>
      <c r="F19" s="5">
        <v>-0.01221299462628234</v>
      </c>
      <c r="G19" s="4">
        <v>101.1</v>
      </c>
    </row>
    <row r="20" spans="1:7">
      <c r="A20" s="4">
        <v>19</v>
      </c>
      <c r="B20" s="1" t="s">
        <v>1968</v>
      </c>
      <c r="C20" s="1" t="s">
        <v>1969</v>
      </c>
      <c r="D20" s="1" t="s">
        <v>70</v>
      </c>
      <c r="E20" s="5">
        <v>-0.02524659464537338</v>
      </c>
      <c r="F20" s="5">
        <v>-0.1017205930094145</v>
      </c>
      <c r="G20" s="4">
        <v>16.602</v>
      </c>
    </row>
    <row r="21" spans="1:7">
      <c r="A21" s="4">
        <v>20</v>
      </c>
      <c r="B21" s="1" t="s">
        <v>2164</v>
      </c>
      <c r="C21" s="1" t="s">
        <v>2165</v>
      </c>
      <c r="D21" s="1" t="s">
        <v>70</v>
      </c>
      <c r="E21" s="5">
        <v>-0.02519569471624272</v>
      </c>
      <c r="F21" s="5">
        <v>-0.1075027995520716</v>
      </c>
      <c r="G21" s="4">
        <v>79.7</v>
      </c>
    </row>
    <row r="22" spans="1:7">
      <c r="A22" s="4">
        <v>21</v>
      </c>
      <c r="B22" s="1" t="s">
        <v>2780</v>
      </c>
      <c r="C22" s="1" t="s">
        <v>2781</v>
      </c>
      <c r="D22" s="1" t="s">
        <v>129</v>
      </c>
      <c r="E22" s="5">
        <v>-0.02460907459625739</v>
      </c>
      <c r="F22" s="5">
        <v>-0.01730371900826455</v>
      </c>
      <c r="G22" s="4">
        <v>76.09999999999999</v>
      </c>
    </row>
    <row r="23" spans="1:7">
      <c r="A23" s="4">
        <v>22</v>
      </c>
      <c r="B23" s="1" t="s">
        <v>2676</v>
      </c>
      <c r="C23" s="1" t="s">
        <v>2677</v>
      </c>
      <c r="D23" s="1" t="s">
        <v>41</v>
      </c>
      <c r="E23" s="5">
        <v>-0.02441794434980116</v>
      </c>
      <c r="F23" s="5">
        <v>-0.06579662860250135</v>
      </c>
      <c r="G23" s="4">
        <v>171.8</v>
      </c>
    </row>
    <row r="24" spans="1:7">
      <c r="A24" s="4">
        <v>23</v>
      </c>
      <c r="B24" s="1" t="s">
        <v>2860</v>
      </c>
      <c r="C24" s="1" t="s">
        <v>2861</v>
      </c>
      <c r="D24" s="1" t="s">
        <v>70</v>
      </c>
      <c r="E24" s="5">
        <v>-0.0243695097761405</v>
      </c>
      <c r="F24" s="5">
        <v>-0.03313675933726479</v>
      </c>
      <c r="G24" s="4">
        <v>68.86</v>
      </c>
    </row>
    <row r="25" spans="1:7">
      <c r="A25" s="4">
        <v>24</v>
      </c>
      <c r="B25" s="1" t="s">
        <v>2552</v>
      </c>
      <c r="C25" s="1" t="s">
        <v>2553</v>
      </c>
      <c r="D25" s="1" t="s">
        <v>138</v>
      </c>
      <c r="E25" s="5">
        <v>-0.0238568685567766</v>
      </c>
      <c r="F25" s="5">
        <v>-0.04235851669860413</v>
      </c>
      <c r="G25" s="4">
        <v>5.712348334910938</v>
      </c>
    </row>
    <row r="26" spans="1:7">
      <c r="A26" s="4">
        <v>25</v>
      </c>
      <c r="B26" s="1" t="s">
        <v>2258</v>
      </c>
      <c r="C26" s="1" t="s">
        <v>2259</v>
      </c>
      <c r="D26" s="1" t="s">
        <v>37</v>
      </c>
      <c r="E26" s="5">
        <v>-0.02313167259786475</v>
      </c>
      <c r="F26" s="5">
        <v>0.007955936352509019</v>
      </c>
      <c r="G26" s="4">
        <v>164.7</v>
      </c>
    </row>
    <row r="27" spans="1:7">
      <c r="A27" s="4">
        <v>26</v>
      </c>
      <c r="B27" s="1" t="s">
        <v>2742</v>
      </c>
      <c r="C27" s="1" t="s">
        <v>2743</v>
      </c>
      <c r="D27" s="1" t="s">
        <v>116</v>
      </c>
      <c r="E27" s="5">
        <v>-0.02297939778129943</v>
      </c>
      <c r="F27" s="5">
        <v>-0.04418604651162794</v>
      </c>
      <c r="G27" s="4">
        <v>12.33</v>
      </c>
    </row>
    <row r="28" spans="1:7">
      <c r="A28" s="4">
        <v>27</v>
      </c>
      <c r="B28" s="1" t="s">
        <v>2128</v>
      </c>
      <c r="C28" s="1" t="s">
        <v>2129</v>
      </c>
      <c r="D28" s="1" t="s">
        <v>129</v>
      </c>
      <c r="E28" s="5">
        <v>-0.02285714285714291</v>
      </c>
      <c r="F28" s="5">
        <v>-0.06429548563611487</v>
      </c>
      <c r="G28" s="4">
        <v>20.52</v>
      </c>
    </row>
    <row r="29" spans="1:7">
      <c r="A29" s="4">
        <v>28</v>
      </c>
      <c r="B29" s="1" t="s">
        <v>1876</v>
      </c>
      <c r="C29" s="1" t="s">
        <v>1877</v>
      </c>
      <c r="D29" s="1" t="s">
        <v>37</v>
      </c>
      <c r="E29" s="5">
        <v>-0.02238314680710995</v>
      </c>
      <c r="F29" s="5">
        <v>-0.003355704697986628</v>
      </c>
      <c r="G29" s="4">
        <v>74.25</v>
      </c>
    </row>
    <row r="30" spans="1:7">
      <c r="A30" s="4">
        <v>29</v>
      </c>
      <c r="B30" s="1" t="s">
        <v>2122</v>
      </c>
      <c r="C30" s="1" t="s">
        <v>2123</v>
      </c>
      <c r="D30" s="1" t="s">
        <v>138</v>
      </c>
      <c r="E30" s="5">
        <v>-0.02122186495176859</v>
      </c>
      <c r="F30" s="5">
        <v>-0.01743060038734678</v>
      </c>
      <c r="G30" s="4">
        <v>76.09999999999999</v>
      </c>
    </row>
    <row r="31" spans="1:7">
      <c r="A31" s="4">
        <v>30</v>
      </c>
      <c r="B31" s="1" t="s">
        <v>2536</v>
      </c>
      <c r="C31" s="1" t="s">
        <v>2537</v>
      </c>
      <c r="D31" s="1" t="s">
        <v>129</v>
      </c>
      <c r="E31" s="5">
        <v>-0.02117148906139732</v>
      </c>
      <c r="F31" s="5">
        <v>-0.008931761343336952</v>
      </c>
      <c r="G31" s="4">
        <v>27.74</v>
      </c>
    </row>
    <row r="32" spans="1:7">
      <c r="A32" s="4">
        <v>31</v>
      </c>
      <c r="B32" s="1" t="s">
        <v>2534</v>
      </c>
      <c r="C32" s="1" t="s">
        <v>2535</v>
      </c>
      <c r="D32" s="1" t="s">
        <v>70</v>
      </c>
      <c r="E32" s="5">
        <v>-0.02095019646885754</v>
      </c>
      <c r="F32" s="5">
        <v>-0.000689465091146646</v>
      </c>
      <c r="G32" s="4">
        <v>30.48136993374065</v>
      </c>
    </row>
    <row r="33" spans="1:7">
      <c r="A33" s="4">
        <v>32</v>
      </c>
      <c r="B33" s="1" t="s">
        <v>1790</v>
      </c>
      <c r="C33" s="1" t="s">
        <v>1791</v>
      </c>
      <c r="D33" s="1" t="s">
        <v>37</v>
      </c>
      <c r="E33" s="5">
        <v>-0.02060499780797886</v>
      </c>
      <c r="F33" s="5">
        <v>-0.009312638580931232</v>
      </c>
      <c r="G33" s="4">
        <v>893.6</v>
      </c>
    </row>
    <row r="34" spans="1:7">
      <c r="A34" s="4">
        <v>33</v>
      </c>
      <c r="B34" s="1" t="s">
        <v>2032</v>
      </c>
      <c r="C34" s="1" t="s">
        <v>2033</v>
      </c>
      <c r="D34" s="1" t="s">
        <v>37</v>
      </c>
      <c r="E34" s="5">
        <v>-0.02059496567505703</v>
      </c>
      <c r="F34" s="5">
        <v>-0.08210784313725472</v>
      </c>
      <c r="G34" s="4">
        <v>149.8</v>
      </c>
    </row>
    <row r="35" spans="1:7">
      <c r="A35" s="4">
        <v>34</v>
      </c>
      <c r="B35" s="1" t="s">
        <v>2230</v>
      </c>
      <c r="C35" s="1" t="s">
        <v>2231</v>
      </c>
      <c r="D35" s="1" t="s">
        <v>54</v>
      </c>
      <c r="E35" s="5">
        <v>-0.01985202293596966</v>
      </c>
      <c r="F35" s="5">
        <v>-0.0450936502450201</v>
      </c>
      <c r="G35" s="4">
        <v>32.23812064366234</v>
      </c>
    </row>
    <row r="36" spans="1:7">
      <c r="A36" s="4">
        <v>35</v>
      </c>
      <c r="B36" s="1" t="s">
        <v>1952</v>
      </c>
      <c r="C36" s="1" t="s">
        <v>1953</v>
      </c>
      <c r="D36" s="1" t="s">
        <v>37</v>
      </c>
      <c r="E36" s="5">
        <v>-0.01984045855300265</v>
      </c>
      <c r="F36" s="5">
        <v>0.03685134833531567</v>
      </c>
      <c r="G36" s="4">
        <v>60.83151956650242</v>
      </c>
    </row>
    <row r="37" spans="1:7">
      <c r="A37" s="4">
        <v>36</v>
      </c>
      <c r="B37" s="1" t="s">
        <v>2226</v>
      </c>
      <c r="C37" s="1" t="s">
        <v>2227</v>
      </c>
      <c r="D37" s="1" t="s">
        <v>54</v>
      </c>
      <c r="E37" s="5">
        <v>-0.01949362849634872</v>
      </c>
      <c r="F37" s="5">
        <v>-0.002993973975454312</v>
      </c>
      <c r="G37" s="4">
        <v>15.53153773341365</v>
      </c>
    </row>
    <row r="38" spans="1:7">
      <c r="A38" s="4">
        <v>37</v>
      </c>
      <c r="B38" s="1" t="s">
        <v>1852</v>
      </c>
      <c r="C38" s="1" t="s">
        <v>1853</v>
      </c>
      <c r="D38" s="1" t="s">
        <v>41</v>
      </c>
      <c r="E38" s="5">
        <v>-0.01948051948051943</v>
      </c>
      <c r="F38" s="5">
        <v>0.02084507042253536</v>
      </c>
      <c r="G38" s="4">
        <v>36.24</v>
      </c>
    </row>
    <row r="39" spans="1:7">
      <c r="A39" s="4">
        <v>38</v>
      </c>
      <c r="B39" s="1" t="s">
        <v>2848</v>
      </c>
      <c r="C39" s="1" t="s">
        <v>2849</v>
      </c>
      <c r="D39" s="1" t="s">
        <v>54</v>
      </c>
      <c r="E39" s="5">
        <v>-0.01932845048911114</v>
      </c>
      <c r="F39" s="5">
        <v>0.005411209367689018</v>
      </c>
      <c r="G39" s="4">
        <v>188.2235200452519</v>
      </c>
    </row>
    <row r="40" spans="1:7">
      <c r="A40" s="4">
        <v>39</v>
      </c>
      <c r="B40" s="1" t="s">
        <v>2508</v>
      </c>
      <c r="C40" s="1" t="s">
        <v>2509</v>
      </c>
      <c r="D40" s="1" t="s">
        <v>47</v>
      </c>
      <c r="E40" s="5">
        <v>-0.0177246496290191</v>
      </c>
      <c r="F40" s="5">
        <v>-0.04756195043964828</v>
      </c>
      <c r="G40" s="4">
        <v>23.83</v>
      </c>
    </row>
    <row r="41" spans="1:7">
      <c r="A41" s="4">
        <v>40</v>
      </c>
      <c r="B41" s="1" t="s">
        <v>2862</v>
      </c>
      <c r="C41" s="1" t="s">
        <v>2863</v>
      </c>
      <c r="D41" s="1" t="s">
        <v>138</v>
      </c>
      <c r="E41" s="5">
        <v>-0.01769087636716049</v>
      </c>
      <c r="F41" s="5">
        <v>-0.03464053769391917</v>
      </c>
      <c r="G41" s="4">
        <v>4.361628087083727</v>
      </c>
    </row>
    <row r="42" spans="1:7">
      <c r="A42" s="4">
        <v>41</v>
      </c>
      <c r="B42" s="1" t="s">
        <v>2636</v>
      </c>
      <c r="C42" s="1" t="s">
        <v>2637</v>
      </c>
      <c r="D42" s="1" t="s">
        <v>41</v>
      </c>
      <c r="E42" s="5">
        <v>-0.01768046907156884</v>
      </c>
      <c r="F42" s="5">
        <v>-0.0459321000998365</v>
      </c>
      <c r="G42" s="4">
        <v>12.23326736081232</v>
      </c>
    </row>
    <row r="43" spans="1:7">
      <c r="A43" s="4">
        <v>42</v>
      </c>
      <c r="B43" s="1" t="s">
        <v>2066</v>
      </c>
      <c r="C43" s="1" t="s">
        <v>2067</v>
      </c>
      <c r="D43" s="1" t="s">
        <v>129</v>
      </c>
      <c r="E43" s="5">
        <v>-0.01756423673644703</v>
      </c>
      <c r="F43" s="5">
        <v>-0.00860422742324185</v>
      </c>
      <c r="G43" s="4">
        <v>36.44138731572689</v>
      </c>
    </row>
    <row r="44" spans="1:7">
      <c r="A44" s="4">
        <v>43</v>
      </c>
      <c r="B44" s="1" t="s">
        <v>1850</v>
      </c>
      <c r="C44" s="1" t="s">
        <v>1851</v>
      </c>
      <c r="D44" s="1" t="s">
        <v>47</v>
      </c>
      <c r="E44" s="5">
        <v>-0.01698204754973298</v>
      </c>
      <c r="F44" s="5">
        <v>-0.08470747684662294</v>
      </c>
      <c r="G44" s="4">
        <v>81.04000000000001</v>
      </c>
    </row>
    <row r="45" spans="1:7">
      <c r="A45" s="4">
        <v>44</v>
      </c>
      <c r="B45" s="1" t="s">
        <v>2550</v>
      </c>
      <c r="C45" s="1" t="s">
        <v>2551</v>
      </c>
      <c r="D45" s="1" t="s">
        <v>47</v>
      </c>
      <c r="E45" s="5">
        <v>-0.01653729328383391</v>
      </c>
      <c r="F45" s="5">
        <v>-0.07374443738080105</v>
      </c>
      <c r="G45" s="4">
        <v>1457</v>
      </c>
    </row>
    <row r="46" spans="1:7">
      <c r="A46" s="4">
        <v>45</v>
      </c>
      <c r="B46" s="1" t="s">
        <v>2630</v>
      </c>
      <c r="C46" s="1" t="s">
        <v>2631</v>
      </c>
      <c r="D46" s="1" t="s">
        <v>138</v>
      </c>
      <c r="E46" s="5">
        <v>-0.01648125257519573</v>
      </c>
      <c r="F46" s="5">
        <v>-0.0300690776107273</v>
      </c>
      <c r="G46" s="4">
        <v>4.774</v>
      </c>
    </row>
    <row r="47" spans="1:7">
      <c r="A47" s="4">
        <v>46</v>
      </c>
      <c r="B47" s="1" t="s">
        <v>2874</v>
      </c>
      <c r="C47" s="1" t="s">
        <v>2875</v>
      </c>
      <c r="D47" s="1" t="s">
        <v>37</v>
      </c>
      <c r="E47" s="5">
        <v>-0.0164337488958527</v>
      </c>
      <c r="F47" s="5">
        <v>-0.04905879520543743</v>
      </c>
      <c r="G47" s="4">
        <v>40.85758978581447</v>
      </c>
    </row>
    <row r="48" spans="1:7">
      <c r="A48" s="4">
        <v>47</v>
      </c>
      <c r="B48" s="1" t="s">
        <v>2304</v>
      </c>
      <c r="C48" s="1" t="s">
        <v>2305</v>
      </c>
      <c r="D48" s="1" t="s">
        <v>70</v>
      </c>
      <c r="E48" s="5">
        <v>-0.01620899961234934</v>
      </c>
      <c r="F48" s="5">
        <v>-0.04155447903368692</v>
      </c>
      <c r="G48" s="4">
        <v>224.6984733647556</v>
      </c>
    </row>
    <row r="49" spans="1:7">
      <c r="A49" s="4">
        <v>48</v>
      </c>
      <c r="B49" s="1" t="s">
        <v>2692</v>
      </c>
      <c r="C49" s="1" t="s">
        <v>2693</v>
      </c>
      <c r="D49" s="1" t="s">
        <v>70</v>
      </c>
      <c r="E49" s="5">
        <v>-0.01595563788756238</v>
      </c>
      <c r="F49" s="5">
        <v>-0.03056315818111111</v>
      </c>
      <c r="G49" s="4">
        <v>2.943429997418467</v>
      </c>
    </row>
    <row r="50" spans="1:7">
      <c r="A50" s="4">
        <v>49</v>
      </c>
      <c r="B50" s="1" t="s">
        <v>2438</v>
      </c>
      <c r="C50" s="1" t="s">
        <v>2439</v>
      </c>
      <c r="D50" s="1" t="s">
        <v>37</v>
      </c>
      <c r="E50" s="5">
        <v>-0.01592110833708571</v>
      </c>
      <c r="F50" s="5">
        <v>0.01205690714228491</v>
      </c>
      <c r="G50" s="4">
        <v>137.7966312286087</v>
      </c>
    </row>
    <row r="51" spans="1:7">
      <c r="A51" s="4">
        <v>50</v>
      </c>
      <c r="B51" s="1" t="s">
        <v>2490</v>
      </c>
      <c r="C51" s="1" t="s">
        <v>2491</v>
      </c>
      <c r="D51" s="1" t="s">
        <v>54</v>
      </c>
      <c r="E51" s="5">
        <v>-0.01579833490911509</v>
      </c>
      <c r="F51" s="5">
        <v>-0.009070975540396153</v>
      </c>
      <c r="G51" s="4">
        <v>11.89587815162207</v>
      </c>
    </row>
    <row r="52" spans="1:7">
      <c r="A52" s="4">
        <v>51</v>
      </c>
      <c r="B52" s="1" t="s">
        <v>1728</v>
      </c>
      <c r="C52" s="1" t="s">
        <v>1729</v>
      </c>
      <c r="D52" s="1" t="s">
        <v>54</v>
      </c>
      <c r="E52" s="5">
        <v>-0.01572387344199433</v>
      </c>
      <c r="F52" s="5">
        <v>-0.04413407821229054</v>
      </c>
      <c r="G52" s="4">
        <v>1026.6</v>
      </c>
    </row>
    <row r="53" spans="1:7">
      <c r="A53" s="4">
        <v>52</v>
      </c>
      <c r="B53" s="1" t="s">
        <v>2178</v>
      </c>
      <c r="C53" s="1" t="s">
        <v>2179</v>
      </c>
      <c r="D53" s="1" t="s">
        <v>41</v>
      </c>
      <c r="E53" s="5">
        <v>-0.01568418281316442</v>
      </c>
      <c r="F53" s="5">
        <v>-0.04313266451338538</v>
      </c>
      <c r="G53" s="4">
        <v>8.667562519964438</v>
      </c>
    </row>
    <row r="54" spans="1:7">
      <c r="A54" s="4">
        <v>53</v>
      </c>
      <c r="B54" s="1" t="s">
        <v>2612</v>
      </c>
      <c r="C54" s="1" t="s">
        <v>2613</v>
      </c>
      <c r="D54" s="1" t="s">
        <v>54</v>
      </c>
      <c r="E54" s="5">
        <v>-0.01567944250871078</v>
      </c>
      <c r="F54" s="5">
        <v>0.01557819053325327</v>
      </c>
      <c r="G54" s="4">
        <v>33.9</v>
      </c>
    </row>
    <row r="55" spans="1:7">
      <c r="A55" s="4">
        <v>54</v>
      </c>
      <c r="B55" s="1" t="s">
        <v>1700</v>
      </c>
      <c r="C55" s="1" t="s">
        <v>1701</v>
      </c>
      <c r="D55" s="1" t="s">
        <v>37</v>
      </c>
      <c r="E55" s="5">
        <v>-0.01563287947554226</v>
      </c>
      <c r="F55" s="5">
        <v>-0.04125736738703345</v>
      </c>
      <c r="G55" s="4">
        <v>97.59999999999999</v>
      </c>
    </row>
    <row r="56" spans="1:7">
      <c r="A56" s="4">
        <v>55</v>
      </c>
      <c r="B56" s="1" t="s">
        <v>1972</v>
      </c>
      <c r="C56" s="1" t="s">
        <v>1973</v>
      </c>
      <c r="D56" s="1" t="s">
        <v>54</v>
      </c>
      <c r="E56" s="5">
        <v>-0.01558073654390923</v>
      </c>
      <c r="F56" s="5">
        <v>-0.08068783068783059</v>
      </c>
      <c r="G56" s="4">
        <v>13.9</v>
      </c>
    </row>
    <row r="57" spans="1:7">
      <c r="A57" s="4">
        <v>56</v>
      </c>
      <c r="B57" s="1" t="s">
        <v>2576</v>
      </c>
      <c r="C57" s="1" t="s">
        <v>2577</v>
      </c>
      <c r="D57" s="1" t="s">
        <v>70</v>
      </c>
      <c r="E57" s="5">
        <v>-0.01524470652607091</v>
      </c>
      <c r="F57" s="5">
        <v>-0.1050012024505552</v>
      </c>
      <c r="G57" s="4">
        <v>53.03842762943356</v>
      </c>
    </row>
    <row r="58" spans="1:7">
      <c r="A58" s="4">
        <v>57</v>
      </c>
      <c r="B58" s="1" t="s">
        <v>2726</v>
      </c>
      <c r="C58" s="1" t="s">
        <v>2727</v>
      </c>
      <c r="D58" s="1" t="s">
        <v>70</v>
      </c>
      <c r="E58" s="5">
        <v>-0.01499484959024022</v>
      </c>
      <c r="F58" s="5">
        <v>0.02078803573537469</v>
      </c>
      <c r="G58" s="4">
        <v>11.71632724355658</v>
      </c>
    </row>
    <row r="59" spans="1:7">
      <c r="A59" s="4">
        <v>58</v>
      </c>
      <c r="B59" s="1" t="s">
        <v>1756</v>
      </c>
      <c r="C59" s="1" t="s">
        <v>1757</v>
      </c>
      <c r="D59" s="1" t="s">
        <v>37</v>
      </c>
      <c r="E59" s="5">
        <v>-0.01474319485142139</v>
      </c>
      <c r="F59" s="5">
        <v>-0.03020072693091025</v>
      </c>
      <c r="G59" s="4">
        <v>60.93337682820867</v>
      </c>
    </row>
    <row r="60" spans="1:7">
      <c r="A60" s="4">
        <v>59</v>
      </c>
      <c r="B60" s="1" t="s">
        <v>2166</v>
      </c>
      <c r="C60" s="1" t="s">
        <v>2167</v>
      </c>
      <c r="D60" s="1" t="s">
        <v>54</v>
      </c>
      <c r="E60" s="5">
        <v>-0.0146780994632133</v>
      </c>
      <c r="F60" s="5">
        <v>0.01607801220999105</v>
      </c>
      <c r="G60" s="4">
        <v>227.5696796027339</v>
      </c>
    </row>
    <row r="61" spans="1:7">
      <c r="A61" s="4">
        <v>60</v>
      </c>
      <c r="B61" s="1" t="s">
        <v>2316</v>
      </c>
      <c r="C61" s="1" t="s">
        <v>2317</v>
      </c>
      <c r="D61" s="1" t="s">
        <v>41</v>
      </c>
      <c r="E61" s="5">
        <v>-0.01465682448714845</v>
      </c>
      <c r="F61" s="5">
        <v>-0.01218467210362117</v>
      </c>
      <c r="G61" s="4">
        <v>20.0311401260806</v>
      </c>
    </row>
    <row r="62" spans="1:7">
      <c r="A62" s="4">
        <v>61</v>
      </c>
      <c r="B62" s="1" t="s">
        <v>2156</v>
      </c>
      <c r="C62" s="1" t="s">
        <v>2157</v>
      </c>
      <c r="D62" s="1" t="s">
        <v>37</v>
      </c>
      <c r="E62" s="5">
        <v>-0.01457396077796047</v>
      </c>
      <c r="F62" s="5">
        <v>0.006648058382752398</v>
      </c>
      <c r="G62" s="4">
        <v>289.6420493984555</v>
      </c>
    </row>
    <row r="63" spans="1:7">
      <c r="A63" s="4">
        <v>62</v>
      </c>
      <c r="B63" s="1" t="s">
        <v>2392</v>
      </c>
      <c r="C63" s="1" t="s">
        <v>2393</v>
      </c>
      <c r="D63" s="1" t="s">
        <v>37</v>
      </c>
      <c r="E63" s="5">
        <v>-0.01450852375770761</v>
      </c>
      <c r="F63" s="5">
        <v>-0.01522290685030803</v>
      </c>
      <c r="G63" s="4">
        <v>135.85</v>
      </c>
    </row>
    <row r="64" spans="1:7">
      <c r="A64" s="4">
        <v>63</v>
      </c>
      <c r="B64" s="1" t="s">
        <v>1804</v>
      </c>
      <c r="C64" s="1" t="s">
        <v>1805</v>
      </c>
      <c r="D64" s="1" t="s">
        <v>138</v>
      </c>
      <c r="E64" s="5">
        <v>-0.01444904383043688</v>
      </c>
      <c r="F64" s="5">
        <v>-0.07989960032774168</v>
      </c>
      <c r="G64" s="4">
        <v>5.875225884175201</v>
      </c>
    </row>
    <row r="65" spans="1:7">
      <c r="A65" s="4">
        <v>64</v>
      </c>
      <c r="B65" s="1" t="s">
        <v>2420</v>
      </c>
      <c r="C65" s="1" t="s">
        <v>2421</v>
      </c>
      <c r="D65" s="1" t="s">
        <v>70</v>
      </c>
      <c r="E65" s="5">
        <v>-0.01443001443001446</v>
      </c>
      <c r="F65" s="5">
        <v>-0.03667136812411864</v>
      </c>
      <c r="G65" s="4">
        <v>136.6</v>
      </c>
    </row>
    <row r="66" spans="1:7">
      <c r="A66" s="4">
        <v>65</v>
      </c>
      <c r="B66" s="1" t="s">
        <v>2712</v>
      </c>
      <c r="C66" s="1" t="s">
        <v>2713</v>
      </c>
      <c r="D66" s="1" t="s">
        <v>37</v>
      </c>
      <c r="E66" s="5">
        <v>-0.01404216031893835</v>
      </c>
      <c r="F66" s="5">
        <v>0.007194974429685752</v>
      </c>
      <c r="G66" s="4">
        <v>99.89670888729358</v>
      </c>
    </row>
    <row r="67" spans="1:7">
      <c r="A67" s="4">
        <v>66</v>
      </c>
      <c r="B67" s="1" t="s">
        <v>2754</v>
      </c>
      <c r="C67" s="1" t="s">
        <v>2755</v>
      </c>
      <c r="D67" s="1" t="s">
        <v>70</v>
      </c>
      <c r="E67" s="5">
        <v>-0.01399776035834266</v>
      </c>
      <c r="F67" s="5">
        <v>-0.01812099247281851</v>
      </c>
      <c r="G67" s="4">
        <v>70.44</v>
      </c>
    </row>
    <row r="68" spans="1:7">
      <c r="A68" s="4">
        <v>67</v>
      </c>
      <c r="B68" s="1" t="s">
        <v>2186</v>
      </c>
      <c r="C68" s="1" t="s">
        <v>2187</v>
      </c>
      <c r="D68" s="1" t="s">
        <v>37</v>
      </c>
      <c r="E68" s="5">
        <v>-0.01381510581091927</v>
      </c>
      <c r="F68" s="5">
        <v>-0.03200152152290903</v>
      </c>
      <c r="G68" s="4">
        <v>4.104514241459428</v>
      </c>
    </row>
    <row r="69" spans="1:7">
      <c r="A69" s="4">
        <v>68</v>
      </c>
      <c r="B69" s="1" t="s">
        <v>2110</v>
      </c>
      <c r="C69" s="1" t="s">
        <v>2111</v>
      </c>
      <c r="D69" s="1" t="s">
        <v>37</v>
      </c>
      <c r="E69" s="5">
        <v>-0.01345392877331819</v>
      </c>
      <c r="F69" s="5">
        <v>-0.06373390557939906</v>
      </c>
      <c r="G69" s="4">
        <v>43.63</v>
      </c>
    </row>
    <row r="70" spans="1:7">
      <c r="A70" s="4">
        <v>69</v>
      </c>
      <c r="B70" s="1" t="s">
        <v>1740</v>
      </c>
      <c r="C70" s="1" t="s">
        <v>1741</v>
      </c>
      <c r="D70" s="1" t="s">
        <v>93</v>
      </c>
      <c r="E70" s="5">
        <v>-0.01342903449872657</v>
      </c>
      <c r="F70" s="5">
        <v>0.01986596457635237</v>
      </c>
      <c r="G70" s="4">
        <v>170.44</v>
      </c>
    </row>
    <row r="71" spans="1:7">
      <c r="A71" s="4">
        <v>70</v>
      </c>
      <c r="B71" s="1" t="s">
        <v>2194</v>
      </c>
      <c r="C71" s="1" t="s">
        <v>2195</v>
      </c>
      <c r="D71" s="1" t="s">
        <v>93</v>
      </c>
      <c r="E71" s="5">
        <v>-0.01306969016905291</v>
      </c>
      <c r="F71" s="5">
        <v>0.03050561520421868</v>
      </c>
      <c r="G71" s="4">
        <v>7.701781258067293</v>
      </c>
    </row>
    <row r="72" spans="1:7">
      <c r="A72" s="4">
        <v>71</v>
      </c>
      <c r="B72" s="1" t="s">
        <v>2744</v>
      </c>
      <c r="C72" s="1" t="s">
        <v>2745</v>
      </c>
      <c r="D72" s="1" t="s">
        <v>138</v>
      </c>
      <c r="E72" s="5">
        <v>-0.01295140326017019</v>
      </c>
      <c r="F72" s="5">
        <v>-0.002996773371973904</v>
      </c>
      <c r="G72" s="4">
        <v>12.31378179113739</v>
      </c>
    </row>
    <row r="73" spans="1:7">
      <c r="A73" s="4">
        <v>72</v>
      </c>
      <c r="B73" s="1" t="s">
        <v>2464</v>
      </c>
      <c r="C73" s="1" t="s">
        <v>2465</v>
      </c>
      <c r="D73" s="1" t="s">
        <v>47</v>
      </c>
      <c r="E73" s="5">
        <v>-0.01294642857142858</v>
      </c>
      <c r="F73" s="5">
        <v>-0.01755165518773605</v>
      </c>
      <c r="G73" s="4">
        <v>44.22</v>
      </c>
    </row>
    <row r="74" spans="1:7">
      <c r="A74" s="4">
        <v>73</v>
      </c>
      <c r="B74" s="1" t="s">
        <v>2798</v>
      </c>
      <c r="C74" s="1" t="s">
        <v>2799</v>
      </c>
      <c r="D74" s="1" t="s">
        <v>138</v>
      </c>
      <c r="E74" s="5">
        <v>-0.01282051282051289</v>
      </c>
      <c r="F74" s="5">
        <v>-0.03292600135777335</v>
      </c>
      <c r="G74" s="4">
        <v>14.245</v>
      </c>
    </row>
    <row r="75" spans="1:7">
      <c r="A75" s="4">
        <v>74</v>
      </c>
      <c r="B75" s="1" t="s">
        <v>1946</v>
      </c>
      <c r="C75" s="1" t="s">
        <v>1947</v>
      </c>
      <c r="D75" s="1" t="s">
        <v>138</v>
      </c>
      <c r="E75" s="5">
        <v>-0.0126971912273951</v>
      </c>
      <c r="F75" s="5">
        <v>-0.018362662586075</v>
      </c>
      <c r="G75" s="4">
        <v>25.66</v>
      </c>
    </row>
    <row r="76" spans="1:7">
      <c r="A76" s="4">
        <v>75</v>
      </c>
      <c r="B76" s="1" t="s">
        <v>2668</v>
      </c>
      <c r="C76" s="1" t="s">
        <v>2669</v>
      </c>
      <c r="D76" s="1" t="s">
        <v>37</v>
      </c>
      <c r="E76" s="5">
        <v>-0.01266604558806916</v>
      </c>
      <c r="F76" s="5">
        <v>-0.01633134326795338</v>
      </c>
      <c r="G76" s="4">
        <v>40.92615691528059</v>
      </c>
    </row>
    <row r="77" spans="1:7">
      <c r="A77" s="4">
        <v>76</v>
      </c>
      <c r="B77" s="1" t="s">
        <v>2522</v>
      </c>
      <c r="C77" s="1" t="s">
        <v>2523</v>
      </c>
      <c r="D77" s="1" t="s">
        <v>47</v>
      </c>
      <c r="E77" s="5">
        <v>-0.01258037461559969</v>
      </c>
      <c r="F77" s="5">
        <v>-0.0482349770951227</v>
      </c>
      <c r="G77" s="4">
        <v>353.2</v>
      </c>
    </row>
    <row r="78" spans="1:7">
      <c r="A78" s="4">
        <v>77</v>
      </c>
      <c r="B78" s="1" t="s">
        <v>2068</v>
      </c>
      <c r="C78" s="1" t="s">
        <v>2069</v>
      </c>
      <c r="D78" s="1" t="s">
        <v>54</v>
      </c>
      <c r="E78" s="5">
        <v>-0.01251087429610409</v>
      </c>
      <c r="F78" s="5">
        <v>-0.05677990479821515</v>
      </c>
      <c r="G78" s="4">
        <v>28.73289776396019</v>
      </c>
    </row>
    <row r="79" spans="1:7">
      <c r="A79" s="4">
        <v>78</v>
      </c>
      <c r="B79" s="1" t="s">
        <v>2680</v>
      </c>
      <c r="C79" s="1" t="s">
        <v>2681</v>
      </c>
      <c r="D79" s="1" t="s">
        <v>129</v>
      </c>
      <c r="E79" s="5">
        <v>-0.01248014522350804</v>
      </c>
      <c r="F79" s="5">
        <v>-0.02943800178412126</v>
      </c>
      <c r="G79" s="4">
        <v>4.352</v>
      </c>
    </row>
    <row r="80" spans="1:7">
      <c r="A80" s="4">
        <v>79</v>
      </c>
      <c r="B80" s="1" t="s">
        <v>2596</v>
      </c>
      <c r="C80" s="1" t="s">
        <v>2597</v>
      </c>
      <c r="D80" s="1" t="s">
        <v>54</v>
      </c>
      <c r="E80" s="5">
        <v>-0.01247924277601276</v>
      </c>
      <c r="F80" s="5">
        <v>-0.04067494625219803</v>
      </c>
      <c r="G80" s="4">
        <v>32.01742882686199</v>
      </c>
    </row>
    <row r="81" spans="1:7">
      <c r="A81" s="4">
        <v>80</v>
      </c>
      <c r="B81" s="1" t="s">
        <v>2146</v>
      </c>
      <c r="C81" s="1" t="s">
        <v>2147</v>
      </c>
      <c r="D81" s="1" t="s">
        <v>93</v>
      </c>
      <c r="E81" s="5">
        <v>-0.01243065847290648</v>
      </c>
      <c r="F81" s="5">
        <v>-0.009688690161668623</v>
      </c>
      <c r="G81" s="4">
        <v>3456.081582751801</v>
      </c>
    </row>
    <row r="82" spans="1:7">
      <c r="A82" s="4">
        <v>81</v>
      </c>
      <c r="B82" s="1" t="s">
        <v>2426</v>
      </c>
      <c r="C82" s="1" t="s">
        <v>2427</v>
      </c>
      <c r="D82" s="1" t="s">
        <v>93</v>
      </c>
      <c r="E82" s="5">
        <v>-0.01221363066972869</v>
      </c>
      <c r="F82" s="5">
        <v>0.02645137160592759</v>
      </c>
      <c r="G82" s="4">
        <v>8.695566810703935</v>
      </c>
    </row>
    <row r="83" spans="1:7">
      <c r="A83" s="4">
        <v>82</v>
      </c>
      <c r="B83" s="1" t="s">
        <v>2018</v>
      </c>
      <c r="C83" s="1" t="s">
        <v>2019</v>
      </c>
      <c r="D83" s="1" t="s">
        <v>138</v>
      </c>
      <c r="E83" s="5">
        <v>-0.01217391304347826</v>
      </c>
      <c r="F83" s="5">
        <v>-0.01865929509329656</v>
      </c>
      <c r="G83" s="4">
        <v>28.4</v>
      </c>
    </row>
    <row r="84" spans="1:7">
      <c r="A84" s="4">
        <v>83</v>
      </c>
      <c r="B84" s="1" t="s">
        <v>2642</v>
      </c>
      <c r="C84" s="1" t="s">
        <v>2643</v>
      </c>
      <c r="D84" s="1" t="s">
        <v>70</v>
      </c>
      <c r="E84" s="5">
        <v>-0.0120415969634553</v>
      </c>
      <c r="F84" s="5">
        <v>-0.02115958076650515</v>
      </c>
      <c r="G84" s="4">
        <v>96.79155251140581</v>
      </c>
    </row>
    <row r="85" spans="1:7">
      <c r="A85" s="4">
        <v>84</v>
      </c>
      <c r="B85" s="1" t="s">
        <v>2472</v>
      </c>
      <c r="C85" s="1" t="s">
        <v>2473</v>
      </c>
      <c r="D85" s="1" t="s">
        <v>54</v>
      </c>
      <c r="E85" s="5">
        <v>-0.01201923590149956</v>
      </c>
      <c r="F85" s="5">
        <v>-0.05597686287281711</v>
      </c>
      <c r="G85" s="4">
        <v>722.055198365684</v>
      </c>
    </row>
    <row r="86" spans="1:7">
      <c r="A86" s="4">
        <v>85</v>
      </c>
      <c r="B86" s="1" t="s">
        <v>1830</v>
      </c>
      <c r="C86" s="1" t="s">
        <v>1831</v>
      </c>
      <c r="D86" s="1" t="s">
        <v>54</v>
      </c>
      <c r="E86" s="5">
        <v>-0.01196686100030686</v>
      </c>
      <c r="F86" s="5">
        <v>-0.03506143242433313</v>
      </c>
      <c r="G86" s="4">
        <v>16.1</v>
      </c>
    </row>
    <row r="87" spans="1:7">
      <c r="A87" s="4">
        <v>86</v>
      </c>
      <c r="B87" s="1" t="s">
        <v>1818</v>
      </c>
      <c r="C87" s="1" t="s">
        <v>1819</v>
      </c>
      <c r="D87" s="1" t="s">
        <v>37</v>
      </c>
      <c r="E87" s="5">
        <v>-0.01191946952358458</v>
      </c>
      <c r="F87" s="5">
        <v>-0.02278692682962269</v>
      </c>
      <c r="G87" s="4">
        <v>139.6791326047673</v>
      </c>
    </row>
    <row r="88" spans="1:7">
      <c r="A88" s="4">
        <v>87</v>
      </c>
      <c r="B88" s="1" t="s">
        <v>2232</v>
      </c>
      <c r="C88" s="1" t="s">
        <v>2233</v>
      </c>
      <c r="D88" s="1" t="s">
        <v>66</v>
      </c>
      <c r="E88" s="5">
        <v>-0.01191012183339368</v>
      </c>
      <c r="F88" s="5">
        <v>-0.009313159679253613</v>
      </c>
      <c r="G88" s="4">
        <v>28.95730143705361</v>
      </c>
    </row>
    <row r="89" spans="1:7">
      <c r="A89" s="4">
        <v>88</v>
      </c>
      <c r="B89" s="1" t="s">
        <v>2730</v>
      </c>
      <c r="C89" s="1" t="s">
        <v>2731</v>
      </c>
      <c r="D89" s="1" t="s">
        <v>93</v>
      </c>
      <c r="E89" s="5">
        <v>-0.01180585920419763</v>
      </c>
      <c r="F89" s="5">
        <v>0.004444444444444473</v>
      </c>
      <c r="G89" s="4">
        <v>90.40000000000001</v>
      </c>
    </row>
    <row r="90" spans="1:7">
      <c r="A90" s="4">
        <v>89</v>
      </c>
      <c r="B90" s="1" t="s">
        <v>1820</v>
      </c>
      <c r="C90" s="1" t="s">
        <v>1821</v>
      </c>
      <c r="D90" s="1" t="s">
        <v>70</v>
      </c>
      <c r="E90" s="5">
        <v>-0.0117624819906309</v>
      </c>
      <c r="F90" s="5">
        <v>-0.0831697391139804</v>
      </c>
      <c r="G90" s="4">
        <v>22.76213750968076</v>
      </c>
    </row>
    <row r="91" spans="1:7">
      <c r="A91" s="4">
        <v>90</v>
      </c>
      <c r="B91" s="1" t="s">
        <v>2568</v>
      </c>
      <c r="C91" s="1" t="s">
        <v>2569</v>
      </c>
      <c r="D91" s="1" t="s">
        <v>76</v>
      </c>
      <c r="E91" s="5">
        <v>-0.0117027501462843</v>
      </c>
      <c r="F91" s="5">
        <v>0.002373887240356032</v>
      </c>
      <c r="G91" s="4">
        <v>33.78</v>
      </c>
    </row>
    <row r="92" spans="1:7">
      <c r="A92" s="4">
        <v>91</v>
      </c>
      <c r="B92" s="1" t="s">
        <v>2792</v>
      </c>
      <c r="C92" s="1" t="s">
        <v>2793</v>
      </c>
      <c r="D92" s="1" t="s">
        <v>54</v>
      </c>
      <c r="E92" s="5">
        <v>-0.01146030245746688</v>
      </c>
      <c r="F92" s="5">
        <v>0.007708057328676299</v>
      </c>
      <c r="G92" s="4">
        <v>83.67</v>
      </c>
    </row>
    <row r="93" spans="1:7">
      <c r="A93" s="4">
        <v>92</v>
      </c>
      <c r="B93" s="1" t="s">
        <v>2868</v>
      </c>
      <c r="C93" s="1" t="s">
        <v>2869</v>
      </c>
      <c r="D93" s="1" t="s">
        <v>93</v>
      </c>
      <c r="E93" s="5">
        <v>-0.01126570865704701</v>
      </c>
      <c r="F93" s="5">
        <v>0.02155286950068391</v>
      </c>
      <c r="G93" s="4">
        <v>42.34829918245293</v>
      </c>
    </row>
    <row r="94" spans="1:7">
      <c r="A94" s="4">
        <v>93</v>
      </c>
      <c r="B94" s="1" t="s">
        <v>2374</v>
      </c>
      <c r="C94" s="1" t="s">
        <v>2375</v>
      </c>
      <c r="D94" s="1" t="s">
        <v>66</v>
      </c>
      <c r="E94" s="5">
        <v>-0.01124792801326058</v>
      </c>
      <c r="F94" s="5">
        <v>-0.01660386245878476</v>
      </c>
      <c r="G94" s="4">
        <v>16.702</v>
      </c>
    </row>
    <row r="95" spans="1:7">
      <c r="A95" s="4">
        <v>94</v>
      </c>
      <c r="B95" s="1" t="s">
        <v>2542</v>
      </c>
      <c r="C95" s="1" t="s">
        <v>2543</v>
      </c>
      <c r="D95" s="1" t="s">
        <v>66</v>
      </c>
      <c r="E95" s="5">
        <v>-0.01120717259045789</v>
      </c>
      <c r="F95" s="5">
        <v>-0.09733995907629356</v>
      </c>
      <c r="G95" s="4">
        <v>61.76</v>
      </c>
    </row>
    <row r="96" spans="1:7">
      <c r="A96" s="4">
        <v>95</v>
      </c>
      <c r="B96" s="1" t="s">
        <v>1964</v>
      </c>
      <c r="C96" s="1" t="s">
        <v>1965</v>
      </c>
      <c r="D96" s="1" t="s">
        <v>93</v>
      </c>
      <c r="E96" s="5">
        <v>-0.01119764992561456</v>
      </c>
      <c r="F96" s="5">
        <v>-0.04349829892715917</v>
      </c>
      <c r="G96" s="4">
        <v>38.3460287410722</v>
      </c>
    </row>
    <row r="97" spans="1:7">
      <c r="A97" s="4">
        <v>96</v>
      </c>
      <c r="B97" s="1" t="s">
        <v>2140</v>
      </c>
      <c r="C97" s="1" t="s">
        <v>2141</v>
      </c>
      <c r="D97" s="1" t="s">
        <v>37</v>
      </c>
      <c r="E97" s="5">
        <v>-0.01119174090139918</v>
      </c>
      <c r="F97" s="5">
        <v>-0.01526576074343666</v>
      </c>
      <c r="G97" s="4">
        <v>21.75889345231937</v>
      </c>
    </row>
    <row r="98" spans="1:7">
      <c r="A98" s="4">
        <v>97</v>
      </c>
      <c r="B98" s="1" t="s">
        <v>2160</v>
      </c>
      <c r="C98" s="1" t="s">
        <v>2161</v>
      </c>
      <c r="D98" s="1" t="s">
        <v>37</v>
      </c>
      <c r="E98" s="5">
        <v>-0.01110860604937192</v>
      </c>
      <c r="F98" s="5">
        <v>-0.0411297252591929</v>
      </c>
      <c r="G98" s="4">
        <v>21.48238533689011</v>
      </c>
    </row>
    <row r="99" spans="1:7">
      <c r="A99" s="4">
        <v>98</v>
      </c>
      <c r="B99" s="1" t="s">
        <v>2256</v>
      </c>
      <c r="C99" s="1" t="s">
        <v>2257</v>
      </c>
      <c r="D99" s="1" t="s">
        <v>70</v>
      </c>
      <c r="E99" s="5">
        <v>-0.01090512540894217</v>
      </c>
      <c r="F99" s="5">
        <v>-0.01945945945945948</v>
      </c>
      <c r="G99" s="4">
        <v>36.28</v>
      </c>
    </row>
    <row r="100" spans="1:7">
      <c r="A100" s="4">
        <v>99</v>
      </c>
      <c r="B100" s="1" t="s">
        <v>2686</v>
      </c>
      <c r="C100" s="1" t="s">
        <v>2687</v>
      </c>
      <c r="D100" s="1" t="s">
        <v>54</v>
      </c>
      <c r="E100" s="5">
        <v>-0.01072675817824653</v>
      </c>
      <c r="F100" s="5">
        <v>0.04869672662441182</v>
      </c>
      <c r="G100" s="4">
        <v>44.59940356326477</v>
      </c>
    </row>
    <row r="101" spans="1:7">
      <c r="A101" s="4">
        <v>100</v>
      </c>
      <c r="B101" s="1" t="s">
        <v>2190</v>
      </c>
      <c r="C101" s="1" t="s">
        <v>2191</v>
      </c>
      <c r="D101" s="1" t="s">
        <v>54</v>
      </c>
      <c r="E101" s="5">
        <v>-0.01063022019741822</v>
      </c>
      <c r="F101" s="5">
        <v>0.03907496012759171</v>
      </c>
      <c r="G101" s="4">
        <v>260.6</v>
      </c>
    </row>
  </sheetData>
  <autoFilter ref="A1:G101"/>
  <conditionalFormatting sqref="E2:E101">
    <cfRule type="colorScale" priority="1">
      <colorScale>
        <cfvo type="min" val="0"/>
        <cfvo type="num" val="0"/>
        <cfvo type="max" val="0"/>
        <color rgb="FFF6C7CE"/>
        <color rgb="FFFFFFFF"/>
        <color rgb="FFB9E5D1"/>
      </colorScale>
    </cfRule>
  </conditionalFormatting>
  <conditionalFormatting sqref="F2:F101">
    <cfRule type="colorScale" priority="2">
      <colorScale>
        <cfvo type="min" val="0"/>
        <cfvo type="num" val="0"/>
        <cfvo type="max" val="0"/>
        <color rgb="FFF6C7CE"/>
        <color rgb="FFFFFFFF"/>
        <color rgb="FFB9E5D1"/>
      </colorScale>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G101"/>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5.7109375" style="1" customWidth="1"/>
    <col min="2" max="2" width="22.7109375" style="1" customWidth="1"/>
    <col min="3" max="3" width="40.7109375" style="1" customWidth="1"/>
    <col min="4" max="4" width="27.7109375" style="1" customWidth="1"/>
    <col min="5" max="7" width="15.7109375" style="1" customWidth="1"/>
  </cols>
  <sheetData>
    <row r="1" spans="1:7" ht="30" customHeight="1">
      <c r="A1" s="3" t="s">
        <v>1071</v>
      </c>
      <c r="B1" s="3" t="s">
        <v>24</v>
      </c>
      <c r="C1" s="3" t="s">
        <v>25</v>
      </c>
      <c r="D1" s="3" t="s">
        <v>26</v>
      </c>
      <c r="E1" s="3" t="s">
        <v>1072</v>
      </c>
      <c r="F1" s="3" t="s">
        <v>1073</v>
      </c>
      <c r="G1" s="3" t="s">
        <v>1074</v>
      </c>
    </row>
    <row r="2" spans="1:7">
      <c r="A2" s="4">
        <v>1</v>
      </c>
      <c r="B2" s="1" t="s">
        <v>1802</v>
      </c>
      <c r="C2" s="1" t="s">
        <v>1803</v>
      </c>
      <c r="D2" s="1" t="s">
        <v>41</v>
      </c>
      <c r="E2" s="5">
        <v>0.1115591397849462</v>
      </c>
      <c r="F2" s="5">
        <v>0.1763869132290186</v>
      </c>
      <c r="G2" s="4">
        <v>165.4</v>
      </c>
    </row>
    <row r="3" spans="1:7">
      <c r="A3" s="4">
        <v>2</v>
      </c>
      <c r="B3" s="1" t="s">
        <v>2672</v>
      </c>
      <c r="C3" s="1" t="s">
        <v>2673</v>
      </c>
      <c r="D3" s="1" t="s">
        <v>41</v>
      </c>
      <c r="E3" s="5">
        <v>0.03886639676113379</v>
      </c>
      <c r="F3" s="5">
        <v>0.1684881602914392</v>
      </c>
      <c r="G3" s="4">
        <v>128.3</v>
      </c>
    </row>
    <row r="4" spans="1:7">
      <c r="A4" s="4">
        <v>3</v>
      </c>
      <c r="B4" s="1" t="s">
        <v>2762</v>
      </c>
      <c r="C4" s="1" t="s">
        <v>2763</v>
      </c>
      <c r="D4" s="1" t="s">
        <v>93</v>
      </c>
      <c r="E4" s="5">
        <v>0.06512605042016828</v>
      </c>
      <c r="F4" s="5">
        <v>0.1376215407629022</v>
      </c>
      <c r="G4" s="4">
        <v>15.21</v>
      </c>
    </row>
    <row r="5" spans="1:7">
      <c r="A5" s="4">
        <v>4</v>
      </c>
      <c r="B5" s="1" t="s">
        <v>2298</v>
      </c>
      <c r="C5" s="1" t="s">
        <v>2299</v>
      </c>
      <c r="D5" s="1" t="s">
        <v>70</v>
      </c>
      <c r="E5" s="5">
        <v>0.03970621987606138</v>
      </c>
      <c r="F5" s="5">
        <v>0.1021897810218977</v>
      </c>
      <c r="G5" s="4">
        <v>45.3</v>
      </c>
    </row>
    <row r="6" spans="1:7">
      <c r="A6" s="4">
        <v>5</v>
      </c>
      <c r="B6" s="1" t="s">
        <v>1980</v>
      </c>
      <c r="C6" s="1" t="s">
        <v>1981</v>
      </c>
      <c r="D6" s="1" t="s">
        <v>54</v>
      </c>
      <c r="E6" s="5">
        <v>0.0005625879043600346</v>
      </c>
      <c r="F6" s="5">
        <v>0.09868725868725869</v>
      </c>
      <c r="G6" s="4">
        <v>35.57</v>
      </c>
    </row>
    <row r="7" spans="1:7">
      <c r="A7" s="4">
        <v>6</v>
      </c>
      <c r="B7" s="1" t="s">
        <v>2132</v>
      </c>
      <c r="C7" s="1" t="s">
        <v>2133</v>
      </c>
      <c r="D7" s="1" t="s">
        <v>70</v>
      </c>
      <c r="E7" s="5">
        <v>0.01413644744929332</v>
      </c>
      <c r="F7" s="5">
        <v>0.09707446808510634</v>
      </c>
      <c r="G7" s="4">
        <v>82.5</v>
      </c>
    </row>
    <row r="8" spans="1:7">
      <c r="A8" s="4">
        <v>7</v>
      </c>
      <c r="B8" s="1" t="s">
        <v>1938</v>
      </c>
      <c r="C8" s="1" t="s">
        <v>1939</v>
      </c>
      <c r="D8" s="1" t="s">
        <v>41</v>
      </c>
      <c r="E8" s="5">
        <v>0.0405544283801762</v>
      </c>
      <c r="F8" s="5">
        <v>0.09519940140113925</v>
      </c>
      <c r="G8" s="4">
        <v>65.03467859908787</v>
      </c>
    </row>
    <row r="9" spans="1:7">
      <c r="A9" s="4">
        <v>8</v>
      </c>
      <c r="B9" s="1" t="s">
        <v>1706</v>
      </c>
      <c r="C9" s="1" t="s">
        <v>1707</v>
      </c>
      <c r="D9" s="1" t="s">
        <v>70</v>
      </c>
      <c r="E9" s="5">
        <v>0.02934702861335281</v>
      </c>
      <c r="F9" s="5">
        <v>0.09013209013209034</v>
      </c>
      <c r="G9" s="4">
        <v>280.6</v>
      </c>
    </row>
    <row r="10" spans="1:7">
      <c r="A10" s="4">
        <v>9</v>
      </c>
      <c r="B10" s="1" t="s">
        <v>1918</v>
      </c>
      <c r="C10" s="1" t="s">
        <v>1919</v>
      </c>
      <c r="D10" s="1" t="s">
        <v>70</v>
      </c>
      <c r="E10" s="5">
        <v>0.02030755737899526</v>
      </c>
      <c r="F10" s="5">
        <v>0.08848544065018915</v>
      </c>
      <c r="G10" s="4">
        <v>353.5837311584535</v>
      </c>
    </row>
    <row r="11" spans="1:7">
      <c r="A11" s="4">
        <v>10</v>
      </c>
      <c r="B11" s="1" t="s">
        <v>1750</v>
      </c>
      <c r="C11" s="1" t="s">
        <v>1751</v>
      </c>
      <c r="D11" s="1" t="s">
        <v>70</v>
      </c>
      <c r="E11" s="5">
        <v>0.004149320557871095</v>
      </c>
      <c r="F11" s="5">
        <v>0.08766873651981544</v>
      </c>
      <c r="G11" s="4">
        <v>149.0615690506105</v>
      </c>
    </row>
    <row r="12" spans="1:7">
      <c r="A12" s="4">
        <v>11</v>
      </c>
      <c r="B12" s="1" t="s">
        <v>2840</v>
      </c>
      <c r="C12" s="1" t="s">
        <v>2841</v>
      </c>
      <c r="D12" s="1" t="s">
        <v>47</v>
      </c>
      <c r="E12" s="5">
        <v>0.06469355683603983</v>
      </c>
      <c r="F12" s="5">
        <v>0.08371101039722739</v>
      </c>
      <c r="G12" s="4">
        <v>81.3</v>
      </c>
    </row>
    <row r="13" spans="1:7">
      <c r="A13" s="4">
        <v>12</v>
      </c>
      <c r="B13" s="1" t="s">
        <v>2450</v>
      </c>
      <c r="C13" s="1" t="s">
        <v>2451</v>
      </c>
      <c r="D13" s="1" t="s">
        <v>41</v>
      </c>
      <c r="E13" s="5">
        <v>-0.003536451153539288</v>
      </c>
      <c r="F13" s="5">
        <v>0.08322858421418244</v>
      </c>
      <c r="G13" s="4">
        <v>16.61162833456639</v>
      </c>
    </row>
    <row r="14" spans="1:7">
      <c r="A14" s="4">
        <v>13</v>
      </c>
      <c r="B14" s="1" t="s">
        <v>2696</v>
      </c>
      <c r="C14" s="1" t="s">
        <v>2697</v>
      </c>
      <c r="D14" s="1" t="s">
        <v>93</v>
      </c>
      <c r="E14" s="5">
        <v>0.02420369246545384</v>
      </c>
      <c r="F14" s="5">
        <v>0.08311653511199113</v>
      </c>
      <c r="G14" s="4">
        <v>9.547636870517305</v>
      </c>
    </row>
    <row r="15" spans="1:7">
      <c r="A15" s="4">
        <v>14</v>
      </c>
      <c r="B15" s="1" t="s">
        <v>2486</v>
      </c>
      <c r="C15" s="1" t="s">
        <v>2487</v>
      </c>
      <c r="D15" s="1" t="s">
        <v>47</v>
      </c>
      <c r="E15" s="5">
        <v>0.008809072270201668</v>
      </c>
      <c r="F15" s="5">
        <v>0.08137586391767782</v>
      </c>
      <c r="G15" s="4">
        <v>113.2614129426016</v>
      </c>
    </row>
    <row r="16" spans="1:7">
      <c r="A16" s="4">
        <v>15</v>
      </c>
      <c r="B16" s="1" t="s">
        <v>2752</v>
      </c>
      <c r="C16" s="1" t="s">
        <v>2753</v>
      </c>
      <c r="D16" s="1" t="s">
        <v>129</v>
      </c>
      <c r="E16" s="5">
        <v>-0.008617152236356174</v>
      </c>
      <c r="F16" s="5">
        <v>0.08001788109074659</v>
      </c>
      <c r="G16" s="4">
        <v>24.16</v>
      </c>
    </row>
    <row r="17" spans="1:7">
      <c r="A17" s="4">
        <v>16</v>
      </c>
      <c r="B17" s="1" t="s">
        <v>1936</v>
      </c>
      <c r="C17" s="1" t="s">
        <v>1937</v>
      </c>
      <c r="D17" s="1" t="s">
        <v>54</v>
      </c>
      <c r="E17" s="5">
        <v>0.01105769230769238</v>
      </c>
      <c r="F17" s="5">
        <v>0.07818508074852604</v>
      </c>
      <c r="G17" s="4">
        <v>42.06</v>
      </c>
    </row>
    <row r="18" spans="1:7">
      <c r="A18" s="4">
        <v>17</v>
      </c>
      <c r="B18" s="1" t="s">
        <v>1856</v>
      </c>
      <c r="C18" s="1" t="s">
        <v>1857</v>
      </c>
      <c r="D18" s="1" t="s">
        <v>54</v>
      </c>
      <c r="E18" s="5">
        <v>-0.006442078956783726</v>
      </c>
      <c r="F18" s="5">
        <v>0.07522201123528016</v>
      </c>
      <c r="G18" s="4">
        <v>141.4334924633814</v>
      </c>
    </row>
    <row r="19" spans="1:7">
      <c r="A19" s="4">
        <v>18</v>
      </c>
      <c r="B19" s="1" t="s">
        <v>2398</v>
      </c>
      <c r="C19" s="1" t="s">
        <v>2399</v>
      </c>
      <c r="D19" s="1" t="s">
        <v>93</v>
      </c>
      <c r="E19" s="5">
        <v>0.02406335668595805</v>
      </c>
      <c r="F19" s="5">
        <v>0.07446468520294025</v>
      </c>
      <c r="G19" s="4">
        <v>67.23999999999999</v>
      </c>
    </row>
    <row r="20" spans="1:7">
      <c r="A20" s="4">
        <v>19</v>
      </c>
      <c r="B20" s="1" t="s">
        <v>2248</v>
      </c>
      <c r="C20" s="1" t="s">
        <v>2249</v>
      </c>
      <c r="D20" s="1" t="s">
        <v>54</v>
      </c>
      <c r="E20" s="5">
        <v>0.008031496062992138</v>
      </c>
      <c r="F20" s="5">
        <v>0.07291317465638625</v>
      </c>
      <c r="G20" s="4">
        <v>32.005</v>
      </c>
    </row>
    <row r="21" spans="1:7">
      <c r="A21" s="4">
        <v>20</v>
      </c>
      <c r="B21" s="1" t="s">
        <v>1796</v>
      </c>
      <c r="C21" s="1" t="s">
        <v>1797</v>
      </c>
      <c r="D21" s="1" t="s">
        <v>54</v>
      </c>
      <c r="E21" s="5">
        <v>0.00269469145782808</v>
      </c>
      <c r="F21" s="5">
        <v>0.07140800460696806</v>
      </c>
      <c r="G21" s="4">
        <v>74.42</v>
      </c>
    </row>
    <row r="22" spans="1:7">
      <c r="A22" s="4">
        <v>21</v>
      </c>
      <c r="B22" s="1" t="s">
        <v>2602</v>
      </c>
      <c r="C22" s="1" t="s">
        <v>2603</v>
      </c>
      <c r="D22" s="1" t="s">
        <v>54</v>
      </c>
      <c r="E22" s="5">
        <v>0.004064499222646178</v>
      </c>
      <c r="F22" s="5">
        <v>0.07066414955138822</v>
      </c>
      <c r="G22" s="4">
        <v>19.06321556988863</v>
      </c>
    </row>
    <row r="23" spans="1:7">
      <c r="A23" s="4">
        <v>22</v>
      </c>
      <c r="B23" s="1" t="s">
        <v>1714</v>
      </c>
      <c r="C23" s="1" t="s">
        <v>1715</v>
      </c>
      <c r="D23" s="1" t="s">
        <v>93</v>
      </c>
      <c r="E23" s="5">
        <v>0.01380452788514641</v>
      </c>
      <c r="F23" s="5">
        <v>0.07055393586005843</v>
      </c>
      <c r="G23" s="4">
        <v>18.36</v>
      </c>
    </row>
    <row r="24" spans="1:7">
      <c r="A24" s="4">
        <v>23</v>
      </c>
      <c r="B24" s="1" t="s">
        <v>2834</v>
      </c>
      <c r="C24" s="1" t="s">
        <v>2835</v>
      </c>
      <c r="D24" s="1" t="s">
        <v>138</v>
      </c>
      <c r="E24" s="5">
        <v>0.0265744758240376</v>
      </c>
      <c r="F24" s="5">
        <v>0.06811913061824426</v>
      </c>
      <c r="G24" s="4">
        <v>1.461244299113674</v>
      </c>
    </row>
    <row r="25" spans="1:7">
      <c r="A25" s="4">
        <v>24</v>
      </c>
      <c r="B25" s="1" t="s">
        <v>1698</v>
      </c>
      <c r="C25" s="1" t="s">
        <v>1699</v>
      </c>
      <c r="D25" s="1" t="s">
        <v>54</v>
      </c>
      <c r="E25" s="5">
        <v>0.006064847212503111</v>
      </c>
      <c r="F25" s="5">
        <v>0.0681030212976721</v>
      </c>
      <c r="G25" s="4">
        <v>43.13</v>
      </c>
    </row>
    <row r="26" spans="1:7">
      <c r="A26" s="4">
        <v>25</v>
      </c>
      <c r="B26" s="1" t="s">
        <v>2342</v>
      </c>
      <c r="C26" s="1" t="s">
        <v>2343</v>
      </c>
      <c r="D26" s="1" t="s">
        <v>41</v>
      </c>
      <c r="E26" s="5">
        <v>0.004615370662987672</v>
      </c>
      <c r="F26" s="5">
        <v>0.0678280527254409</v>
      </c>
      <c r="G26" s="4">
        <v>87.53988796680868</v>
      </c>
    </row>
    <row r="27" spans="1:7">
      <c r="A27" s="4">
        <v>26</v>
      </c>
      <c r="B27" s="1" t="s">
        <v>2396</v>
      </c>
      <c r="C27" s="1" t="s">
        <v>2397</v>
      </c>
      <c r="D27" s="1" t="s">
        <v>70</v>
      </c>
      <c r="E27" s="5">
        <v>0.01266775970070189</v>
      </c>
      <c r="F27" s="5">
        <v>0.06722387304859301</v>
      </c>
      <c r="G27" s="4">
        <v>5.861264951381121</v>
      </c>
    </row>
    <row r="28" spans="1:7">
      <c r="A28" s="4">
        <v>27</v>
      </c>
      <c r="B28" s="1" t="s">
        <v>2010</v>
      </c>
      <c r="C28" s="1" t="s">
        <v>2011</v>
      </c>
      <c r="D28" s="1" t="s">
        <v>76</v>
      </c>
      <c r="E28" s="5">
        <v>0.03128446915237038</v>
      </c>
      <c r="F28" s="5">
        <v>0.06718161989581839</v>
      </c>
      <c r="G28" s="4">
        <v>9.278203252732123</v>
      </c>
    </row>
    <row r="29" spans="1:7">
      <c r="A29" s="4">
        <v>28</v>
      </c>
      <c r="B29" s="1" t="s">
        <v>2836</v>
      </c>
      <c r="C29" s="1" t="s">
        <v>2837</v>
      </c>
      <c r="D29" s="1" t="s">
        <v>93</v>
      </c>
      <c r="E29" s="5">
        <v>0.028169014084507</v>
      </c>
      <c r="F29" s="5">
        <v>0.06715395157606197</v>
      </c>
      <c r="G29" s="4">
        <v>46.72</v>
      </c>
    </row>
    <row r="30" spans="1:7">
      <c r="A30" s="4">
        <v>29</v>
      </c>
      <c r="B30" s="1" t="s">
        <v>1892</v>
      </c>
      <c r="C30" s="1" t="s">
        <v>1893</v>
      </c>
      <c r="D30" s="1" t="s">
        <v>47</v>
      </c>
      <c r="E30" s="5">
        <v>0.01683937823834203</v>
      </c>
      <c r="F30" s="5">
        <v>0.06657608695652173</v>
      </c>
      <c r="G30" s="4">
        <v>62.8</v>
      </c>
    </row>
    <row r="31" spans="1:7">
      <c r="A31" s="4">
        <v>30</v>
      </c>
      <c r="B31" s="1" t="s">
        <v>2734</v>
      </c>
      <c r="C31" s="1" t="s">
        <v>2735</v>
      </c>
      <c r="D31" s="1" t="s">
        <v>54</v>
      </c>
      <c r="E31" s="5">
        <v>-0.002353793290090556</v>
      </c>
      <c r="F31" s="5">
        <v>0.06518279783217484</v>
      </c>
      <c r="G31" s="4">
        <v>59.33396437483867</v>
      </c>
    </row>
    <row r="32" spans="1:7">
      <c r="A32" s="4">
        <v>31</v>
      </c>
      <c r="B32" s="1" t="s">
        <v>2506</v>
      </c>
      <c r="C32" s="1" t="s">
        <v>2507</v>
      </c>
      <c r="D32" s="1" t="s">
        <v>66</v>
      </c>
      <c r="E32" s="5">
        <v>-0.003806416530723222</v>
      </c>
      <c r="F32" s="5">
        <v>0.06511627906976747</v>
      </c>
      <c r="G32" s="4">
        <v>18.32</v>
      </c>
    </row>
    <row r="33" spans="1:7">
      <c r="A33" s="4">
        <v>32</v>
      </c>
      <c r="B33" s="1" t="s">
        <v>1770</v>
      </c>
      <c r="C33" s="1" t="s">
        <v>1771</v>
      </c>
      <c r="D33" s="1" t="s">
        <v>54</v>
      </c>
      <c r="E33" s="5">
        <v>0.00731717085327821</v>
      </c>
      <c r="F33" s="5">
        <v>0.06438894303344389</v>
      </c>
      <c r="G33" s="4">
        <v>91.97640136786984</v>
      </c>
    </row>
    <row r="34" spans="1:7">
      <c r="A34" s="4">
        <v>33</v>
      </c>
      <c r="B34" s="1" t="s">
        <v>1682</v>
      </c>
      <c r="C34" s="1" t="s">
        <v>1683</v>
      </c>
      <c r="D34" s="1" t="s">
        <v>138</v>
      </c>
      <c r="E34" s="5">
        <v>0.0007480518180233986</v>
      </c>
      <c r="F34" s="5">
        <v>0.06385380879561509</v>
      </c>
      <c r="G34" s="4">
        <v>4.064958265209534</v>
      </c>
    </row>
    <row r="35" spans="1:7">
      <c r="A35" s="4">
        <v>34</v>
      </c>
      <c r="B35" s="1" t="s">
        <v>2104</v>
      </c>
      <c r="C35" s="1" t="s">
        <v>2105</v>
      </c>
      <c r="D35" s="1" t="s">
        <v>93</v>
      </c>
      <c r="E35" s="5">
        <v>0.009483167377904111</v>
      </c>
      <c r="F35" s="5">
        <v>0.0629056415376934</v>
      </c>
      <c r="G35" s="4">
        <v>42.58</v>
      </c>
    </row>
    <row r="36" spans="1:7">
      <c r="A36" s="4">
        <v>35</v>
      </c>
      <c r="B36" s="1" t="s">
        <v>1862</v>
      </c>
      <c r="C36" s="1" t="s">
        <v>1863</v>
      </c>
      <c r="D36" s="1" t="s">
        <v>70</v>
      </c>
      <c r="E36" s="5">
        <v>0.00440765845298241</v>
      </c>
      <c r="F36" s="5">
        <v>0.06058147987489382</v>
      </c>
      <c r="G36" s="4">
        <v>12.49921546950852</v>
      </c>
    </row>
    <row r="37" spans="1:7">
      <c r="A37" s="4">
        <v>36</v>
      </c>
      <c r="B37" s="1" t="s">
        <v>1738</v>
      </c>
      <c r="C37" s="1" t="s">
        <v>1739</v>
      </c>
      <c r="D37" s="1" t="s">
        <v>54</v>
      </c>
      <c r="E37" s="5">
        <v>0.001310615989515096</v>
      </c>
      <c r="F37" s="5">
        <v>0.05817174515235468</v>
      </c>
      <c r="G37" s="4">
        <v>76.40000000000001</v>
      </c>
    </row>
    <row r="38" spans="1:7">
      <c r="A38" s="4">
        <v>37</v>
      </c>
      <c r="B38" s="1" t="s">
        <v>2432</v>
      </c>
      <c r="C38" s="1" t="s">
        <v>2433</v>
      </c>
      <c r="D38" s="1" t="s">
        <v>54</v>
      </c>
      <c r="E38" s="5">
        <v>0.008796179944709825</v>
      </c>
      <c r="F38" s="5">
        <v>0.05770750988142281</v>
      </c>
      <c r="G38" s="4">
        <v>80.28</v>
      </c>
    </row>
    <row r="39" spans="1:7">
      <c r="A39" s="4">
        <v>38</v>
      </c>
      <c r="B39" s="1" t="s">
        <v>2114</v>
      </c>
      <c r="C39" s="1" t="s">
        <v>2115</v>
      </c>
      <c r="D39" s="1" t="s">
        <v>129</v>
      </c>
      <c r="E39" s="5">
        <v>0.02901047267653367</v>
      </c>
      <c r="F39" s="5">
        <v>0.0572238247281629</v>
      </c>
      <c r="G39" s="4">
        <v>40.30217453896319</v>
      </c>
    </row>
    <row r="40" spans="1:7">
      <c r="A40" s="4">
        <v>39</v>
      </c>
      <c r="B40" s="1" t="s">
        <v>2510</v>
      </c>
      <c r="C40" s="1" t="s">
        <v>2511</v>
      </c>
      <c r="D40" s="1" t="s">
        <v>54</v>
      </c>
      <c r="E40" s="5">
        <v>0.0106068420167682</v>
      </c>
      <c r="F40" s="5">
        <v>0.05689257994319208</v>
      </c>
      <c r="G40" s="4">
        <v>17.65412722752928</v>
      </c>
    </row>
    <row r="41" spans="1:7">
      <c r="A41" s="4">
        <v>40</v>
      </c>
      <c r="B41" s="1" t="s">
        <v>2320</v>
      </c>
      <c r="C41" s="1" t="s">
        <v>2321</v>
      </c>
      <c r="D41" s="1" t="s">
        <v>70</v>
      </c>
      <c r="E41" s="5">
        <v>-0.0004188957206388011</v>
      </c>
      <c r="F41" s="5">
        <v>0.05671781631123918</v>
      </c>
      <c r="G41" s="4">
        <v>18.77131999236484</v>
      </c>
    </row>
    <row r="42" spans="1:7">
      <c r="A42" s="4">
        <v>41</v>
      </c>
      <c r="B42" s="1" t="s">
        <v>2366</v>
      </c>
      <c r="C42" s="1" t="s">
        <v>2367</v>
      </c>
      <c r="D42" s="1" t="s">
        <v>47</v>
      </c>
      <c r="E42" s="5">
        <v>0.01166861143523934</v>
      </c>
      <c r="F42" s="5">
        <v>0.05462788897489768</v>
      </c>
      <c r="G42" s="4">
        <v>47.685</v>
      </c>
    </row>
    <row r="43" spans="1:7">
      <c r="A43" s="4">
        <v>42</v>
      </c>
      <c r="B43" s="1" t="s">
        <v>2764</v>
      </c>
      <c r="C43" s="1" t="s">
        <v>2765</v>
      </c>
      <c r="D43" s="1" t="s">
        <v>54</v>
      </c>
      <c r="E43" s="5">
        <v>-0.01011673151750969</v>
      </c>
      <c r="F43" s="5">
        <v>0.05298013245033117</v>
      </c>
      <c r="G43" s="4">
        <v>127.2</v>
      </c>
    </row>
    <row r="44" spans="1:7">
      <c r="A44" s="4">
        <v>43</v>
      </c>
      <c r="B44" s="1" t="s">
        <v>2162</v>
      </c>
      <c r="C44" s="1" t="s">
        <v>2163</v>
      </c>
      <c r="D44" s="1" t="s">
        <v>129</v>
      </c>
      <c r="E44" s="5">
        <v>0.03942307692307678</v>
      </c>
      <c r="F44" s="5">
        <v>0.05258033106134374</v>
      </c>
      <c r="G44" s="4">
        <v>216.2</v>
      </c>
    </row>
    <row r="45" spans="1:7">
      <c r="A45" s="4">
        <v>44</v>
      </c>
      <c r="B45" s="1" t="s">
        <v>2830</v>
      </c>
      <c r="C45" s="1" t="s">
        <v>2831</v>
      </c>
      <c r="D45" s="1" t="s">
        <v>129</v>
      </c>
      <c r="E45" s="5">
        <v>0.0008053691275167196</v>
      </c>
      <c r="F45" s="5">
        <v>0.05251270468661762</v>
      </c>
      <c r="G45" s="4">
        <v>18.64</v>
      </c>
    </row>
    <row r="46" spans="1:7">
      <c r="A46" s="4">
        <v>45</v>
      </c>
      <c r="B46" s="1" t="s">
        <v>1684</v>
      </c>
      <c r="C46" s="1" t="s">
        <v>1685</v>
      </c>
      <c r="D46" s="1" t="s">
        <v>66</v>
      </c>
      <c r="E46" s="5">
        <v>0.01228912439910901</v>
      </c>
      <c r="F46" s="5">
        <v>0.05117412373931107</v>
      </c>
      <c r="G46" s="4">
        <v>18.66333540947492</v>
      </c>
    </row>
    <row r="47" spans="1:7">
      <c r="A47" s="4">
        <v>46</v>
      </c>
      <c r="B47" s="1" t="s">
        <v>2102</v>
      </c>
      <c r="C47" s="1" t="s">
        <v>2103</v>
      </c>
      <c r="D47" s="1" t="s">
        <v>76</v>
      </c>
      <c r="E47" s="5">
        <v>0.02944062806673209</v>
      </c>
      <c r="F47" s="5">
        <v>0.05083896819434019</v>
      </c>
      <c r="G47" s="4">
        <v>20.98</v>
      </c>
    </row>
    <row r="48" spans="1:7">
      <c r="A48" s="4">
        <v>47</v>
      </c>
      <c r="B48" s="1" t="s">
        <v>2584</v>
      </c>
      <c r="C48" s="1" t="s">
        <v>2585</v>
      </c>
      <c r="D48" s="1" t="s">
        <v>66</v>
      </c>
      <c r="E48" s="5">
        <v>-0.006816007134836322</v>
      </c>
      <c r="F48" s="5">
        <v>0.05011778705953041</v>
      </c>
      <c r="G48" s="4">
        <v>50.92165402350047</v>
      </c>
    </row>
    <row r="49" spans="1:7">
      <c r="A49" s="4">
        <v>48</v>
      </c>
      <c r="B49" s="1" t="s">
        <v>2788</v>
      </c>
      <c r="C49" s="1" t="s">
        <v>2789</v>
      </c>
      <c r="D49" s="1" t="s">
        <v>54</v>
      </c>
      <c r="E49" s="5">
        <v>0.002663313095369046</v>
      </c>
      <c r="F49" s="5">
        <v>0.04927801213923977</v>
      </c>
      <c r="G49" s="4">
        <v>47.65138945326406</v>
      </c>
    </row>
    <row r="50" spans="1:7">
      <c r="A50" s="4">
        <v>49</v>
      </c>
      <c r="B50" s="1" t="s">
        <v>2686</v>
      </c>
      <c r="C50" s="1" t="s">
        <v>2687</v>
      </c>
      <c r="D50" s="1" t="s">
        <v>54</v>
      </c>
      <c r="E50" s="5">
        <v>-0.01072675817824653</v>
      </c>
      <c r="F50" s="5">
        <v>0.04869672662441182</v>
      </c>
      <c r="G50" s="4">
        <v>44.59940356326477</v>
      </c>
    </row>
    <row r="51" spans="1:7">
      <c r="A51" s="4">
        <v>50</v>
      </c>
      <c r="B51" s="1" t="s">
        <v>2254</v>
      </c>
      <c r="C51" s="1" t="s">
        <v>2255</v>
      </c>
      <c r="D51" s="1" t="s">
        <v>54</v>
      </c>
      <c r="E51" s="5">
        <v>0.0132126955334213</v>
      </c>
      <c r="F51" s="5">
        <v>0.04787074940494551</v>
      </c>
      <c r="G51" s="4">
        <v>7.794854143361158</v>
      </c>
    </row>
    <row r="52" spans="1:7">
      <c r="A52" s="4">
        <v>51</v>
      </c>
      <c r="B52" s="1" t="s">
        <v>2582</v>
      </c>
      <c r="C52" s="1" t="s">
        <v>2583</v>
      </c>
      <c r="D52" s="1" t="s">
        <v>116</v>
      </c>
      <c r="E52" s="5">
        <v>-0.009773758455936421</v>
      </c>
      <c r="F52" s="5">
        <v>0.0476223624318588</v>
      </c>
      <c r="G52" s="4">
        <v>15.91872726102273</v>
      </c>
    </row>
    <row r="53" spans="1:7">
      <c r="A53" s="4">
        <v>52</v>
      </c>
      <c r="B53" s="1" t="s">
        <v>2526</v>
      </c>
      <c r="C53" s="1" t="s">
        <v>2527</v>
      </c>
      <c r="D53" s="1" t="s">
        <v>54</v>
      </c>
      <c r="E53" s="5">
        <v>-0.004662004662004615</v>
      </c>
      <c r="F53" s="5">
        <v>0.04742436631234659</v>
      </c>
      <c r="G53" s="4">
        <v>64.05</v>
      </c>
    </row>
    <row r="54" spans="1:7">
      <c r="A54" s="4">
        <v>53</v>
      </c>
      <c r="B54" s="1" t="s">
        <v>1854</v>
      </c>
      <c r="C54" s="1" t="s">
        <v>1855</v>
      </c>
      <c r="D54" s="1" t="s">
        <v>54</v>
      </c>
      <c r="E54" s="5">
        <v>-0.0008699434536754147</v>
      </c>
      <c r="F54" s="5">
        <v>0.04646924829157184</v>
      </c>
      <c r="G54" s="4">
        <v>1.1485</v>
      </c>
    </row>
    <row r="55" spans="1:7">
      <c r="A55" s="4">
        <v>54</v>
      </c>
      <c r="B55" s="1" t="s">
        <v>2352</v>
      </c>
      <c r="C55" s="1" t="s">
        <v>2353</v>
      </c>
      <c r="D55" s="1" t="s">
        <v>70</v>
      </c>
      <c r="E55" s="5">
        <v>0.03261267863686346</v>
      </c>
      <c r="F55" s="5">
        <v>0.04641663572224286</v>
      </c>
      <c r="G55" s="4">
        <v>140.9</v>
      </c>
    </row>
    <row r="56" spans="1:7">
      <c r="A56" s="4">
        <v>55</v>
      </c>
      <c r="B56" s="1" t="s">
        <v>2360</v>
      </c>
      <c r="C56" s="1" t="s">
        <v>2361</v>
      </c>
      <c r="D56" s="1" t="s">
        <v>70</v>
      </c>
      <c r="E56" s="5">
        <v>0.0457817604250248</v>
      </c>
      <c r="F56" s="5">
        <v>0.04593583485211084</v>
      </c>
      <c r="G56" s="4">
        <v>3024.852996258236</v>
      </c>
    </row>
    <row r="57" spans="1:7">
      <c r="A57" s="4">
        <v>56</v>
      </c>
      <c r="B57" s="1" t="s">
        <v>2768</v>
      </c>
      <c r="C57" s="1" t="s">
        <v>2769</v>
      </c>
      <c r="D57" s="1" t="s">
        <v>76</v>
      </c>
      <c r="E57" s="5">
        <v>0.00939648935361026</v>
      </c>
      <c r="F57" s="5">
        <v>0.04579361954650429</v>
      </c>
      <c r="G57" s="4">
        <v>2.000584622499574</v>
      </c>
    </row>
    <row r="58" spans="1:7">
      <c r="A58" s="4">
        <v>57</v>
      </c>
      <c r="B58" s="1" t="s">
        <v>2198</v>
      </c>
      <c r="C58" s="1" t="s">
        <v>2199</v>
      </c>
      <c r="D58" s="1" t="s">
        <v>93</v>
      </c>
      <c r="E58" s="5">
        <v>0.02079460205744987</v>
      </c>
      <c r="F58" s="5">
        <v>0.045299930096939</v>
      </c>
      <c r="G58" s="4">
        <v>78.5221735601209</v>
      </c>
    </row>
    <row r="59" spans="1:7">
      <c r="A59" s="4">
        <v>58</v>
      </c>
      <c r="B59" s="1" t="s">
        <v>2772</v>
      </c>
      <c r="C59" s="1" t="s">
        <v>2773</v>
      </c>
      <c r="D59" s="1" t="s">
        <v>70</v>
      </c>
      <c r="E59" s="5">
        <v>0.01162096440042948</v>
      </c>
      <c r="F59" s="5">
        <v>0.04491593602099342</v>
      </c>
      <c r="G59" s="4">
        <v>40.62020059709248</v>
      </c>
    </row>
    <row r="60" spans="1:7">
      <c r="A60" s="4">
        <v>59</v>
      </c>
      <c r="B60" s="1" t="s">
        <v>2718</v>
      </c>
      <c r="C60" s="1" t="s">
        <v>2719</v>
      </c>
      <c r="D60" s="1" t="s">
        <v>70</v>
      </c>
      <c r="E60" s="5">
        <v>0.00363720489469932</v>
      </c>
      <c r="F60" s="5">
        <v>0.04471489141103779</v>
      </c>
      <c r="G60" s="4">
        <v>168.2314173511799</v>
      </c>
    </row>
    <row r="61" spans="1:7">
      <c r="A61" s="4">
        <v>60</v>
      </c>
      <c r="B61" s="1" t="s">
        <v>2168</v>
      </c>
      <c r="C61" s="1" t="s">
        <v>2169</v>
      </c>
      <c r="D61" s="1" t="s">
        <v>93</v>
      </c>
      <c r="E61" s="5">
        <v>0.01833740831295838</v>
      </c>
      <c r="F61" s="5">
        <v>0.04385964912280693</v>
      </c>
      <c r="G61" s="4">
        <v>166.6</v>
      </c>
    </row>
    <row r="62" spans="1:7">
      <c r="A62" s="4">
        <v>61</v>
      </c>
      <c r="B62" s="1" t="s">
        <v>2118</v>
      </c>
      <c r="C62" s="1" t="s">
        <v>2119</v>
      </c>
      <c r="D62" s="1" t="s">
        <v>54</v>
      </c>
      <c r="E62" s="5">
        <v>0.003354203935599154</v>
      </c>
      <c r="F62" s="5">
        <v>0.04373110025587335</v>
      </c>
      <c r="G62" s="4">
        <v>44.87</v>
      </c>
    </row>
    <row r="63" spans="1:7">
      <c r="A63" s="4">
        <v>62</v>
      </c>
      <c r="B63" s="1" t="s">
        <v>1784</v>
      </c>
      <c r="C63" s="1" t="s">
        <v>1785</v>
      </c>
      <c r="D63" s="1" t="s">
        <v>70</v>
      </c>
      <c r="E63" s="5">
        <v>0.007168458781361853</v>
      </c>
      <c r="F63" s="5">
        <v>0.04331683168316824</v>
      </c>
      <c r="G63" s="4">
        <v>84.3</v>
      </c>
    </row>
    <row r="64" spans="1:7">
      <c r="A64" s="4">
        <v>63</v>
      </c>
      <c r="B64" s="1" t="s">
        <v>2632</v>
      </c>
      <c r="C64" s="1" t="s">
        <v>2633</v>
      </c>
      <c r="D64" s="1" t="s">
        <v>70</v>
      </c>
      <c r="E64" s="5">
        <v>0.003247089861380115</v>
      </c>
      <c r="F64" s="5">
        <v>0.04316614014411346</v>
      </c>
      <c r="G64" s="4">
        <v>143.347629955367</v>
      </c>
    </row>
    <row r="65" spans="1:7">
      <c r="A65" s="4">
        <v>64</v>
      </c>
      <c r="B65" s="1" t="s">
        <v>2204</v>
      </c>
      <c r="C65" s="1" t="s">
        <v>2205</v>
      </c>
      <c r="D65" s="1" t="s">
        <v>54</v>
      </c>
      <c r="E65" s="5">
        <v>-0.003051905658661092</v>
      </c>
      <c r="F65" s="5">
        <v>0.04232578665667019</v>
      </c>
      <c r="G65" s="4">
        <v>21.84885982273471</v>
      </c>
    </row>
    <row r="66" spans="1:7">
      <c r="A66" s="4">
        <v>65</v>
      </c>
      <c r="B66" s="1" t="s">
        <v>1742</v>
      </c>
      <c r="C66" s="1" t="s">
        <v>1743</v>
      </c>
      <c r="D66" s="1" t="s">
        <v>54</v>
      </c>
      <c r="E66" s="5">
        <v>0.009242957746478986</v>
      </c>
      <c r="F66" s="5">
        <v>0.04227272727272724</v>
      </c>
      <c r="G66" s="4">
        <v>11.465</v>
      </c>
    </row>
    <row r="67" spans="1:7">
      <c r="A67" s="4">
        <v>66</v>
      </c>
      <c r="B67" s="1" t="s">
        <v>1878</v>
      </c>
      <c r="C67" s="1" t="s">
        <v>1879</v>
      </c>
      <c r="D67" s="1" t="s">
        <v>54</v>
      </c>
      <c r="E67" s="5">
        <v>0.005031446540880502</v>
      </c>
      <c r="F67" s="5">
        <v>0.0417209908735332</v>
      </c>
      <c r="G67" s="4">
        <v>19.975</v>
      </c>
    </row>
    <row r="68" spans="1:7">
      <c r="A68" s="4">
        <v>67</v>
      </c>
      <c r="B68" s="1" t="s">
        <v>2428</v>
      </c>
      <c r="C68" s="1" t="s">
        <v>2429</v>
      </c>
      <c r="D68" s="1" t="s">
        <v>70</v>
      </c>
      <c r="E68" s="5">
        <v>-0.009935603324658371</v>
      </c>
      <c r="F68" s="5">
        <v>0.04159291753369865</v>
      </c>
      <c r="G68" s="4">
        <v>3.955835219867491</v>
      </c>
    </row>
    <row r="69" spans="1:7">
      <c r="A69" s="4">
        <v>68</v>
      </c>
      <c r="B69" s="1" t="s">
        <v>1734</v>
      </c>
      <c r="C69" s="1" t="s">
        <v>1735</v>
      </c>
      <c r="D69" s="1" t="s">
        <v>47</v>
      </c>
      <c r="E69" s="5">
        <v>0.002729754322110978</v>
      </c>
      <c r="F69" s="5">
        <v>0.0415879017013232</v>
      </c>
      <c r="G69" s="4">
        <v>22.04</v>
      </c>
    </row>
    <row r="70" spans="1:7">
      <c r="A70" s="4">
        <v>69</v>
      </c>
      <c r="B70" s="1" t="s">
        <v>2026</v>
      </c>
      <c r="C70" s="1" t="s">
        <v>2027</v>
      </c>
      <c r="D70" s="1" t="s">
        <v>54</v>
      </c>
      <c r="E70" s="5">
        <v>0.0149999999999999</v>
      </c>
      <c r="F70" s="5">
        <v>0.04138166894664841</v>
      </c>
      <c r="G70" s="4">
        <v>30.45</v>
      </c>
    </row>
    <row r="71" spans="1:7">
      <c r="A71" s="4">
        <v>70</v>
      </c>
      <c r="B71" s="1" t="s">
        <v>1928</v>
      </c>
      <c r="C71" s="1" t="s">
        <v>1929</v>
      </c>
      <c r="D71" s="1" t="s">
        <v>54</v>
      </c>
      <c r="E71" s="5">
        <v>-0.0007393715341958984</v>
      </c>
      <c r="F71" s="5">
        <v>0.04121725731895221</v>
      </c>
      <c r="G71" s="4">
        <v>13.515</v>
      </c>
    </row>
    <row r="72" spans="1:7">
      <c r="A72" s="4">
        <v>71</v>
      </c>
      <c r="B72" s="1" t="s">
        <v>1954</v>
      </c>
      <c r="C72" s="1" t="s">
        <v>1955</v>
      </c>
      <c r="D72" s="1" t="s">
        <v>47</v>
      </c>
      <c r="E72" s="5">
        <v>0.01908288236969535</v>
      </c>
      <c r="F72" s="5">
        <v>0.04041872637394595</v>
      </c>
      <c r="G72" s="4">
        <v>71.56</v>
      </c>
    </row>
    <row r="73" spans="1:7">
      <c r="A73" s="4">
        <v>72</v>
      </c>
      <c r="B73" s="1" t="s">
        <v>2660</v>
      </c>
      <c r="C73" s="1" t="s">
        <v>2661</v>
      </c>
      <c r="D73" s="1" t="s">
        <v>70</v>
      </c>
      <c r="E73" s="5">
        <v>0.01526644535322386</v>
      </c>
      <c r="F73" s="5">
        <v>0.04039738062198373</v>
      </c>
      <c r="G73" s="4">
        <v>24.70147333606975</v>
      </c>
    </row>
    <row r="74" spans="1:7">
      <c r="A74" s="4">
        <v>73</v>
      </c>
      <c r="B74" s="1" t="s">
        <v>2710</v>
      </c>
      <c r="C74" s="1" t="s">
        <v>2711</v>
      </c>
      <c r="D74" s="1" t="s">
        <v>41</v>
      </c>
      <c r="E74" s="5">
        <v>0.0185227272727273</v>
      </c>
      <c r="F74" s="5">
        <v>0.03991182271725258</v>
      </c>
      <c r="G74" s="4">
        <v>44.815</v>
      </c>
    </row>
    <row r="75" spans="1:7">
      <c r="A75" s="4">
        <v>74</v>
      </c>
      <c r="B75" s="1" t="s">
        <v>2358</v>
      </c>
      <c r="C75" s="1" t="s">
        <v>2359</v>
      </c>
      <c r="D75" s="1" t="s">
        <v>54</v>
      </c>
      <c r="E75" s="5">
        <v>-0.003911842330489135</v>
      </c>
      <c r="F75" s="5">
        <v>0.03989841082834755</v>
      </c>
      <c r="G75" s="4">
        <v>53.04742634467438</v>
      </c>
    </row>
    <row r="76" spans="1:7">
      <c r="A76" s="4">
        <v>75</v>
      </c>
      <c r="B76" s="1" t="s">
        <v>2296</v>
      </c>
      <c r="C76" s="1" t="s">
        <v>2297</v>
      </c>
      <c r="D76" s="1" t="s">
        <v>93</v>
      </c>
      <c r="E76" s="5">
        <v>0.0131903681374117</v>
      </c>
      <c r="F76" s="5">
        <v>0.03983600737234916</v>
      </c>
      <c r="G76" s="4">
        <v>82.56528235681058</v>
      </c>
    </row>
    <row r="77" spans="1:7">
      <c r="A77" s="4">
        <v>76</v>
      </c>
      <c r="B77" s="1" t="s">
        <v>2598</v>
      </c>
      <c r="C77" s="1" t="s">
        <v>2599</v>
      </c>
      <c r="D77" s="1" t="s">
        <v>54</v>
      </c>
      <c r="E77" s="5">
        <v>0.007061742186956321</v>
      </c>
      <c r="F77" s="5">
        <v>0.03959703772469081</v>
      </c>
      <c r="G77" s="4">
        <v>21.0167553878811</v>
      </c>
    </row>
    <row r="78" spans="1:7">
      <c r="A78" s="4">
        <v>77</v>
      </c>
      <c r="B78" s="1" t="s">
        <v>2276</v>
      </c>
      <c r="C78" s="1" t="s">
        <v>2277</v>
      </c>
      <c r="D78" s="1" t="s">
        <v>66</v>
      </c>
      <c r="E78" s="5">
        <v>0.01221543586896168</v>
      </c>
      <c r="F78" s="5">
        <v>0.03933865450399088</v>
      </c>
      <c r="G78" s="4">
        <v>18.23</v>
      </c>
    </row>
    <row r="79" spans="1:7">
      <c r="A79" s="4">
        <v>78</v>
      </c>
      <c r="B79" s="1" t="s">
        <v>2626</v>
      </c>
      <c r="C79" s="1" t="s">
        <v>2627</v>
      </c>
      <c r="D79" s="1" t="s">
        <v>37</v>
      </c>
      <c r="E79" s="5">
        <v>-0.00275088823175329</v>
      </c>
      <c r="F79" s="5">
        <v>0.03929305506170544</v>
      </c>
      <c r="G79" s="4">
        <v>26.13226905936122</v>
      </c>
    </row>
    <row r="80" spans="1:7">
      <c r="A80" s="4">
        <v>79</v>
      </c>
      <c r="B80" s="1" t="s">
        <v>2190</v>
      </c>
      <c r="C80" s="1" t="s">
        <v>2191</v>
      </c>
      <c r="D80" s="1" t="s">
        <v>54</v>
      </c>
      <c r="E80" s="5">
        <v>-0.01063022019741822</v>
      </c>
      <c r="F80" s="5">
        <v>0.03907496012759171</v>
      </c>
      <c r="G80" s="4">
        <v>260.6</v>
      </c>
    </row>
    <row r="81" spans="1:7">
      <c r="A81" s="4">
        <v>80</v>
      </c>
      <c r="B81" s="1" t="s">
        <v>2606</v>
      </c>
      <c r="C81" s="1" t="s">
        <v>2607</v>
      </c>
      <c r="D81" s="1" t="s">
        <v>93</v>
      </c>
      <c r="E81" s="5">
        <v>0.01569694908882924</v>
      </c>
      <c r="F81" s="5">
        <v>0.0387956907146263</v>
      </c>
      <c r="G81" s="4">
        <v>10.43850967935917</v>
      </c>
    </row>
    <row r="82" spans="1:7">
      <c r="A82" s="4">
        <v>81</v>
      </c>
      <c r="B82" s="1" t="s">
        <v>2278</v>
      </c>
      <c r="C82" s="1" t="s">
        <v>2279</v>
      </c>
      <c r="D82" s="1" t="s">
        <v>54</v>
      </c>
      <c r="E82" s="5">
        <v>0.008187877200662275</v>
      </c>
      <c r="F82" s="5">
        <v>0.03860542346233942</v>
      </c>
      <c r="G82" s="4">
        <v>148.0987291843373</v>
      </c>
    </row>
    <row r="83" spans="1:7">
      <c r="A83" s="4">
        <v>82</v>
      </c>
      <c r="B83" s="1" t="s">
        <v>2286</v>
      </c>
      <c r="C83" s="1" t="s">
        <v>2287</v>
      </c>
      <c r="D83" s="1" t="s">
        <v>70</v>
      </c>
      <c r="E83" s="5">
        <v>0.01436388508891939</v>
      </c>
      <c r="F83" s="5">
        <v>0.03778866340097986</v>
      </c>
      <c r="G83" s="4">
        <v>29.66</v>
      </c>
    </row>
    <row r="84" spans="1:7">
      <c r="A84" s="4">
        <v>83</v>
      </c>
      <c r="B84" s="1" t="s">
        <v>2468</v>
      </c>
      <c r="C84" s="1" t="s">
        <v>2469</v>
      </c>
      <c r="D84" s="1" t="s">
        <v>47</v>
      </c>
      <c r="E84" s="5">
        <v>0.03607142857142853</v>
      </c>
      <c r="F84" s="5">
        <v>0.03755364806866957</v>
      </c>
      <c r="G84" s="4">
        <v>29.01</v>
      </c>
    </row>
    <row r="85" spans="1:7">
      <c r="A85" s="4">
        <v>84</v>
      </c>
      <c r="B85" s="1" t="s">
        <v>1948</v>
      </c>
      <c r="C85" s="1" t="s">
        <v>1949</v>
      </c>
      <c r="D85" s="1" t="s">
        <v>54</v>
      </c>
      <c r="E85" s="5">
        <v>-0.001054839551468456</v>
      </c>
      <c r="F85" s="5">
        <v>0.03751072017836088</v>
      </c>
      <c r="G85" s="4">
        <v>96.45126140171949</v>
      </c>
    </row>
    <row r="86" spans="1:7">
      <c r="A86" s="4">
        <v>85</v>
      </c>
      <c r="B86" s="1" t="s">
        <v>2326</v>
      </c>
      <c r="C86" s="1" t="s">
        <v>2327</v>
      </c>
      <c r="D86" s="1" t="s">
        <v>54</v>
      </c>
      <c r="E86" s="5">
        <v>0.01088379790392868</v>
      </c>
      <c r="F86" s="5">
        <v>0.0373022779145995</v>
      </c>
      <c r="G86" s="4">
        <v>3.440206522674469</v>
      </c>
    </row>
    <row r="87" spans="1:7">
      <c r="A87" s="4">
        <v>86</v>
      </c>
      <c r="B87" s="1" t="s">
        <v>2082</v>
      </c>
      <c r="C87" s="1" t="s">
        <v>2083</v>
      </c>
      <c r="D87" s="1" t="s">
        <v>54</v>
      </c>
      <c r="E87" s="5">
        <v>0.004761904761904745</v>
      </c>
      <c r="F87" s="5">
        <v>0.03721910112359539</v>
      </c>
      <c r="G87" s="4">
        <v>73.84999999999999</v>
      </c>
    </row>
    <row r="88" spans="1:7">
      <c r="A88" s="4">
        <v>87</v>
      </c>
      <c r="B88" s="1" t="s">
        <v>1952</v>
      </c>
      <c r="C88" s="1" t="s">
        <v>1953</v>
      </c>
      <c r="D88" s="1" t="s">
        <v>37</v>
      </c>
      <c r="E88" s="5">
        <v>-0.01984045855300265</v>
      </c>
      <c r="F88" s="5">
        <v>0.03685134833531567</v>
      </c>
      <c r="G88" s="4">
        <v>60.83151956650242</v>
      </c>
    </row>
    <row r="89" spans="1:7">
      <c r="A89" s="4">
        <v>88</v>
      </c>
      <c r="B89" s="1" t="s">
        <v>2202</v>
      </c>
      <c r="C89" s="1" t="s">
        <v>2203</v>
      </c>
      <c r="D89" s="1" t="s">
        <v>54</v>
      </c>
      <c r="E89" s="5">
        <v>0.0102146803201415</v>
      </c>
      <c r="F89" s="5">
        <v>0.03680768953530755</v>
      </c>
      <c r="G89" s="4">
        <v>18.3842216676706</v>
      </c>
    </row>
    <row r="90" spans="1:7">
      <c r="A90" s="4">
        <v>89</v>
      </c>
      <c r="B90" s="1" t="s">
        <v>1872</v>
      </c>
      <c r="C90" s="1" t="s">
        <v>1873</v>
      </c>
      <c r="D90" s="1" t="s">
        <v>54</v>
      </c>
      <c r="E90" s="5">
        <v>0.00550844590954358</v>
      </c>
      <c r="F90" s="5">
        <v>0.03659666711427723</v>
      </c>
      <c r="G90" s="4">
        <v>158.4565872128044</v>
      </c>
    </row>
    <row r="91" spans="1:7">
      <c r="A91" s="4">
        <v>90</v>
      </c>
      <c r="B91" s="1" t="s">
        <v>2704</v>
      </c>
      <c r="C91" s="1" t="s">
        <v>2705</v>
      </c>
      <c r="D91" s="1" t="s">
        <v>93</v>
      </c>
      <c r="E91" s="5">
        <v>0.01647528706939583</v>
      </c>
      <c r="F91" s="5">
        <v>0.03644878843412758</v>
      </c>
      <c r="G91" s="4">
        <v>10.18</v>
      </c>
    </row>
    <row r="92" spans="1:7">
      <c r="A92" s="4">
        <v>91</v>
      </c>
      <c r="B92" s="1" t="s">
        <v>1778</v>
      </c>
      <c r="C92" s="1" t="s">
        <v>1779</v>
      </c>
      <c r="D92" s="1" t="s">
        <v>54</v>
      </c>
      <c r="E92" s="5">
        <v>0.005670103092783485</v>
      </c>
      <c r="F92" s="5">
        <v>0.0361125862984597</v>
      </c>
      <c r="G92" s="4">
        <v>97.55</v>
      </c>
    </row>
    <row r="93" spans="1:7">
      <c r="A93" s="4">
        <v>92</v>
      </c>
      <c r="B93" s="1" t="s">
        <v>2434</v>
      </c>
      <c r="C93" s="1" t="s">
        <v>2435</v>
      </c>
      <c r="D93" s="1" t="s">
        <v>41</v>
      </c>
      <c r="E93" s="5">
        <v>0.01428493230783223</v>
      </c>
      <c r="F93" s="5">
        <v>0.03606607438245657</v>
      </c>
      <c r="G93" s="4">
        <v>15.56350916609169</v>
      </c>
    </row>
    <row r="94" spans="1:7">
      <c r="A94" s="4">
        <v>93</v>
      </c>
      <c r="B94" s="1" t="s">
        <v>2778</v>
      </c>
      <c r="C94" s="1" t="s">
        <v>2779</v>
      </c>
      <c r="D94" s="1" t="s">
        <v>66</v>
      </c>
      <c r="E94" s="5">
        <v>0.01475756871250722</v>
      </c>
      <c r="F94" s="5">
        <v>0.03591781730504229</v>
      </c>
      <c r="G94" s="4">
        <v>5.530856208587903</v>
      </c>
    </row>
    <row r="95" spans="1:7">
      <c r="A95" s="4">
        <v>94</v>
      </c>
      <c r="B95" s="1" t="s">
        <v>2408</v>
      </c>
      <c r="C95" s="1" t="s">
        <v>2409</v>
      </c>
      <c r="D95" s="1" t="s">
        <v>54</v>
      </c>
      <c r="E95" s="5">
        <v>0</v>
      </c>
      <c r="F95" s="5">
        <v>0.03585887796414111</v>
      </c>
      <c r="G95" s="4">
        <v>17.91</v>
      </c>
    </row>
    <row r="96" spans="1:7">
      <c r="A96" s="4">
        <v>95</v>
      </c>
      <c r="B96" s="1" t="s">
        <v>2544</v>
      </c>
      <c r="C96" s="1" t="s">
        <v>2545</v>
      </c>
      <c r="D96" s="1" t="s">
        <v>54</v>
      </c>
      <c r="E96" s="5">
        <v>0.007137949046679193</v>
      </c>
      <c r="F96" s="5">
        <v>0.03517165788571175</v>
      </c>
      <c r="G96" s="4">
        <v>245.0920251722728</v>
      </c>
    </row>
    <row r="97" spans="1:7">
      <c r="A97" s="4">
        <v>96</v>
      </c>
      <c r="B97" s="1" t="s">
        <v>2670</v>
      </c>
      <c r="C97" s="1" t="s">
        <v>2671</v>
      </c>
      <c r="D97" s="1" t="s">
        <v>54</v>
      </c>
      <c r="E97" s="5">
        <v>0.01204819277108427</v>
      </c>
      <c r="F97" s="5">
        <v>0.03448275862068972</v>
      </c>
      <c r="G97" s="4">
        <v>252</v>
      </c>
    </row>
    <row r="98" spans="1:7">
      <c r="A98" s="4">
        <v>97</v>
      </c>
      <c r="B98" s="1" t="s">
        <v>2006</v>
      </c>
      <c r="C98" s="1" t="s">
        <v>2007</v>
      </c>
      <c r="D98" s="1" t="s">
        <v>66</v>
      </c>
      <c r="E98" s="5">
        <v>0.006290943733596732</v>
      </c>
      <c r="F98" s="5">
        <v>0.03446730163586653</v>
      </c>
      <c r="G98" s="4">
        <v>8.34465971684844</v>
      </c>
    </row>
    <row r="99" spans="1:7">
      <c r="A99" s="4">
        <v>98</v>
      </c>
      <c r="B99" s="1" t="s">
        <v>2364</v>
      </c>
      <c r="C99" s="1" t="s">
        <v>2365</v>
      </c>
      <c r="D99" s="1" t="s">
        <v>54</v>
      </c>
      <c r="E99" s="5">
        <v>-0.007045354469396803</v>
      </c>
      <c r="F99" s="5">
        <v>0.03440366972477049</v>
      </c>
      <c r="G99" s="4">
        <v>4.51</v>
      </c>
    </row>
    <row r="100" spans="1:7">
      <c r="A100" s="4">
        <v>99</v>
      </c>
      <c r="B100" s="1" t="s">
        <v>2700</v>
      </c>
      <c r="C100" s="1" t="s">
        <v>2701</v>
      </c>
      <c r="D100" s="1" t="s">
        <v>54</v>
      </c>
      <c r="E100" s="5">
        <v>0.005877906352717677</v>
      </c>
      <c r="F100" s="5">
        <v>0.0340451693294026</v>
      </c>
      <c r="G100" s="4">
        <v>26.10694432492901</v>
      </c>
    </row>
    <row r="101" spans="1:7">
      <c r="A101" s="4">
        <v>100</v>
      </c>
      <c r="B101" s="1" t="s">
        <v>1926</v>
      </c>
      <c r="C101" s="1" t="s">
        <v>1927</v>
      </c>
      <c r="D101" s="1" t="s">
        <v>66</v>
      </c>
      <c r="E101" s="5">
        <v>0.004592774035517611</v>
      </c>
      <c r="F101" s="5">
        <v>0.03371140516698179</v>
      </c>
      <c r="G101" s="4">
        <v>16.405</v>
      </c>
    </row>
  </sheetData>
  <autoFilter ref="A1:G101"/>
  <conditionalFormatting sqref="E2:E101">
    <cfRule type="colorScale" priority="1">
      <colorScale>
        <cfvo type="min" val="0"/>
        <cfvo type="num" val="0"/>
        <cfvo type="max" val="0"/>
        <color rgb="FFF6C7CE"/>
        <color rgb="FFFFFFFF"/>
        <color rgb="FFB9E5D1"/>
      </colorScale>
    </cfRule>
  </conditionalFormatting>
  <conditionalFormatting sqref="F2:F101">
    <cfRule type="colorScale" priority="2">
      <colorScale>
        <cfvo type="min" val="0"/>
        <cfvo type="num" val="0"/>
        <cfvo type="max" val="0"/>
        <color rgb="FFF6C7CE"/>
        <color rgb="FFFFFFFF"/>
        <color rgb="FFB9E5D1"/>
      </colorScale>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101"/>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5.7109375" style="1" customWidth="1"/>
    <col min="2" max="2" width="22.7109375" style="1" customWidth="1"/>
    <col min="3" max="3" width="40.7109375" style="1" customWidth="1"/>
    <col min="4" max="4" width="27.7109375" style="1" customWidth="1"/>
    <col min="5" max="7" width="15.7109375" style="1" customWidth="1"/>
  </cols>
  <sheetData>
    <row r="1" spans="1:7" ht="30" customHeight="1">
      <c r="A1" s="3" t="s">
        <v>1071</v>
      </c>
      <c r="B1" s="3" t="s">
        <v>24</v>
      </c>
      <c r="C1" s="3" t="s">
        <v>25</v>
      </c>
      <c r="D1" s="3" t="s">
        <v>26</v>
      </c>
      <c r="E1" s="3" t="s">
        <v>1072</v>
      </c>
      <c r="F1" s="3" t="s">
        <v>1073</v>
      </c>
      <c r="G1" s="3" t="s">
        <v>1074</v>
      </c>
    </row>
    <row r="2" spans="1:7">
      <c r="A2" s="4">
        <v>1</v>
      </c>
      <c r="B2" s="1" t="s">
        <v>2634</v>
      </c>
      <c r="C2" s="1" t="s">
        <v>2635</v>
      </c>
      <c r="D2" s="1" t="s">
        <v>37</v>
      </c>
      <c r="E2" s="5">
        <v>-0.006230902693643348</v>
      </c>
      <c r="F2" s="5">
        <v>-0.1257238436646814</v>
      </c>
      <c r="G2" s="4">
        <v>74.97038510276982</v>
      </c>
    </row>
    <row r="3" spans="1:7">
      <c r="A3" s="4">
        <v>2</v>
      </c>
      <c r="B3" s="1" t="s">
        <v>2164</v>
      </c>
      <c r="C3" s="1" t="s">
        <v>2165</v>
      </c>
      <c r="D3" s="1" t="s">
        <v>70</v>
      </c>
      <c r="E3" s="5">
        <v>-0.02519569471624272</v>
      </c>
      <c r="F3" s="5">
        <v>-0.1075027995520716</v>
      </c>
      <c r="G3" s="4">
        <v>79.7</v>
      </c>
    </row>
    <row r="4" spans="1:7">
      <c r="A4" s="4">
        <v>3</v>
      </c>
      <c r="B4" s="1" t="s">
        <v>2516</v>
      </c>
      <c r="C4" s="1" t="s">
        <v>2517</v>
      </c>
      <c r="D4" s="1" t="s">
        <v>70</v>
      </c>
      <c r="E4" s="5">
        <v>0.007093151247822949</v>
      </c>
      <c r="F4" s="5">
        <v>-0.107056564379381</v>
      </c>
      <c r="G4" s="4">
        <v>5.630909560278806</v>
      </c>
    </row>
    <row r="5" spans="1:7">
      <c r="A5" s="4">
        <v>4</v>
      </c>
      <c r="B5" s="1" t="s">
        <v>1822</v>
      </c>
      <c r="C5" s="1" t="s">
        <v>1823</v>
      </c>
      <c r="D5" s="1" t="s">
        <v>70</v>
      </c>
      <c r="E5" s="5">
        <v>-0.002612251877299854</v>
      </c>
      <c r="F5" s="5">
        <v>-0.1062982160751638</v>
      </c>
      <c r="G5" s="4">
        <v>11.52707684364513</v>
      </c>
    </row>
    <row r="6" spans="1:7">
      <c r="A6" s="4">
        <v>5</v>
      </c>
      <c r="B6" s="1" t="s">
        <v>2540</v>
      </c>
      <c r="C6" s="1" t="s">
        <v>2541</v>
      </c>
      <c r="D6" s="1" t="s">
        <v>70</v>
      </c>
      <c r="E6" s="5">
        <v>-0.03382545318632035</v>
      </c>
      <c r="F6" s="5">
        <v>-0.1050718365933876</v>
      </c>
      <c r="G6" s="4">
        <v>1034</v>
      </c>
    </row>
    <row r="7" spans="1:7">
      <c r="A7" s="4">
        <v>6</v>
      </c>
      <c r="B7" s="1" t="s">
        <v>2576</v>
      </c>
      <c r="C7" s="1" t="s">
        <v>2577</v>
      </c>
      <c r="D7" s="1" t="s">
        <v>70</v>
      </c>
      <c r="E7" s="5">
        <v>-0.01524470652607091</v>
      </c>
      <c r="F7" s="5">
        <v>-0.1050012024505552</v>
      </c>
      <c r="G7" s="4">
        <v>53.03842762943356</v>
      </c>
    </row>
    <row r="8" spans="1:7">
      <c r="A8" s="4">
        <v>7</v>
      </c>
      <c r="B8" s="1" t="s">
        <v>1942</v>
      </c>
      <c r="C8" s="1" t="s">
        <v>1943</v>
      </c>
      <c r="D8" s="1" t="s">
        <v>138</v>
      </c>
      <c r="E8" s="5">
        <v>-0.0006398958893018003</v>
      </c>
      <c r="F8" s="5">
        <v>-0.1032389382874798</v>
      </c>
      <c r="G8" s="4">
        <v>53.80658850219117</v>
      </c>
    </row>
    <row r="9" spans="1:7">
      <c r="A9" s="4">
        <v>8</v>
      </c>
      <c r="B9" s="1" t="s">
        <v>2322</v>
      </c>
      <c r="C9" s="1" t="s">
        <v>2323</v>
      </c>
      <c r="D9" s="1" t="s">
        <v>70</v>
      </c>
      <c r="E9" s="5">
        <v>-0.003554502369668255</v>
      </c>
      <c r="F9" s="5">
        <v>-0.1029333333333333</v>
      </c>
      <c r="G9" s="4">
        <v>50.46</v>
      </c>
    </row>
    <row r="10" spans="1:7">
      <c r="A10" s="4">
        <v>9</v>
      </c>
      <c r="B10" s="1" t="s">
        <v>1968</v>
      </c>
      <c r="C10" s="1" t="s">
        <v>1969</v>
      </c>
      <c r="D10" s="1" t="s">
        <v>70</v>
      </c>
      <c r="E10" s="5">
        <v>-0.02524659464537338</v>
      </c>
      <c r="F10" s="5">
        <v>-0.1017205930094145</v>
      </c>
      <c r="G10" s="4">
        <v>16.602</v>
      </c>
    </row>
    <row r="11" spans="1:7">
      <c r="A11" s="4">
        <v>10</v>
      </c>
      <c r="B11" s="1" t="s">
        <v>2518</v>
      </c>
      <c r="C11" s="1" t="s">
        <v>2519</v>
      </c>
      <c r="D11" s="1" t="s">
        <v>70</v>
      </c>
      <c r="E11" s="5">
        <v>-0.009637448370812374</v>
      </c>
      <c r="F11" s="5">
        <v>-0.09735438669873475</v>
      </c>
      <c r="G11" s="4">
        <v>43.16</v>
      </c>
    </row>
    <row r="12" spans="1:7">
      <c r="A12" s="4">
        <v>11</v>
      </c>
      <c r="B12" s="1" t="s">
        <v>2542</v>
      </c>
      <c r="C12" s="1" t="s">
        <v>2543</v>
      </c>
      <c r="D12" s="1" t="s">
        <v>66</v>
      </c>
      <c r="E12" s="5">
        <v>-0.01120717259045789</v>
      </c>
      <c r="F12" s="5">
        <v>-0.09733995907629356</v>
      </c>
      <c r="G12" s="4">
        <v>61.76</v>
      </c>
    </row>
    <row r="13" spans="1:7">
      <c r="A13" s="4">
        <v>12</v>
      </c>
      <c r="B13" s="1" t="s">
        <v>2094</v>
      </c>
      <c r="C13" s="1" t="s">
        <v>2095</v>
      </c>
      <c r="D13" s="1" t="s">
        <v>70</v>
      </c>
      <c r="E13" s="5">
        <v>-0.0007778986067460414</v>
      </c>
      <c r="F13" s="5">
        <v>-0.09401282127956145</v>
      </c>
      <c r="G13" s="4">
        <v>220.3384935218994</v>
      </c>
    </row>
    <row r="14" spans="1:7">
      <c r="A14" s="4">
        <v>13</v>
      </c>
      <c r="B14" s="1" t="s">
        <v>1826</v>
      </c>
      <c r="C14" s="1" t="s">
        <v>1827</v>
      </c>
      <c r="D14" s="1" t="s">
        <v>66</v>
      </c>
      <c r="E14" s="5">
        <v>0.0004071491769104263</v>
      </c>
      <c r="F14" s="5">
        <v>-0.08689180035203503</v>
      </c>
      <c r="G14" s="4">
        <v>40.73732321880038</v>
      </c>
    </row>
    <row r="15" spans="1:7">
      <c r="A15" s="4">
        <v>14</v>
      </c>
      <c r="B15" s="1" t="s">
        <v>1850</v>
      </c>
      <c r="C15" s="1" t="s">
        <v>1851</v>
      </c>
      <c r="D15" s="1" t="s">
        <v>47</v>
      </c>
      <c r="E15" s="5">
        <v>-0.01698204754973298</v>
      </c>
      <c r="F15" s="5">
        <v>-0.08470747684662294</v>
      </c>
      <c r="G15" s="4">
        <v>81.04000000000001</v>
      </c>
    </row>
    <row r="16" spans="1:7">
      <c r="A16" s="4">
        <v>15</v>
      </c>
      <c r="B16" s="1" t="s">
        <v>1820</v>
      </c>
      <c r="C16" s="1" t="s">
        <v>1821</v>
      </c>
      <c r="D16" s="1" t="s">
        <v>70</v>
      </c>
      <c r="E16" s="5">
        <v>-0.0117624819906309</v>
      </c>
      <c r="F16" s="5">
        <v>-0.0831697391139804</v>
      </c>
      <c r="G16" s="4">
        <v>22.76213750968076</v>
      </c>
    </row>
    <row r="17" spans="1:7">
      <c r="A17" s="4">
        <v>16</v>
      </c>
      <c r="B17" s="1" t="s">
        <v>2032</v>
      </c>
      <c r="C17" s="1" t="s">
        <v>2033</v>
      </c>
      <c r="D17" s="1" t="s">
        <v>37</v>
      </c>
      <c r="E17" s="5">
        <v>-0.02059496567505703</v>
      </c>
      <c r="F17" s="5">
        <v>-0.08210784313725472</v>
      </c>
      <c r="G17" s="4">
        <v>149.8</v>
      </c>
    </row>
    <row r="18" spans="1:7">
      <c r="A18" s="4">
        <v>17</v>
      </c>
      <c r="B18" s="1" t="s">
        <v>2336</v>
      </c>
      <c r="C18" s="1" t="s">
        <v>2337</v>
      </c>
      <c r="D18" s="1" t="s">
        <v>66</v>
      </c>
      <c r="E18" s="5">
        <v>-0.008556125202471176</v>
      </c>
      <c r="F18" s="5">
        <v>-0.08124104729433146</v>
      </c>
      <c r="G18" s="4">
        <v>9012.397358098928</v>
      </c>
    </row>
    <row r="19" spans="1:7">
      <c r="A19" s="4">
        <v>18</v>
      </c>
      <c r="B19" s="1" t="s">
        <v>1972</v>
      </c>
      <c r="C19" s="1" t="s">
        <v>1973</v>
      </c>
      <c r="D19" s="1" t="s">
        <v>54</v>
      </c>
      <c r="E19" s="5">
        <v>-0.01558073654390923</v>
      </c>
      <c r="F19" s="5">
        <v>-0.08068783068783059</v>
      </c>
      <c r="G19" s="4">
        <v>13.9</v>
      </c>
    </row>
    <row r="20" spans="1:7">
      <c r="A20" s="4">
        <v>19</v>
      </c>
      <c r="B20" s="1" t="s">
        <v>1804</v>
      </c>
      <c r="C20" s="1" t="s">
        <v>1805</v>
      </c>
      <c r="D20" s="1" t="s">
        <v>138</v>
      </c>
      <c r="E20" s="5">
        <v>-0.01444904383043688</v>
      </c>
      <c r="F20" s="5">
        <v>-0.07989960032774168</v>
      </c>
      <c r="G20" s="4">
        <v>5.875225884175201</v>
      </c>
    </row>
    <row r="21" spans="1:7">
      <c r="A21" s="4">
        <v>20</v>
      </c>
      <c r="B21" s="1" t="s">
        <v>2124</v>
      </c>
      <c r="C21" s="1" t="s">
        <v>2125</v>
      </c>
      <c r="D21" s="1" t="s">
        <v>37</v>
      </c>
      <c r="E21" s="5">
        <v>-0.02842769109618903</v>
      </c>
      <c r="F21" s="5">
        <v>-0.07964810174578352</v>
      </c>
      <c r="G21" s="4">
        <v>168.7099517241764</v>
      </c>
    </row>
    <row r="22" spans="1:7">
      <c r="A22" s="4">
        <v>21</v>
      </c>
      <c r="B22" s="1" t="s">
        <v>2622</v>
      </c>
      <c r="C22" s="1" t="s">
        <v>2623</v>
      </c>
      <c r="D22" s="1" t="s">
        <v>37</v>
      </c>
      <c r="E22" s="5">
        <v>-0.03105519616455277</v>
      </c>
      <c r="F22" s="5">
        <v>-0.07867061169667966</v>
      </c>
      <c r="G22" s="4">
        <v>72.69468830674249</v>
      </c>
    </row>
    <row r="23" spans="1:7">
      <c r="A23" s="4">
        <v>22</v>
      </c>
      <c r="B23" s="1" t="s">
        <v>2092</v>
      </c>
      <c r="C23" s="1" t="s">
        <v>2093</v>
      </c>
      <c r="D23" s="1" t="s">
        <v>70</v>
      </c>
      <c r="E23" s="5">
        <v>-0.003203661327231044</v>
      </c>
      <c r="F23" s="5">
        <v>-0.07711864406779656</v>
      </c>
      <c r="G23" s="4">
        <v>108.9</v>
      </c>
    </row>
    <row r="24" spans="1:7">
      <c r="A24" s="4">
        <v>23</v>
      </c>
      <c r="B24" s="1" t="s">
        <v>2192</v>
      </c>
      <c r="C24" s="1" t="s">
        <v>2193</v>
      </c>
      <c r="D24" s="1" t="s">
        <v>70</v>
      </c>
      <c r="E24" s="5">
        <v>-0.00468683425649763</v>
      </c>
      <c r="F24" s="5">
        <v>-0.07704464638482811</v>
      </c>
      <c r="G24" s="4">
        <v>233.6</v>
      </c>
    </row>
    <row r="25" spans="1:7">
      <c r="A25" s="4">
        <v>24</v>
      </c>
      <c r="B25" s="1" t="s">
        <v>1864</v>
      </c>
      <c r="C25" s="1" t="s">
        <v>1865</v>
      </c>
      <c r="D25" s="1" t="s">
        <v>41</v>
      </c>
      <c r="E25" s="5">
        <v>0.02742946708463956</v>
      </c>
      <c r="F25" s="5">
        <v>-0.07589285714285721</v>
      </c>
      <c r="G25" s="4">
        <v>196.65</v>
      </c>
    </row>
    <row r="26" spans="1:7">
      <c r="A26" s="4">
        <v>25</v>
      </c>
      <c r="B26" s="1" t="s">
        <v>2810</v>
      </c>
      <c r="C26" s="1" t="s">
        <v>2811</v>
      </c>
      <c r="D26" s="1" t="s">
        <v>116</v>
      </c>
      <c r="E26" s="5">
        <v>-0.008083761505044085</v>
      </c>
      <c r="F26" s="5">
        <v>-0.07468652623610927</v>
      </c>
      <c r="G26" s="4">
        <v>5.705367868513897</v>
      </c>
    </row>
    <row r="27" spans="1:7">
      <c r="A27" s="4">
        <v>26</v>
      </c>
      <c r="B27" s="1" t="s">
        <v>2550</v>
      </c>
      <c r="C27" s="1" t="s">
        <v>2551</v>
      </c>
      <c r="D27" s="1" t="s">
        <v>47</v>
      </c>
      <c r="E27" s="5">
        <v>-0.01653729328383391</v>
      </c>
      <c r="F27" s="5">
        <v>-0.07374443738080105</v>
      </c>
      <c r="G27" s="4">
        <v>1457</v>
      </c>
    </row>
    <row r="28" spans="1:7">
      <c r="A28" s="4">
        <v>27</v>
      </c>
      <c r="B28" s="1" t="s">
        <v>1774</v>
      </c>
      <c r="C28" s="1" t="s">
        <v>1775</v>
      </c>
      <c r="D28" s="1" t="s">
        <v>70</v>
      </c>
      <c r="E28" s="5">
        <v>-0.0007204610951010437</v>
      </c>
      <c r="F28" s="5">
        <v>-0.07286096256684493</v>
      </c>
      <c r="G28" s="4">
        <v>277.4</v>
      </c>
    </row>
    <row r="29" spans="1:7">
      <c r="A29" s="4">
        <v>28</v>
      </c>
      <c r="B29" s="1" t="s">
        <v>2090</v>
      </c>
      <c r="C29" s="1" t="s">
        <v>2091</v>
      </c>
      <c r="D29" s="1" t="s">
        <v>70</v>
      </c>
      <c r="E29" s="5">
        <v>0.003814495081308822</v>
      </c>
      <c r="F29" s="5">
        <v>-0.06994047619047616</v>
      </c>
      <c r="G29" s="4">
        <v>50</v>
      </c>
    </row>
    <row r="30" spans="1:7">
      <c r="A30" s="4">
        <v>29</v>
      </c>
      <c r="B30" s="1" t="s">
        <v>2638</v>
      </c>
      <c r="C30" s="1" t="s">
        <v>2639</v>
      </c>
      <c r="D30" s="1" t="s">
        <v>70</v>
      </c>
      <c r="E30" s="5">
        <v>0.003708609271523278</v>
      </c>
      <c r="F30" s="5">
        <v>-0.06674876847290645</v>
      </c>
      <c r="G30" s="4">
        <v>75.78</v>
      </c>
    </row>
    <row r="31" spans="1:7">
      <c r="A31" s="4">
        <v>30</v>
      </c>
      <c r="B31" s="1" t="s">
        <v>2676</v>
      </c>
      <c r="C31" s="1" t="s">
        <v>2677</v>
      </c>
      <c r="D31" s="1" t="s">
        <v>41</v>
      </c>
      <c r="E31" s="5">
        <v>-0.02441794434980116</v>
      </c>
      <c r="F31" s="5">
        <v>-0.06579662860250135</v>
      </c>
      <c r="G31" s="4">
        <v>171.8</v>
      </c>
    </row>
    <row r="32" spans="1:7">
      <c r="A32" s="4">
        <v>31</v>
      </c>
      <c r="B32" s="1" t="s">
        <v>2128</v>
      </c>
      <c r="C32" s="1" t="s">
        <v>2129</v>
      </c>
      <c r="D32" s="1" t="s">
        <v>129</v>
      </c>
      <c r="E32" s="5">
        <v>-0.02285714285714291</v>
      </c>
      <c r="F32" s="5">
        <v>-0.06429548563611487</v>
      </c>
      <c r="G32" s="4">
        <v>20.52</v>
      </c>
    </row>
    <row r="33" spans="1:7">
      <c r="A33" s="4">
        <v>32</v>
      </c>
      <c r="B33" s="1" t="s">
        <v>2826</v>
      </c>
      <c r="C33" s="1" t="s">
        <v>2827</v>
      </c>
      <c r="D33" s="1" t="s">
        <v>76</v>
      </c>
      <c r="E33" s="5">
        <v>0.002829298962590432</v>
      </c>
      <c r="F33" s="5">
        <v>-0.06424171311234983</v>
      </c>
      <c r="G33" s="4">
        <v>31.9</v>
      </c>
    </row>
    <row r="34" spans="1:7">
      <c r="A34" s="4">
        <v>33</v>
      </c>
      <c r="B34" s="1" t="s">
        <v>2110</v>
      </c>
      <c r="C34" s="1" t="s">
        <v>2111</v>
      </c>
      <c r="D34" s="1" t="s">
        <v>37</v>
      </c>
      <c r="E34" s="5">
        <v>-0.01345392877331819</v>
      </c>
      <c r="F34" s="5">
        <v>-0.06373390557939906</v>
      </c>
      <c r="G34" s="4">
        <v>43.63</v>
      </c>
    </row>
    <row r="35" spans="1:7">
      <c r="A35" s="4">
        <v>34</v>
      </c>
      <c r="B35" s="1" t="s">
        <v>2016</v>
      </c>
      <c r="C35" s="1" t="s">
        <v>2017</v>
      </c>
      <c r="D35" s="1" t="s">
        <v>41</v>
      </c>
      <c r="E35" s="5">
        <v>-0.06494661921708189</v>
      </c>
      <c r="F35" s="5">
        <v>-0.06286223807400804</v>
      </c>
      <c r="G35" s="4">
        <v>21.02</v>
      </c>
    </row>
    <row r="36" spans="1:7">
      <c r="A36" s="4">
        <v>35</v>
      </c>
      <c r="B36" s="1" t="s">
        <v>1808</v>
      </c>
      <c r="C36" s="1" t="s">
        <v>1809</v>
      </c>
      <c r="D36" s="1" t="s">
        <v>47</v>
      </c>
      <c r="E36" s="5">
        <v>-0.01030958163672724</v>
      </c>
      <c r="F36" s="5">
        <v>-0.06283057793211211</v>
      </c>
      <c r="G36" s="4">
        <v>47.06651410849067</v>
      </c>
    </row>
    <row r="37" spans="1:7">
      <c r="A37" s="4">
        <v>36</v>
      </c>
      <c r="B37" s="1" t="s">
        <v>2144</v>
      </c>
      <c r="C37" s="1" t="s">
        <v>2145</v>
      </c>
      <c r="D37" s="1" t="s">
        <v>116</v>
      </c>
      <c r="E37" s="5">
        <v>0.001468428781204345</v>
      </c>
      <c r="F37" s="5">
        <v>-0.05995864920744309</v>
      </c>
      <c r="G37" s="4">
        <v>68.2</v>
      </c>
    </row>
    <row r="38" spans="1:7">
      <c r="A38" s="4">
        <v>37</v>
      </c>
      <c r="B38" s="1" t="s">
        <v>2394</v>
      </c>
      <c r="C38" s="1" t="s">
        <v>2395</v>
      </c>
      <c r="D38" s="1" t="s">
        <v>116</v>
      </c>
      <c r="E38" s="5">
        <v>0.001510574018126931</v>
      </c>
      <c r="F38" s="5">
        <v>-0.05957446808510636</v>
      </c>
      <c r="G38" s="4">
        <v>13.26</v>
      </c>
    </row>
    <row r="39" spans="1:7">
      <c r="A39" s="4">
        <v>38</v>
      </c>
      <c r="B39" s="1" t="s">
        <v>2036</v>
      </c>
      <c r="C39" s="1" t="s">
        <v>2037</v>
      </c>
      <c r="D39" s="1" t="s">
        <v>76</v>
      </c>
      <c r="E39" s="5">
        <v>0.003369839932603202</v>
      </c>
      <c r="F39" s="5">
        <v>-0.05849802371541502</v>
      </c>
      <c r="G39" s="4">
        <v>119.1</v>
      </c>
    </row>
    <row r="40" spans="1:7">
      <c r="A40" s="4">
        <v>39</v>
      </c>
      <c r="B40" s="1" t="s">
        <v>2808</v>
      </c>
      <c r="C40" s="1" t="s">
        <v>2809</v>
      </c>
      <c r="D40" s="1" t="s">
        <v>116</v>
      </c>
      <c r="E40" s="5">
        <v>0.002683732452518628</v>
      </c>
      <c r="F40" s="5">
        <v>-0.05735080058224162</v>
      </c>
      <c r="G40" s="4">
        <v>97.14</v>
      </c>
    </row>
    <row r="41" spans="1:7">
      <c r="A41" s="4">
        <v>40</v>
      </c>
      <c r="B41" s="1" t="s">
        <v>2068</v>
      </c>
      <c r="C41" s="1" t="s">
        <v>2069</v>
      </c>
      <c r="D41" s="1" t="s">
        <v>54</v>
      </c>
      <c r="E41" s="5">
        <v>-0.01251087429610409</v>
      </c>
      <c r="F41" s="5">
        <v>-0.05677990479821515</v>
      </c>
      <c r="G41" s="4">
        <v>28.73289776396019</v>
      </c>
    </row>
    <row r="42" spans="1:7">
      <c r="A42" s="4">
        <v>41</v>
      </c>
      <c r="B42" s="1" t="s">
        <v>2472</v>
      </c>
      <c r="C42" s="1" t="s">
        <v>2473</v>
      </c>
      <c r="D42" s="1" t="s">
        <v>54</v>
      </c>
      <c r="E42" s="5">
        <v>-0.01201923590149956</v>
      </c>
      <c r="F42" s="5">
        <v>-0.05597686287281711</v>
      </c>
      <c r="G42" s="4">
        <v>722.055198365684</v>
      </c>
    </row>
    <row r="43" spans="1:7">
      <c r="A43" s="4">
        <v>42</v>
      </c>
      <c r="B43" s="1" t="s">
        <v>2014</v>
      </c>
      <c r="C43" s="1" t="s">
        <v>2015</v>
      </c>
      <c r="D43" s="1" t="s">
        <v>70</v>
      </c>
      <c r="E43" s="5">
        <v>-0.001896973166295668</v>
      </c>
      <c r="F43" s="5">
        <v>-0.05492806459983501</v>
      </c>
      <c r="G43" s="4">
        <v>176.7953664111127</v>
      </c>
    </row>
    <row r="44" spans="1:7">
      <c r="A44" s="4">
        <v>43</v>
      </c>
      <c r="B44" s="1" t="s">
        <v>2412</v>
      </c>
      <c r="C44" s="1" t="s">
        <v>2413</v>
      </c>
      <c r="D44" s="1" t="s">
        <v>70</v>
      </c>
      <c r="E44" s="5">
        <v>-0.002171552660152121</v>
      </c>
      <c r="F44" s="5">
        <v>-0.05452674897119358</v>
      </c>
      <c r="G44" s="4">
        <v>36.76</v>
      </c>
    </row>
    <row r="45" spans="1:7">
      <c r="A45" s="4">
        <v>44</v>
      </c>
      <c r="B45" s="1" t="s">
        <v>2558</v>
      </c>
      <c r="C45" s="1" t="s">
        <v>2559</v>
      </c>
      <c r="D45" s="1" t="s">
        <v>37</v>
      </c>
      <c r="E45" s="5">
        <v>-0.001308170750315418</v>
      </c>
      <c r="F45" s="5">
        <v>-0.05409571930718415</v>
      </c>
      <c r="G45" s="4">
        <v>379.6372692438132</v>
      </c>
    </row>
    <row r="46" spans="1:7">
      <c r="A46" s="4">
        <v>45</v>
      </c>
      <c r="B46" s="1" t="s">
        <v>1910</v>
      </c>
      <c r="C46" s="1" t="s">
        <v>1911</v>
      </c>
      <c r="D46" s="1" t="s">
        <v>54</v>
      </c>
      <c r="E46" s="5">
        <v>0.004877322316513721</v>
      </c>
      <c r="F46" s="5">
        <v>-0.05401929690488849</v>
      </c>
      <c r="G46" s="4">
        <v>3.54607692969624</v>
      </c>
    </row>
    <row r="47" spans="1:7">
      <c r="A47" s="4">
        <v>46</v>
      </c>
      <c r="B47" s="1" t="s">
        <v>2474</v>
      </c>
      <c r="C47" s="1" t="s">
        <v>2475</v>
      </c>
      <c r="D47" s="1" t="s">
        <v>37</v>
      </c>
      <c r="E47" s="5">
        <v>0</v>
      </c>
      <c r="F47" s="5">
        <v>-0.05336721728081317</v>
      </c>
      <c r="G47" s="4">
        <v>22.35</v>
      </c>
    </row>
    <row r="48" spans="1:7">
      <c r="A48" s="4">
        <v>47</v>
      </c>
      <c r="B48" s="1" t="s">
        <v>2370</v>
      </c>
      <c r="C48" s="1" t="s">
        <v>2371</v>
      </c>
      <c r="D48" s="1" t="s">
        <v>47</v>
      </c>
      <c r="E48" s="5">
        <v>-0.004523837141862885</v>
      </c>
      <c r="F48" s="5">
        <v>-0.05171270718232035</v>
      </c>
      <c r="G48" s="4">
        <v>429.1</v>
      </c>
    </row>
    <row r="49" spans="1:7">
      <c r="A49" s="4">
        <v>48</v>
      </c>
      <c r="B49" s="1" t="s">
        <v>2052</v>
      </c>
      <c r="C49" s="1" t="s">
        <v>2053</v>
      </c>
      <c r="D49" s="1" t="s">
        <v>76</v>
      </c>
      <c r="E49" s="5">
        <v>0.009247583018074934</v>
      </c>
      <c r="F49" s="5">
        <v>-0.05061289047054163</v>
      </c>
      <c r="G49" s="4">
        <v>24.01</v>
      </c>
    </row>
    <row r="50" spans="1:7">
      <c r="A50" s="4">
        <v>49</v>
      </c>
      <c r="B50" s="1" t="s">
        <v>2790</v>
      </c>
      <c r="C50" s="1" t="s">
        <v>2791</v>
      </c>
      <c r="D50" s="1" t="s">
        <v>37</v>
      </c>
      <c r="E50" s="5">
        <v>-0.04576347983688267</v>
      </c>
      <c r="F50" s="5">
        <v>-0.05006765899864685</v>
      </c>
      <c r="G50" s="4">
        <v>210.6</v>
      </c>
    </row>
    <row r="51" spans="1:7">
      <c r="A51" s="4">
        <v>50</v>
      </c>
      <c r="B51" s="1" t="s">
        <v>1836</v>
      </c>
      <c r="C51" s="1" t="s">
        <v>1837</v>
      </c>
      <c r="D51" s="1" t="s">
        <v>66</v>
      </c>
      <c r="E51" s="5">
        <v>5.313745544066606E-05</v>
      </c>
      <c r="F51" s="5">
        <v>-0.04941306634255194</v>
      </c>
      <c r="G51" s="4">
        <v>1155.926363215756</v>
      </c>
    </row>
    <row r="52" spans="1:7">
      <c r="A52" s="4">
        <v>51</v>
      </c>
      <c r="B52" s="1" t="s">
        <v>2084</v>
      </c>
      <c r="C52" s="1" t="s">
        <v>2085</v>
      </c>
      <c r="D52" s="1" t="s">
        <v>70</v>
      </c>
      <c r="E52" s="5">
        <v>-0.04421301891271368</v>
      </c>
      <c r="F52" s="5">
        <v>-0.04934777790505562</v>
      </c>
      <c r="G52" s="4">
        <v>32.73838740211686</v>
      </c>
    </row>
    <row r="53" spans="1:7">
      <c r="A53" s="4">
        <v>52</v>
      </c>
      <c r="B53" s="1" t="s">
        <v>2874</v>
      </c>
      <c r="C53" s="1" t="s">
        <v>2875</v>
      </c>
      <c r="D53" s="1" t="s">
        <v>37</v>
      </c>
      <c r="E53" s="5">
        <v>-0.0164337488958527</v>
      </c>
      <c r="F53" s="5">
        <v>-0.04905879520543743</v>
      </c>
      <c r="G53" s="4">
        <v>40.85758978581447</v>
      </c>
    </row>
    <row r="54" spans="1:7">
      <c r="A54" s="4">
        <v>53</v>
      </c>
      <c r="B54" s="1" t="s">
        <v>1958</v>
      </c>
      <c r="C54" s="1" t="s">
        <v>1959</v>
      </c>
      <c r="D54" s="1" t="s">
        <v>116</v>
      </c>
      <c r="E54" s="5">
        <v>0.005742411812961423</v>
      </c>
      <c r="F54" s="5">
        <v>-0.04869059165858391</v>
      </c>
      <c r="G54" s="4">
        <v>49.04</v>
      </c>
    </row>
    <row r="55" spans="1:7">
      <c r="A55" s="4">
        <v>54</v>
      </c>
      <c r="B55" s="1" t="s">
        <v>2522</v>
      </c>
      <c r="C55" s="1" t="s">
        <v>2523</v>
      </c>
      <c r="D55" s="1" t="s">
        <v>47</v>
      </c>
      <c r="E55" s="5">
        <v>-0.01258037461559969</v>
      </c>
      <c r="F55" s="5">
        <v>-0.0482349770951227</v>
      </c>
      <c r="G55" s="4">
        <v>353.2</v>
      </c>
    </row>
    <row r="56" spans="1:7">
      <c r="A56" s="4">
        <v>55</v>
      </c>
      <c r="B56" s="1" t="s">
        <v>2340</v>
      </c>
      <c r="C56" s="1" t="s">
        <v>2341</v>
      </c>
      <c r="D56" s="1" t="s">
        <v>116</v>
      </c>
      <c r="E56" s="5">
        <v>0.001230392641277556</v>
      </c>
      <c r="F56" s="5">
        <v>-0.04761749570845042</v>
      </c>
      <c r="G56" s="4">
        <v>2.146493417089752</v>
      </c>
    </row>
    <row r="57" spans="1:7">
      <c r="A57" s="4">
        <v>56</v>
      </c>
      <c r="B57" s="1" t="s">
        <v>2508</v>
      </c>
      <c r="C57" s="1" t="s">
        <v>2509</v>
      </c>
      <c r="D57" s="1" t="s">
        <v>47</v>
      </c>
      <c r="E57" s="5">
        <v>-0.0177246496290191</v>
      </c>
      <c r="F57" s="5">
        <v>-0.04756195043964828</v>
      </c>
      <c r="G57" s="4">
        <v>23.83</v>
      </c>
    </row>
    <row r="58" spans="1:7">
      <c r="A58" s="4">
        <v>57</v>
      </c>
      <c r="B58" s="1" t="s">
        <v>2528</v>
      </c>
      <c r="C58" s="1" t="s">
        <v>2529</v>
      </c>
      <c r="D58" s="1" t="s">
        <v>66</v>
      </c>
      <c r="E58" s="5">
        <v>0.004303600121291939</v>
      </c>
      <c r="F58" s="5">
        <v>-0.04714072126256452</v>
      </c>
      <c r="G58" s="4">
        <v>56.08219265950696</v>
      </c>
    </row>
    <row r="59" spans="1:7">
      <c r="A59" s="4">
        <v>58</v>
      </c>
      <c r="B59" s="1" t="s">
        <v>2812</v>
      </c>
      <c r="C59" s="1" t="s">
        <v>2813</v>
      </c>
      <c r="D59" s="1" t="s">
        <v>76</v>
      </c>
      <c r="E59" s="5">
        <v>0.0003368374441747868</v>
      </c>
      <c r="F59" s="5">
        <v>-0.04711724912037318</v>
      </c>
      <c r="G59" s="4">
        <v>15.84565872128044</v>
      </c>
    </row>
    <row r="60" spans="1:7">
      <c r="A60" s="4">
        <v>59</v>
      </c>
      <c r="B60" s="1" t="s">
        <v>2002</v>
      </c>
      <c r="C60" s="1" t="s">
        <v>2003</v>
      </c>
      <c r="D60" s="1" t="s">
        <v>116</v>
      </c>
      <c r="E60" s="5">
        <v>0.005750622031198693</v>
      </c>
      <c r="F60" s="5">
        <v>-0.04695086770156875</v>
      </c>
      <c r="G60" s="4">
        <v>22.83775922898202</v>
      </c>
    </row>
    <row r="61" spans="1:7">
      <c r="A61" s="4">
        <v>60</v>
      </c>
      <c r="B61" s="1" t="s">
        <v>2294</v>
      </c>
      <c r="C61" s="1" t="s">
        <v>2295</v>
      </c>
      <c r="D61" s="1" t="s">
        <v>47</v>
      </c>
      <c r="E61" s="5">
        <v>0.03251938946000621</v>
      </c>
      <c r="F61" s="5">
        <v>-0.04684071077929652</v>
      </c>
      <c r="G61" s="4">
        <v>3.576325617416746</v>
      </c>
    </row>
    <row r="62" spans="1:7">
      <c r="A62" s="4">
        <v>61</v>
      </c>
      <c r="B62" s="1" t="s">
        <v>2344</v>
      </c>
      <c r="C62" s="1" t="s">
        <v>2345</v>
      </c>
      <c r="D62" s="1" t="s">
        <v>37</v>
      </c>
      <c r="E62" s="5">
        <v>-0.02806761683981074</v>
      </c>
      <c r="F62" s="5">
        <v>-0.04682558296052519</v>
      </c>
      <c r="G62" s="4">
        <v>603.1659919190221</v>
      </c>
    </row>
    <row r="63" spans="1:7">
      <c r="A63" s="4">
        <v>62</v>
      </c>
      <c r="B63" s="1" t="s">
        <v>2348</v>
      </c>
      <c r="C63" s="1" t="s">
        <v>2349</v>
      </c>
      <c r="D63" s="1" t="s">
        <v>66</v>
      </c>
      <c r="E63" s="5">
        <v>0</v>
      </c>
      <c r="F63" s="5">
        <v>-0.04680187207488296</v>
      </c>
      <c r="G63" s="4">
        <v>12220</v>
      </c>
    </row>
    <row r="64" spans="1:7">
      <c r="A64" s="4">
        <v>63</v>
      </c>
      <c r="B64" s="1" t="s">
        <v>2048</v>
      </c>
      <c r="C64" s="1" t="s">
        <v>2049</v>
      </c>
      <c r="D64" s="1" t="s">
        <v>76</v>
      </c>
      <c r="E64" s="5">
        <v>0.005099778270510003</v>
      </c>
      <c r="F64" s="5">
        <v>-0.04598547827001997</v>
      </c>
      <c r="G64" s="4">
        <v>9.066000000000001</v>
      </c>
    </row>
    <row r="65" spans="1:7">
      <c r="A65" s="4">
        <v>64</v>
      </c>
      <c r="B65" s="1" t="s">
        <v>2722</v>
      </c>
      <c r="C65" s="1" t="s">
        <v>2723</v>
      </c>
      <c r="D65" s="1" t="s">
        <v>76</v>
      </c>
      <c r="E65" s="5">
        <v>-0.002404857943556604</v>
      </c>
      <c r="F65" s="5">
        <v>-0.0459714356444304</v>
      </c>
      <c r="G65" s="4">
        <v>34.69291799328801</v>
      </c>
    </row>
    <row r="66" spans="1:7">
      <c r="A66" s="4">
        <v>65</v>
      </c>
      <c r="B66" s="1" t="s">
        <v>2636</v>
      </c>
      <c r="C66" s="1" t="s">
        <v>2637</v>
      </c>
      <c r="D66" s="1" t="s">
        <v>41</v>
      </c>
      <c r="E66" s="5">
        <v>-0.01768046907156884</v>
      </c>
      <c r="F66" s="5">
        <v>-0.0459321000998365</v>
      </c>
      <c r="G66" s="4">
        <v>12.23326736081232</v>
      </c>
    </row>
    <row r="67" spans="1:7">
      <c r="A67" s="4">
        <v>66</v>
      </c>
      <c r="B67" s="1" t="s">
        <v>2782</v>
      </c>
      <c r="C67" s="1" t="s">
        <v>2783</v>
      </c>
      <c r="D67" s="1" t="s">
        <v>37</v>
      </c>
      <c r="E67" s="5">
        <v>-0.03924731182795704</v>
      </c>
      <c r="F67" s="5">
        <v>-0.04540598290598286</v>
      </c>
      <c r="G67" s="4">
        <v>178.7</v>
      </c>
    </row>
    <row r="68" spans="1:7">
      <c r="A68" s="4">
        <v>67</v>
      </c>
      <c r="B68" s="1" t="s">
        <v>2832</v>
      </c>
      <c r="C68" s="1" t="s">
        <v>2833</v>
      </c>
      <c r="D68" s="1" t="s">
        <v>116</v>
      </c>
      <c r="E68" s="5">
        <v>-0.003123373243102634</v>
      </c>
      <c r="F68" s="5">
        <v>-0.04536390827517445</v>
      </c>
      <c r="G68" s="4">
        <v>19.15</v>
      </c>
    </row>
    <row r="69" spans="1:7">
      <c r="A69" s="4">
        <v>68</v>
      </c>
      <c r="B69" s="1" t="s">
        <v>2230</v>
      </c>
      <c r="C69" s="1" t="s">
        <v>2231</v>
      </c>
      <c r="D69" s="1" t="s">
        <v>54</v>
      </c>
      <c r="E69" s="5">
        <v>-0.01985202293596966</v>
      </c>
      <c r="F69" s="5">
        <v>-0.0450936502450201</v>
      </c>
      <c r="G69" s="4">
        <v>32.23812064366234</v>
      </c>
    </row>
    <row r="70" spans="1:7">
      <c r="A70" s="4">
        <v>69</v>
      </c>
      <c r="B70" s="1" t="s">
        <v>1986</v>
      </c>
      <c r="C70" s="1" t="s">
        <v>1987</v>
      </c>
      <c r="D70" s="1" t="s">
        <v>70</v>
      </c>
      <c r="E70" s="5">
        <v>0.007070260715863919</v>
      </c>
      <c r="F70" s="5">
        <v>-0.04484492875104773</v>
      </c>
      <c r="G70" s="4">
        <v>113.95</v>
      </c>
    </row>
    <row r="71" spans="1:7">
      <c r="A71" s="4">
        <v>70</v>
      </c>
      <c r="B71" s="1" t="s">
        <v>2056</v>
      </c>
      <c r="C71" s="1" t="s">
        <v>2057</v>
      </c>
      <c r="D71" s="1" t="s">
        <v>70</v>
      </c>
      <c r="E71" s="5">
        <v>0.007702888583218659</v>
      </c>
      <c r="F71" s="5">
        <v>-0.04460093896713613</v>
      </c>
      <c r="G71" s="4">
        <v>146.52</v>
      </c>
    </row>
    <row r="72" spans="1:7">
      <c r="A72" s="4">
        <v>71</v>
      </c>
      <c r="B72" s="1" t="s">
        <v>2742</v>
      </c>
      <c r="C72" s="1" t="s">
        <v>2743</v>
      </c>
      <c r="D72" s="1" t="s">
        <v>116</v>
      </c>
      <c r="E72" s="5">
        <v>-0.02297939778129943</v>
      </c>
      <c r="F72" s="5">
        <v>-0.04418604651162794</v>
      </c>
      <c r="G72" s="4">
        <v>12.33</v>
      </c>
    </row>
    <row r="73" spans="1:7">
      <c r="A73" s="4">
        <v>72</v>
      </c>
      <c r="B73" s="1" t="s">
        <v>1728</v>
      </c>
      <c r="C73" s="1" t="s">
        <v>1729</v>
      </c>
      <c r="D73" s="1" t="s">
        <v>54</v>
      </c>
      <c r="E73" s="5">
        <v>-0.01572387344199433</v>
      </c>
      <c r="F73" s="5">
        <v>-0.04413407821229054</v>
      </c>
      <c r="G73" s="4">
        <v>1026.6</v>
      </c>
    </row>
    <row r="74" spans="1:7">
      <c r="A74" s="4">
        <v>73</v>
      </c>
      <c r="B74" s="1" t="s">
        <v>2054</v>
      </c>
      <c r="C74" s="1" t="s">
        <v>2055</v>
      </c>
      <c r="D74" s="1" t="s">
        <v>129</v>
      </c>
      <c r="E74" s="5">
        <v>-0.03290025146689024</v>
      </c>
      <c r="F74" s="5">
        <v>-0.04411764705882359</v>
      </c>
      <c r="G74" s="4">
        <v>23.075</v>
      </c>
    </row>
    <row r="75" spans="1:7">
      <c r="A75" s="4">
        <v>74</v>
      </c>
      <c r="B75" s="1" t="s">
        <v>1722</v>
      </c>
      <c r="C75" s="1" t="s">
        <v>1723</v>
      </c>
      <c r="D75" s="1" t="s">
        <v>54</v>
      </c>
      <c r="E75" s="5">
        <v>-0.005609315476005405</v>
      </c>
      <c r="F75" s="5">
        <v>-0.04383170865208208</v>
      </c>
      <c r="G75" s="4">
        <v>44.39576628517339</v>
      </c>
    </row>
    <row r="76" spans="1:7">
      <c r="A76" s="4">
        <v>75</v>
      </c>
      <c r="B76" s="1" t="s">
        <v>2188</v>
      </c>
      <c r="C76" s="1" t="s">
        <v>2189</v>
      </c>
      <c r="D76" s="1" t="s">
        <v>47</v>
      </c>
      <c r="E76" s="5">
        <v>0.01657940640993605</v>
      </c>
      <c r="F76" s="5">
        <v>-0.04376957749469801</v>
      </c>
      <c r="G76" s="4">
        <v>15.79274524765115</v>
      </c>
    </row>
    <row r="77" spans="1:7">
      <c r="A77" s="4">
        <v>76</v>
      </c>
      <c r="B77" s="1" t="s">
        <v>1964</v>
      </c>
      <c r="C77" s="1" t="s">
        <v>1965</v>
      </c>
      <c r="D77" s="1" t="s">
        <v>93</v>
      </c>
      <c r="E77" s="5">
        <v>-0.01119764992561456</v>
      </c>
      <c r="F77" s="5">
        <v>-0.04349829892715917</v>
      </c>
      <c r="G77" s="4">
        <v>38.3460287410722</v>
      </c>
    </row>
    <row r="78" spans="1:7">
      <c r="A78" s="4">
        <v>77</v>
      </c>
      <c r="B78" s="1" t="s">
        <v>2178</v>
      </c>
      <c r="C78" s="1" t="s">
        <v>2179</v>
      </c>
      <c r="D78" s="1" t="s">
        <v>41</v>
      </c>
      <c r="E78" s="5">
        <v>-0.01568418281316442</v>
      </c>
      <c r="F78" s="5">
        <v>-0.04313266451338538</v>
      </c>
      <c r="G78" s="4">
        <v>8.667562519964438</v>
      </c>
    </row>
    <row r="79" spans="1:7">
      <c r="A79" s="4">
        <v>78</v>
      </c>
      <c r="B79" s="1" t="s">
        <v>2674</v>
      </c>
      <c r="C79" s="1" t="s">
        <v>2675</v>
      </c>
      <c r="D79" s="1" t="s">
        <v>37</v>
      </c>
      <c r="E79" s="5">
        <v>-0.009456767507714403</v>
      </c>
      <c r="F79" s="5">
        <v>-0.0431210709173675</v>
      </c>
      <c r="G79" s="4">
        <v>249.6886017323455</v>
      </c>
    </row>
    <row r="80" spans="1:7">
      <c r="A80" s="4">
        <v>79</v>
      </c>
      <c r="B80" s="1" t="s">
        <v>1930</v>
      </c>
      <c r="C80" s="1" t="s">
        <v>1931</v>
      </c>
      <c r="D80" s="1" t="s">
        <v>41</v>
      </c>
      <c r="E80" s="5">
        <v>-0.03272727272727272</v>
      </c>
      <c r="F80" s="5">
        <v>-0.04273504273504269</v>
      </c>
      <c r="G80" s="4">
        <v>106.4</v>
      </c>
    </row>
    <row r="81" spans="1:7">
      <c r="A81" s="4">
        <v>80</v>
      </c>
      <c r="B81" s="1" t="s">
        <v>2552</v>
      </c>
      <c r="C81" s="1" t="s">
        <v>2553</v>
      </c>
      <c r="D81" s="1" t="s">
        <v>138</v>
      </c>
      <c r="E81" s="5">
        <v>-0.0238568685567766</v>
      </c>
      <c r="F81" s="5">
        <v>-0.04235851669860413</v>
      </c>
      <c r="G81" s="4">
        <v>5.712348334910938</v>
      </c>
    </row>
    <row r="82" spans="1:7">
      <c r="A82" s="4">
        <v>81</v>
      </c>
      <c r="B82" s="1" t="s">
        <v>2304</v>
      </c>
      <c r="C82" s="1" t="s">
        <v>2305</v>
      </c>
      <c r="D82" s="1" t="s">
        <v>70</v>
      </c>
      <c r="E82" s="5">
        <v>-0.01620899961234934</v>
      </c>
      <c r="F82" s="5">
        <v>-0.04155447903368692</v>
      </c>
      <c r="G82" s="4">
        <v>224.6984733647556</v>
      </c>
    </row>
    <row r="83" spans="1:7">
      <c r="A83" s="4">
        <v>82</v>
      </c>
      <c r="B83" s="1" t="s">
        <v>1700</v>
      </c>
      <c r="C83" s="1" t="s">
        <v>1701</v>
      </c>
      <c r="D83" s="1" t="s">
        <v>37</v>
      </c>
      <c r="E83" s="5">
        <v>-0.01563287947554226</v>
      </c>
      <c r="F83" s="5">
        <v>-0.04125736738703345</v>
      </c>
      <c r="G83" s="4">
        <v>97.59999999999999</v>
      </c>
    </row>
    <row r="84" spans="1:7">
      <c r="A84" s="4">
        <v>83</v>
      </c>
      <c r="B84" s="1" t="s">
        <v>2160</v>
      </c>
      <c r="C84" s="1" t="s">
        <v>2161</v>
      </c>
      <c r="D84" s="1" t="s">
        <v>37</v>
      </c>
      <c r="E84" s="5">
        <v>-0.01110860604937192</v>
      </c>
      <c r="F84" s="5">
        <v>-0.0411297252591929</v>
      </c>
      <c r="G84" s="4">
        <v>21.48238533689011</v>
      </c>
    </row>
    <row r="85" spans="1:7">
      <c r="A85" s="4">
        <v>84</v>
      </c>
      <c r="B85" s="1" t="s">
        <v>1732</v>
      </c>
      <c r="C85" s="1" t="s">
        <v>1733</v>
      </c>
      <c r="D85" s="1" t="s">
        <v>70</v>
      </c>
      <c r="E85" s="5">
        <v>0.0007751937984497026</v>
      </c>
      <c r="F85" s="5">
        <v>-0.04086181277860335</v>
      </c>
      <c r="G85" s="4">
        <v>25.82</v>
      </c>
    </row>
    <row r="86" spans="1:7">
      <c r="A86" s="4">
        <v>85</v>
      </c>
      <c r="B86" s="1" t="s">
        <v>1746</v>
      </c>
      <c r="C86" s="1" t="s">
        <v>1747</v>
      </c>
      <c r="D86" s="1" t="s">
        <v>41</v>
      </c>
      <c r="E86" s="5">
        <v>0.02032176121930562</v>
      </c>
      <c r="F86" s="5">
        <v>-0.04085964446802859</v>
      </c>
      <c r="G86" s="4">
        <v>36.15</v>
      </c>
    </row>
    <row r="87" spans="1:7">
      <c r="A87" s="4">
        <v>86</v>
      </c>
      <c r="B87" s="1" t="s">
        <v>2596</v>
      </c>
      <c r="C87" s="1" t="s">
        <v>2597</v>
      </c>
      <c r="D87" s="1" t="s">
        <v>54</v>
      </c>
      <c r="E87" s="5">
        <v>-0.01247924277601276</v>
      </c>
      <c r="F87" s="5">
        <v>-0.04067494625219803</v>
      </c>
      <c r="G87" s="4">
        <v>32.01742882686199</v>
      </c>
    </row>
    <row r="88" spans="1:7">
      <c r="A88" s="4">
        <v>87</v>
      </c>
      <c r="B88" s="1" t="s">
        <v>1860</v>
      </c>
      <c r="C88" s="1" t="s">
        <v>1861</v>
      </c>
      <c r="D88" s="1" t="s">
        <v>66</v>
      </c>
      <c r="E88" s="5">
        <v>0.0002617115938234882</v>
      </c>
      <c r="F88" s="5">
        <v>-0.0396984924623115</v>
      </c>
      <c r="G88" s="4">
        <v>76.44</v>
      </c>
    </row>
    <row r="89" spans="1:7">
      <c r="A89" s="4">
        <v>88</v>
      </c>
      <c r="B89" s="1" t="s">
        <v>1988</v>
      </c>
      <c r="C89" s="1" t="s">
        <v>1989</v>
      </c>
      <c r="D89" s="1" t="s">
        <v>66</v>
      </c>
      <c r="E89" s="5">
        <v>-0.006095927629396591</v>
      </c>
      <c r="F89" s="5">
        <v>-0.03967335501057978</v>
      </c>
      <c r="G89" s="4">
        <v>19.2777213664917</v>
      </c>
    </row>
    <row r="90" spans="1:7">
      <c r="A90" s="4">
        <v>89</v>
      </c>
      <c r="B90" s="1" t="s">
        <v>2224</v>
      </c>
      <c r="C90" s="1" t="s">
        <v>2225</v>
      </c>
      <c r="D90" s="1" t="s">
        <v>76</v>
      </c>
      <c r="E90" s="5">
        <v>0.0009544261512766106</v>
      </c>
      <c r="F90" s="5">
        <v>-0.03938630638882523</v>
      </c>
      <c r="G90" s="4">
        <v>8.390000000000001</v>
      </c>
    </row>
    <row r="91" spans="1:7">
      <c r="A91" s="4">
        <v>90</v>
      </c>
      <c r="B91" s="1" t="s">
        <v>2038</v>
      </c>
      <c r="C91" s="1" t="s">
        <v>2039</v>
      </c>
      <c r="D91" s="1" t="s">
        <v>70</v>
      </c>
      <c r="E91" s="5">
        <v>0</v>
      </c>
      <c r="F91" s="5">
        <v>-0.03937653814602127</v>
      </c>
      <c r="G91" s="4">
        <v>23.42</v>
      </c>
    </row>
    <row r="92" spans="1:7">
      <c r="A92" s="4">
        <v>91</v>
      </c>
      <c r="B92" s="1" t="s">
        <v>2514</v>
      </c>
      <c r="C92" s="1" t="s">
        <v>2515</v>
      </c>
      <c r="D92" s="1" t="s">
        <v>54</v>
      </c>
      <c r="E92" s="5">
        <v>0.002285151845042854</v>
      </c>
      <c r="F92" s="5">
        <v>-0.03922963603592633</v>
      </c>
      <c r="G92" s="4">
        <v>2.173251871611738</v>
      </c>
    </row>
    <row r="93" spans="1:7">
      <c r="A93" s="4">
        <v>92</v>
      </c>
      <c r="B93" s="1" t="s">
        <v>1894</v>
      </c>
      <c r="C93" s="1" t="s">
        <v>1895</v>
      </c>
      <c r="D93" s="1" t="s">
        <v>66</v>
      </c>
      <c r="E93" s="5">
        <v>0.001886792452830077</v>
      </c>
      <c r="F93" s="5">
        <v>-0.03920386007237631</v>
      </c>
      <c r="G93" s="4">
        <v>63.72</v>
      </c>
    </row>
    <row r="94" spans="1:7">
      <c r="A94" s="4">
        <v>93</v>
      </c>
      <c r="B94" s="1" t="s">
        <v>2456</v>
      </c>
      <c r="C94" s="1" t="s">
        <v>2457</v>
      </c>
      <c r="D94" s="1" t="s">
        <v>138</v>
      </c>
      <c r="E94" s="5">
        <v>-0.00421940928270037</v>
      </c>
      <c r="F94" s="5">
        <v>-0.03914813654870031</v>
      </c>
      <c r="G94" s="4">
        <v>15.34</v>
      </c>
    </row>
    <row r="95" spans="1:7">
      <c r="A95" s="4">
        <v>94</v>
      </c>
      <c r="B95" s="1" t="s">
        <v>2458</v>
      </c>
      <c r="C95" s="1" t="s">
        <v>2459</v>
      </c>
      <c r="D95" s="1" t="s">
        <v>66</v>
      </c>
      <c r="E95" s="5">
        <v>0.008518558494561068</v>
      </c>
      <c r="F95" s="5">
        <v>-0.03906222192445663</v>
      </c>
      <c r="G95" s="4">
        <v>8.633534977620762</v>
      </c>
    </row>
    <row r="96" spans="1:7">
      <c r="A96" s="4">
        <v>95</v>
      </c>
      <c r="B96" s="1" t="s">
        <v>1766</v>
      </c>
      <c r="C96" s="1" t="s">
        <v>1767</v>
      </c>
      <c r="D96" s="1" t="s">
        <v>116</v>
      </c>
      <c r="E96" s="5">
        <v>-0.00169338955330145</v>
      </c>
      <c r="F96" s="5">
        <v>-0.03896187424946895</v>
      </c>
      <c r="G96" s="4">
        <v>209.4917144006476</v>
      </c>
    </row>
    <row r="97" spans="1:7">
      <c r="A97" s="4">
        <v>96</v>
      </c>
      <c r="B97" s="1" t="s">
        <v>2262</v>
      </c>
      <c r="C97" s="1" t="s">
        <v>2263</v>
      </c>
      <c r="D97" s="1" t="s">
        <v>70</v>
      </c>
      <c r="E97" s="5">
        <v>0.000704488297371908</v>
      </c>
      <c r="F97" s="5">
        <v>-0.03890794933893371</v>
      </c>
      <c r="G97" s="4">
        <v>37.5397501437444</v>
      </c>
    </row>
    <row r="98" spans="1:7">
      <c r="A98" s="4">
        <v>97</v>
      </c>
      <c r="B98" s="1" t="s">
        <v>2694</v>
      </c>
      <c r="C98" s="1" t="s">
        <v>2695</v>
      </c>
      <c r="D98" s="1" t="s">
        <v>37</v>
      </c>
      <c r="E98" s="5">
        <v>-0.03104575163398704</v>
      </c>
      <c r="F98" s="5">
        <v>-0.03889789303079427</v>
      </c>
      <c r="G98" s="4">
        <v>237.2</v>
      </c>
    </row>
    <row r="99" spans="1:7">
      <c r="A99" s="4">
        <v>98</v>
      </c>
      <c r="B99" s="1" t="s">
        <v>2774</v>
      </c>
      <c r="C99" s="1" t="s">
        <v>2775</v>
      </c>
      <c r="D99" s="1" t="s">
        <v>76</v>
      </c>
      <c r="E99" s="5">
        <v>-0.005059021922428353</v>
      </c>
      <c r="F99" s="5">
        <v>-0.03889228263082867</v>
      </c>
      <c r="G99" s="4">
        <v>9.44</v>
      </c>
    </row>
    <row r="100" spans="1:7">
      <c r="A100" s="4">
        <v>99</v>
      </c>
      <c r="B100" s="1" t="s">
        <v>2414</v>
      </c>
      <c r="C100" s="1" t="s">
        <v>2415</v>
      </c>
      <c r="D100" s="1" t="s">
        <v>41</v>
      </c>
      <c r="E100" s="5">
        <v>-0.06022304832713754</v>
      </c>
      <c r="F100" s="5">
        <v>-0.03878326996197712</v>
      </c>
      <c r="G100" s="4">
        <v>63.2</v>
      </c>
    </row>
    <row r="101" spans="1:7">
      <c r="A101" s="4">
        <v>100</v>
      </c>
      <c r="B101" s="1" t="s">
        <v>2318</v>
      </c>
      <c r="C101" s="1" t="s">
        <v>2319</v>
      </c>
      <c r="D101" s="1" t="s">
        <v>116</v>
      </c>
      <c r="E101" s="5">
        <v>0.005669764973281755</v>
      </c>
      <c r="F101" s="5">
        <v>-0.03854460999165743</v>
      </c>
      <c r="G101" s="4">
        <v>7.713415368729026</v>
      </c>
    </row>
  </sheetData>
  <autoFilter ref="A1:G101"/>
  <conditionalFormatting sqref="E2:E101">
    <cfRule type="colorScale" priority="1">
      <colorScale>
        <cfvo type="min" val="0"/>
        <cfvo type="num" val="0"/>
        <cfvo type="max" val="0"/>
        <color rgb="FFF6C7CE"/>
        <color rgb="FFFFFFFF"/>
        <color rgb="FFB9E5D1"/>
      </colorScale>
    </cfRule>
  </conditionalFormatting>
  <conditionalFormatting sqref="F2:F101">
    <cfRule type="colorScale" priority="2">
      <colorScale>
        <cfvo type="min" val="0"/>
        <cfvo type="num" val="0"/>
        <cfvo type="max" val="0"/>
        <color rgb="FFF6C7CE"/>
        <color rgb="FFFFFFFF"/>
        <color rgb="FFB9E5D1"/>
      </colorScale>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F12"/>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30.7109375" style="1" customWidth="1"/>
    <col min="2" max="6" width="15.7109375" style="1" customWidth="1"/>
  </cols>
  <sheetData>
    <row r="1" spans="1:6" ht="30" customHeight="1">
      <c r="A1" s="3" t="s">
        <v>26</v>
      </c>
      <c r="B1" s="3" t="s">
        <v>1075</v>
      </c>
      <c r="C1" s="3" t="s">
        <v>1076</v>
      </c>
      <c r="D1" s="3" t="s">
        <v>1077</v>
      </c>
      <c r="E1" s="3" t="s">
        <v>1078</v>
      </c>
      <c r="F1" s="3" t="s">
        <v>1079</v>
      </c>
    </row>
    <row r="2" spans="1:6">
      <c r="A2" s="1" t="s">
        <v>138</v>
      </c>
      <c r="B2" s="4">
        <v>29</v>
      </c>
      <c r="C2" s="4">
        <v>2</v>
      </c>
      <c r="D2" s="4">
        <v>10</v>
      </c>
      <c r="E2" s="5">
        <v>-0.006001079502320801</v>
      </c>
      <c r="F2" s="5">
        <v>0.2068965517241379</v>
      </c>
    </row>
    <row r="3" spans="1:6">
      <c r="A3" s="1" t="s">
        <v>47</v>
      </c>
      <c r="B3" s="4">
        <v>58</v>
      </c>
      <c r="C3" s="4">
        <v>13</v>
      </c>
      <c r="D3" s="4">
        <v>5</v>
      </c>
      <c r="E3" s="5">
        <v>0.003874554949907085</v>
      </c>
      <c r="F3" s="5">
        <v>0.7068965517241379</v>
      </c>
    </row>
    <row r="4" spans="1:6">
      <c r="A4" s="1" t="s">
        <v>66</v>
      </c>
      <c r="B4" s="4">
        <v>44</v>
      </c>
      <c r="C4" s="4">
        <v>10</v>
      </c>
      <c r="D4" s="4">
        <v>3</v>
      </c>
      <c r="E4" s="5">
        <v>0.004118570175449534</v>
      </c>
      <c r="F4" s="5">
        <v>0.7045454545454546</v>
      </c>
    </row>
    <row r="5" spans="1:6">
      <c r="A5" s="1" t="s">
        <v>129</v>
      </c>
      <c r="B5" s="4">
        <v>24</v>
      </c>
      <c r="C5" s="4">
        <v>4</v>
      </c>
      <c r="D5" s="4">
        <v>7</v>
      </c>
      <c r="E5" s="5">
        <v>-0.008951695098377505</v>
      </c>
      <c r="F5" s="5">
        <v>0.3333333333333333</v>
      </c>
    </row>
    <row r="6" spans="1:6">
      <c r="A6" s="1" t="s">
        <v>54</v>
      </c>
      <c r="B6" s="4">
        <v>126</v>
      </c>
      <c r="C6" s="4">
        <v>8</v>
      </c>
      <c r="D6" s="4">
        <v>17</v>
      </c>
      <c r="E6" s="5">
        <v>5.414576363331344E-05</v>
      </c>
      <c r="F6" s="5">
        <v>0.5238095238095238</v>
      </c>
    </row>
    <row r="7" spans="1:6">
      <c r="A7" s="1" t="s">
        <v>37</v>
      </c>
      <c r="B7" s="4">
        <v>46</v>
      </c>
      <c r="C7" s="4">
        <v>1</v>
      </c>
      <c r="D7" s="4">
        <v>25</v>
      </c>
      <c r="E7" s="5">
        <v>-0.01212714162336531</v>
      </c>
      <c r="F7" s="5">
        <v>0.08695652173913043</v>
      </c>
    </row>
    <row r="8" spans="1:6">
      <c r="A8" s="1" t="s">
        <v>70</v>
      </c>
      <c r="B8" s="4">
        <v>135</v>
      </c>
      <c r="C8" s="4">
        <v>27</v>
      </c>
      <c r="D8" s="4">
        <v>15</v>
      </c>
      <c r="E8" s="5">
        <v>0.003208110107766551</v>
      </c>
      <c r="F8" s="5">
        <v>0.6</v>
      </c>
    </row>
    <row r="9" spans="1:6">
      <c r="A9" s="1" t="s">
        <v>41</v>
      </c>
      <c r="B9" s="4">
        <v>32</v>
      </c>
      <c r="C9" s="4">
        <v>16</v>
      </c>
      <c r="D9" s="4">
        <v>8</v>
      </c>
      <c r="E9" s="5">
        <v>0.01803410081045145</v>
      </c>
      <c r="F9" s="5">
        <v>0.65625</v>
      </c>
    </row>
    <row r="10" spans="1:6">
      <c r="A10" s="1" t="s">
        <v>93</v>
      </c>
      <c r="B10" s="4">
        <v>47</v>
      </c>
      <c r="C10" s="4">
        <v>13</v>
      </c>
      <c r="D10" s="4">
        <v>8</v>
      </c>
      <c r="E10" s="5">
        <v>0.0005270604576790159</v>
      </c>
      <c r="F10" s="5">
        <v>0.5319148936170213</v>
      </c>
    </row>
    <row r="11" spans="1:6">
      <c r="A11" s="1" t="s">
        <v>116</v>
      </c>
      <c r="B11" s="4">
        <v>27</v>
      </c>
      <c r="C11" s="4">
        <v>0</v>
      </c>
      <c r="D11" s="4">
        <v>1</v>
      </c>
      <c r="E11" s="5">
        <v>0.0007882930949243144</v>
      </c>
      <c r="F11" s="5">
        <v>0.5185185185185185</v>
      </c>
    </row>
    <row r="12" spans="1:6">
      <c r="A12" s="1" t="s">
        <v>76</v>
      </c>
      <c r="B12" s="4">
        <v>32</v>
      </c>
      <c r="C12" s="4">
        <v>6</v>
      </c>
      <c r="D12" s="4">
        <v>1</v>
      </c>
      <c r="E12" s="5">
        <v>0.006503538835437022</v>
      </c>
      <c r="F12" s="5">
        <v>0.8125</v>
      </c>
    </row>
  </sheetData>
  <autoFilter ref="A1:F12"/>
  <conditionalFormatting sqref="E2:E12">
    <cfRule type="colorScale" priority="1">
      <colorScale>
        <cfvo type="min" val="0"/>
        <cfvo type="num" val="0"/>
        <cfvo type="max" val="0"/>
        <color rgb="FFF6C7CE"/>
        <color rgb="FFFFFFFF"/>
        <color rgb="FFB9E5D1"/>
      </colorScale>
    </cfRule>
  </conditionalFormatting>
  <conditionalFormatting sqref="F2:F12">
    <cfRule type="colorScale" priority="2">
      <colorScale>
        <cfvo type="min" val="0"/>
        <cfvo type="num" val="0"/>
        <cfvo type="max" val="0"/>
        <color rgb="FFF6C7CE"/>
        <color rgb="FFFFFFFF"/>
        <color rgb="FFB9E5D1"/>
      </colorScale>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H13"/>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35.7109375" style="1" customWidth="1"/>
    <col min="2" max="8" width="15.7109375" style="1" customWidth="1"/>
  </cols>
  <sheetData>
    <row r="1" spans="1:8" ht="30" customHeight="1">
      <c r="A1" s="3" t="s">
        <v>2880</v>
      </c>
      <c r="B1" s="3" t="s">
        <v>2881</v>
      </c>
      <c r="C1" s="3" t="s">
        <v>2882</v>
      </c>
      <c r="D1" s="3" t="s">
        <v>1072</v>
      </c>
      <c r="E1" s="3" t="s">
        <v>2883</v>
      </c>
      <c r="F1" s="3" t="s">
        <v>2884</v>
      </c>
      <c r="G1" s="3" t="s">
        <v>2885</v>
      </c>
      <c r="H1" s="3" t="s">
        <v>2886</v>
      </c>
    </row>
    <row r="2" spans="1:8">
      <c r="A2" s="1" t="s">
        <v>2887</v>
      </c>
      <c r="B2" s="4">
        <v>3</v>
      </c>
      <c r="C2" s="4">
        <v>3</v>
      </c>
      <c r="D2" s="5">
        <v>0.04940709176943026</v>
      </c>
      <c r="E2" s="5">
        <v>0.08037741161748713</v>
      </c>
      <c r="F2" s="5">
        <v>0.05989243902249486</v>
      </c>
      <c r="G2" s="5">
        <v>-0.001532781851201537</v>
      </c>
      <c r="H2" s="5">
        <v>1</v>
      </c>
    </row>
    <row r="3" spans="1:8">
      <c r="A3" s="1" t="s">
        <v>2888</v>
      </c>
      <c r="B3" s="4">
        <v>7</v>
      </c>
      <c r="C3" s="4">
        <v>7</v>
      </c>
      <c r="D3" s="5">
        <v>0.03461269237327369</v>
      </c>
      <c r="E3" s="5">
        <v>0.03155406827341878</v>
      </c>
      <c r="F3" s="5">
        <v>-0.0139376393946874</v>
      </c>
      <c r="G3" s="5">
        <v>-0.1107577634437312</v>
      </c>
      <c r="H3" s="5">
        <v>1</v>
      </c>
    </row>
    <row r="4" spans="1:8">
      <c r="A4" s="1" t="s">
        <v>2889</v>
      </c>
      <c r="B4" s="4">
        <v>9</v>
      </c>
      <c r="C4" s="4">
        <v>9</v>
      </c>
      <c r="D4" s="5">
        <v>0.03200138226283822</v>
      </c>
      <c r="E4" s="5">
        <v>0.04943672419326806</v>
      </c>
      <c r="F4" s="5">
        <v>0.02276704768803883</v>
      </c>
      <c r="G4" s="5">
        <v>-0.04701662223330605</v>
      </c>
      <c r="H4" s="5">
        <v>0.8888888888888888</v>
      </c>
    </row>
    <row r="5" spans="1:8">
      <c r="A5" s="1" t="s">
        <v>2890</v>
      </c>
      <c r="B5" s="4">
        <v>6</v>
      </c>
      <c r="C5" s="4">
        <v>7</v>
      </c>
      <c r="D5" s="5">
        <v>0.03194003059865635</v>
      </c>
      <c r="E5" s="5">
        <v>-0.02334066840106652</v>
      </c>
      <c r="F5" s="5">
        <v>-0.06799059507025074</v>
      </c>
      <c r="G5" s="5">
        <v>-0.1672870572281592</v>
      </c>
      <c r="H5" s="5">
        <v>1</v>
      </c>
    </row>
    <row r="6" spans="1:8">
      <c r="A6" s="1" t="s">
        <v>2891</v>
      </c>
      <c r="B6" s="4">
        <v>6</v>
      </c>
      <c r="C6" s="4">
        <v>6</v>
      </c>
      <c r="D6" s="5">
        <v>0.02135085671269188</v>
      </c>
      <c r="E6" s="5">
        <v>-0.03177607383125169</v>
      </c>
      <c r="F6" s="5">
        <v>-0.08564127462559601</v>
      </c>
      <c r="G6" s="5">
        <v>-0.1361825593116787</v>
      </c>
      <c r="H6" s="5">
        <v>0.6666666666666666</v>
      </c>
    </row>
    <row r="7" spans="1:8">
      <c r="A7" s="1" t="s">
        <v>2892</v>
      </c>
      <c r="B7" s="4">
        <v>7</v>
      </c>
      <c r="C7" s="4">
        <v>7</v>
      </c>
      <c r="D7" s="5">
        <v>0.01646511728834965</v>
      </c>
      <c r="E7" s="5">
        <v>0.02820332266154946</v>
      </c>
      <c r="F7" s="5">
        <v>-0.05571320079214193</v>
      </c>
      <c r="G7" s="5">
        <v>-0.04939994395943004</v>
      </c>
      <c r="H7" s="5">
        <v>1</v>
      </c>
    </row>
    <row r="8" spans="1:8">
      <c r="A8" s="1" t="s">
        <v>2893</v>
      </c>
      <c r="B8" s="4">
        <v>3</v>
      </c>
      <c r="C8" s="4">
        <v>3</v>
      </c>
      <c r="D8" s="5">
        <v>0.01447196319138522</v>
      </c>
      <c r="E8" s="5">
        <v>0.03835408038026156</v>
      </c>
      <c r="F8" s="5">
        <v>-0.09015917955827091</v>
      </c>
      <c r="G8" s="5">
        <v>-0.1305542113686901</v>
      </c>
      <c r="H8" s="5">
        <v>1</v>
      </c>
    </row>
    <row r="9" spans="1:8">
      <c r="A9" s="1" t="s">
        <v>2894</v>
      </c>
      <c r="B9" s="4">
        <v>3</v>
      </c>
      <c r="C9" s="4">
        <v>3</v>
      </c>
      <c r="D9" s="5">
        <v>0.004961995095385641</v>
      </c>
      <c r="E9" s="5">
        <v>0.001105014429133355</v>
      </c>
      <c r="F9" s="5">
        <v>-0.03701042403577004</v>
      </c>
      <c r="G9" s="5">
        <v>-0.04992985699658559</v>
      </c>
      <c r="H9" s="5">
        <v>0.6666666666666666</v>
      </c>
    </row>
    <row r="10" spans="1:8">
      <c r="A10" s="1" t="s">
        <v>2895</v>
      </c>
      <c r="B10" s="4">
        <v>6</v>
      </c>
      <c r="C10" s="4">
        <v>6</v>
      </c>
      <c r="D10" s="5">
        <v>0.00130662844279672</v>
      </c>
      <c r="E10" s="5">
        <v>0.005876920624902526</v>
      </c>
      <c r="F10" s="5">
        <v>-0.003044449728036192</v>
      </c>
      <c r="G10" s="5">
        <v>-0.07485917087074867</v>
      </c>
      <c r="H10" s="5">
        <v>0.5</v>
      </c>
    </row>
    <row r="11" spans="1:8">
      <c r="A11" s="1" t="s">
        <v>2896</v>
      </c>
      <c r="B11" s="4">
        <v>5</v>
      </c>
      <c r="C11" s="4">
        <v>5</v>
      </c>
      <c r="D11" s="5">
        <v>-0.007778633350124964</v>
      </c>
      <c r="E11" s="5">
        <v>-0.04308367978392103</v>
      </c>
      <c r="F11" s="5">
        <v>-0.0406115256562859</v>
      </c>
      <c r="G11" s="5">
        <v>0.04042117895097119</v>
      </c>
      <c r="H11" s="5">
        <v>0.2</v>
      </c>
    </row>
    <row r="12" spans="1:8">
      <c r="A12" s="1" t="s">
        <v>2897</v>
      </c>
      <c r="B12" s="4">
        <v>8</v>
      </c>
      <c r="C12" s="4">
        <v>8</v>
      </c>
      <c r="D12" s="5">
        <v>-0.009185421908275093</v>
      </c>
      <c r="E12" s="5">
        <v>-0.005500705156408325</v>
      </c>
      <c r="F12" s="5">
        <v>-0.02063139354589394</v>
      </c>
      <c r="G12" s="5">
        <v>-0.1654633782520532</v>
      </c>
      <c r="H12" s="5">
        <v>0.625</v>
      </c>
    </row>
    <row r="13" spans="1:8">
      <c r="A13" s="1" t="s">
        <v>2898</v>
      </c>
      <c r="B13" s="4">
        <v>9</v>
      </c>
      <c r="C13" s="4">
        <v>9</v>
      </c>
      <c r="D13" s="5">
        <v>-0.02983824830382931</v>
      </c>
      <c r="E13" s="5">
        <v>-0.0420176698981688</v>
      </c>
      <c r="F13" s="5">
        <v>0.0416783472480915</v>
      </c>
      <c r="G13" s="5">
        <v>0.07901381737224256</v>
      </c>
      <c r="H13" s="5">
        <v>0.1111111111111111</v>
      </c>
    </row>
  </sheetData>
  <autoFilter ref="A1:H13"/>
  <conditionalFormatting sqref="D2:D13">
    <cfRule type="colorScale" priority="1">
      <colorScale>
        <cfvo type="min" val="0"/>
        <cfvo type="num" val="0"/>
        <cfvo type="max" val="0"/>
        <color rgb="FFF6C7CE"/>
        <color rgb="FFFFFFFF"/>
        <color rgb="FFB9E5D1"/>
      </colorScale>
    </cfRule>
  </conditionalFormatting>
  <conditionalFormatting sqref="E2:E13">
    <cfRule type="colorScale" priority="2">
      <colorScale>
        <cfvo type="min" val="0"/>
        <cfvo type="num" val="0"/>
        <cfvo type="max" val="0"/>
        <color rgb="FFF6C7CE"/>
        <color rgb="FFFFFFFF"/>
        <color rgb="FFB9E5D1"/>
      </colorScale>
    </cfRule>
  </conditionalFormatting>
  <conditionalFormatting sqref="F2:F13">
    <cfRule type="colorScale" priority="3">
      <colorScale>
        <cfvo type="min" val="0"/>
        <cfvo type="num" val="0"/>
        <cfvo type="max" val="0"/>
        <color rgb="FFF6C7CE"/>
        <color rgb="FFFFFFFF"/>
        <color rgb="FFB9E5D1"/>
      </colorScale>
    </cfRule>
  </conditionalFormatting>
  <conditionalFormatting sqref="G2:G13">
    <cfRule type="colorScale" priority="4">
      <colorScale>
        <cfvo type="min" val="0"/>
        <cfvo type="num" val="0"/>
        <cfvo type="max" val="0"/>
        <color rgb="FFF6C7CE"/>
        <color rgb="FFFFFFFF"/>
        <color rgb="FFB9E5D1"/>
      </colorScale>
    </cfRule>
  </conditionalFormatting>
  <conditionalFormatting sqref="H2:H13">
    <cfRule type="colorScale" priority="5">
      <colorScale>
        <cfvo type="min" val="0"/>
        <cfvo type="num" val="0"/>
        <cfvo type="max" val="0"/>
        <color rgb="FFF6C7CE"/>
        <color rgb="FFFFFFFF"/>
        <color rgb="FFB9E5D1"/>
      </colorScale>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P74"/>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5.7109375" style="1" customWidth="1"/>
    <col min="2" max="2" width="34.7109375" style="1" customWidth="1"/>
    <col min="3" max="3" width="30.7109375" style="1" customWidth="1"/>
    <col min="4" max="4" width="80.7109375" style="2" customWidth="1"/>
    <col min="5" max="15" width="15.7109375" style="1" customWidth="1"/>
    <col min="16" max="16" width="42.7109375" style="1" customWidth="1"/>
  </cols>
  <sheetData>
    <row r="1" spans="1:16" ht="30" customHeight="1">
      <c r="A1" s="3" t="s">
        <v>24</v>
      </c>
      <c r="B1" s="3" t="s">
        <v>25</v>
      </c>
      <c r="C1" s="3" t="s">
        <v>2880</v>
      </c>
      <c r="D1" s="3" t="s">
        <v>2899</v>
      </c>
      <c r="E1" s="3" t="s">
        <v>2900</v>
      </c>
      <c r="F1" s="3" t="s">
        <v>2901</v>
      </c>
      <c r="G1" s="3" t="s">
        <v>2902</v>
      </c>
      <c r="H1" s="3" t="s">
        <v>2903</v>
      </c>
      <c r="I1" s="3" t="s">
        <v>2904</v>
      </c>
      <c r="J1" s="3" t="s">
        <v>2905</v>
      </c>
      <c r="K1" s="3" t="s">
        <v>1072</v>
      </c>
      <c r="L1" s="3" t="s">
        <v>2883</v>
      </c>
      <c r="M1" s="3" t="s">
        <v>2884</v>
      </c>
      <c r="N1" s="3" t="s">
        <v>2885</v>
      </c>
      <c r="O1" s="3" t="s">
        <v>2906</v>
      </c>
      <c r="P1" s="3" t="s">
        <v>2907</v>
      </c>
    </row>
    <row r="2" spans="1:16">
      <c r="A2" s="1" t="s">
        <v>2908</v>
      </c>
      <c r="B2" s="1" t="s">
        <v>705</v>
      </c>
      <c r="C2" s="1" t="s">
        <v>2895</v>
      </c>
      <c r="D2" s="1" t="s">
        <v>2909</v>
      </c>
      <c r="E2" s="1" t="s">
        <v>2910</v>
      </c>
      <c r="F2" s="4">
        <v>428.05</v>
      </c>
      <c r="G2" s="4">
        <v>492.81</v>
      </c>
      <c r="H2" s="4">
        <v>513.53</v>
      </c>
      <c r="I2" s="4">
        <v>510.12</v>
      </c>
      <c r="J2" s="4">
        <v>499.7</v>
      </c>
      <c r="K2" s="5">
        <f>J2/I2-1</f>
        <v>-0.020426566298126003</v>
      </c>
      <c r="L2" s="5">
        <f>J2/H2-1</f>
        <v>-0.026931240628590314</v>
      </c>
      <c r="M2" s="5">
        <f>J2/G2-1</f>
        <v>0.013981047462510832</v>
      </c>
      <c r="N2" s="5">
        <f>J2/F2-1</f>
        <v>0.16738698750145997</v>
      </c>
      <c r="O2" s="5">
        <f>K2/6</f>
        <v>-0.0034044277163543337</v>
      </c>
      <c r="P2" s="1" t="s">
        <v>2911</v>
      </c>
    </row>
    <row r="3" spans="1:16">
      <c r="A3" s="1" t="s">
        <v>2912</v>
      </c>
      <c r="B3" s="1" t="s">
        <v>119</v>
      </c>
      <c r="C3" s="1" t="s">
        <v>2895</v>
      </c>
      <c r="D3" s="1" t="s">
        <v>2913</v>
      </c>
      <c r="E3" s="1" t="s">
        <v>2910</v>
      </c>
      <c r="F3" s="4">
        <v>253.79</v>
      </c>
      <c r="G3" s="4">
        <v>277.42</v>
      </c>
      <c r="H3" s="4">
        <v>266.43</v>
      </c>
      <c r="I3" s="4">
        <v>258.9</v>
      </c>
      <c r="J3" s="4">
        <v>258.51</v>
      </c>
      <c r="K3" s="5">
        <f>J3/I3-1</f>
        <v>-0.0015063731170334993</v>
      </c>
      <c r="L3" s="5">
        <f>J3/H3-1</f>
        <v>-0.029726382164170784</v>
      </c>
      <c r="M3" s="5">
        <f>J3/G3-1</f>
        <v>-0.0681637949679188</v>
      </c>
      <c r="N3" s="5">
        <f>J3/F3-1</f>
        <v>0.01859805350880639</v>
      </c>
      <c r="O3" s="5">
        <f>K3/6</f>
        <v>-0.0002510621861722499</v>
      </c>
      <c r="P3" s="1" t="s">
        <v>2911</v>
      </c>
    </row>
    <row r="4" spans="1:16">
      <c r="A4" s="1" t="s">
        <v>2914</v>
      </c>
      <c r="B4" s="1" t="s">
        <v>488</v>
      </c>
      <c r="C4" s="1" t="s">
        <v>2895</v>
      </c>
      <c r="D4" s="1" t="s">
        <v>2915</v>
      </c>
      <c r="E4" s="1" t="s">
        <v>2910</v>
      </c>
      <c r="F4" s="4">
        <v>372.19</v>
      </c>
      <c r="G4" s="4">
        <v>377.65</v>
      </c>
      <c r="H4" s="4">
        <v>346.59</v>
      </c>
      <c r="I4" s="4">
        <v>342.48</v>
      </c>
      <c r="J4" s="4">
        <v>338.46</v>
      </c>
      <c r="K4" s="5">
        <f>J4/I4-1</f>
        <v>-0.011737911702873305</v>
      </c>
      <c r="L4" s="5">
        <f>J4/H4-1</f>
        <v>-0.0234571107071756</v>
      </c>
      <c r="M4" s="5">
        <f>J4/G4-1</f>
        <v>-0.10377333509863629</v>
      </c>
      <c r="N4" s="5">
        <f>J4/F4-1</f>
        <v>-0.09062575566243047</v>
      </c>
      <c r="O4" s="5">
        <f>K4/6</f>
        <v>-0.0019563186171455507</v>
      </c>
      <c r="P4" s="1" t="s">
        <v>2911</v>
      </c>
    </row>
    <row r="5" spans="1:16">
      <c r="A5" s="1" t="s">
        <v>2916</v>
      </c>
      <c r="B5" s="1" t="s">
        <v>673</v>
      </c>
      <c r="C5" s="1" t="s">
        <v>2895</v>
      </c>
      <c r="D5" s="1" t="s">
        <v>2917</v>
      </c>
      <c r="E5" s="1" t="s">
        <v>2910</v>
      </c>
      <c r="F5" s="4">
        <v>627.5700000000001</v>
      </c>
      <c r="G5" s="4">
        <v>587.9400000000001</v>
      </c>
      <c r="H5" s="4">
        <v>578.02</v>
      </c>
      <c r="I5" s="4">
        <v>610.6799999999999</v>
      </c>
      <c r="J5" s="4">
        <v>616.77</v>
      </c>
      <c r="K5" s="5">
        <f>J5/I5-1</f>
        <v>0.009972489683631514</v>
      </c>
      <c r="L5" s="5">
        <f>J5/H5-1</f>
        <v>0.06703920279575093</v>
      </c>
      <c r="M5" s="5">
        <f>J5/G5-1</f>
        <v>0.04903561587917116</v>
      </c>
      <c r="N5" s="5">
        <f>J5/F5-1</f>
        <v>-0.017209235623117825</v>
      </c>
      <c r="O5" s="5">
        <f>K5/6</f>
        <v>0.0016620816139385857</v>
      </c>
      <c r="P5" s="1" t="s">
        <v>2911</v>
      </c>
    </row>
    <row r="6" spans="1:16">
      <c r="A6" s="1" t="s">
        <v>2918</v>
      </c>
      <c r="B6" s="1" t="s">
        <v>764</v>
      </c>
      <c r="C6" s="1" t="s">
        <v>2895</v>
      </c>
      <c r="D6" s="1" t="s">
        <v>2919</v>
      </c>
      <c r="E6" s="1" t="s">
        <v>2910</v>
      </c>
      <c r="F6" s="4">
        <v>236.34</v>
      </c>
      <c r="G6" s="4">
        <v>145.74</v>
      </c>
      <c r="H6" s="4">
        <v>150.85</v>
      </c>
      <c r="I6" s="4">
        <v>154.04</v>
      </c>
      <c r="J6" s="4">
        <v>158.78</v>
      </c>
      <c r="K6" s="5">
        <f>J6/I6-1</f>
        <v>0.030771228252401972</v>
      </c>
      <c r="L6" s="5">
        <f>J6/H6-1</f>
        <v>0.052568776930725925</v>
      </c>
      <c r="M6" s="5">
        <f>J6/G6-1</f>
        <v>0.08947440647728833</v>
      </c>
      <c r="N6" s="5">
        <f>J6/F6-1</f>
        <v>-0.3281712786663282</v>
      </c>
      <c r="O6" s="5">
        <f>K6/6</f>
        <v>0.005128538042066995</v>
      </c>
      <c r="P6" s="1" t="s">
        <v>2911</v>
      </c>
    </row>
    <row r="7" spans="1:16">
      <c r="A7" s="1" t="s">
        <v>2920</v>
      </c>
      <c r="B7" s="1" t="s">
        <v>543</v>
      </c>
      <c r="C7" s="1" t="s">
        <v>2895</v>
      </c>
      <c r="D7" s="1" t="s">
        <v>2921</v>
      </c>
      <c r="E7" s="1" t="s">
        <v>2922</v>
      </c>
      <c r="F7" s="4">
        <v>301.77</v>
      </c>
      <c r="G7" s="4">
        <v>235.15</v>
      </c>
      <c r="H7" s="4">
        <v>235.59</v>
      </c>
      <c r="I7" s="4">
        <v>234.71</v>
      </c>
      <c r="J7" s="4">
        <v>234.89</v>
      </c>
      <c r="K7" s="5">
        <f>J7/I7-1</f>
        <v>0.0007669038387796423</v>
      </c>
      <c r="L7" s="5">
        <f>J7/H7-1</f>
        <v>-0.0029712636359778832</v>
      </c>
      <c r="M7" s="5">
        <f>J7/G7-1</f>
        <v>-0.0011056772273018156</v>
      </c>
      <c r="N7" s="5">
        <f>J7/F7-1</f>
        <v>-0.22162574145872682</v>
      </c>
      <c r="O7" s="5">
        <f>K7/6</f>
        <v>0.00012781730646327372</v>
      </c>
      <c r="P7" s="1" t="s">
        <v>2911</v>
      </c>
    </row>
    <row r="8" spans="1:16">
      <c r="A8" s="1" t="s">
        <v>2923</v>
      </c>
      <c r="B8" s="1" t="s">
        <v>745</v>
      </c>
      <c r="C8" s="1" t="s">
        <v>2888</v>
      </c>
      <c r="D8" s="1" t="s">
        <v>2924</v>
      </c>
      <c r="E8" s="1" t="s">
        <v>2910</v>
      </c>
      <c r="F8" s="4">
        <v>218.66</v>
      </c>
      <c r="G8" s="4">
        <v>211.94</v>
      </c>
      <c r="H8" s="4">
        <v>217.55</v>
      </c>
      <c r="I8" s="4">
        <v>228.45</v>
      </c>
      <c r="J8" s="4">
        <v>230.36</v>
      </c>
      <c r="K8" s="5">
        <f>J8/I8-1</f>
        <v>0.008360691617421923</v>
      </c>
      <c r="L8" s="5">
        <f>J8/H8-1</f>
        <v>0.05888301539875895</v>
      </c>
      <c r="M8" s="5">
        <f>J8/G8-1</f>
        <v>0.08691139001604231</v>
      </c>
      <c r="N8" s="5">
        <f>J8/F8-1</f>
        <v>0.053507728894173656</v>
      </c>
      <c r="O8" s="5">
        <f>K8/7</f>
        <v>0.0011943845167745604</v>
      </c>
      <c r="P8" s="1" t="s">
        <v>2911</v>
      </c>
    </row>
    <row r="9" spans="1:16">
      <c r="A9" s="1" t="s">
        <v>2925</v>
      </c>
      <c r="B9" s="1" t="s">
        <v>106</v>
      </c>
      <c r="C9" s="1" t="s">
        <v>2888</v>
      </c>
      <c r="D9" s="1" t="s">
        <v>2926</v>
      </c>
      <c r="E9" s="1" t="s">
        <v>2910</v>
      </c>
      <c r="F9" s="4">
        <v>523.2</v>
      </c>
      <c r="G9" s="4">
        <v>518.58</v>
      </c>
      <c r="H9" s="4">
        <v>465.58</v>
      </c>
      <c r="I9" s="4">
        <v>456.16</v>
      </c>
      <c r="J9" s="4">
        <v>477.57</v>
      </c>
      <c r="K9" s="5">
        <f>J9/I9-1</f>
        <v>0.04693528586460882</v>
      </c>
      <c r="L9" s="5">
        <f>J9/H9-1</f>
        <v>0.025752824434039256</v>
      </c>
      <c r="M9" s="5">
        <f>J9/G9-1</f>
        <v>-0.07908133749855384</v>
      </c>
      <c r="N9" s="5">
        <f>J9/F9-1</f>
        <v>-0.08721330275229366</v>
      </c>
      <c r="O9" s="5">
        <f>K9/7</f>
        <v>0.0067050408378012604</v>
      </c>
      <c r="P9" s="1" t="s">
        <v>2911</v>
      </c>
    </row>
    <row r="10" spans="1:16">
      <c r="A10" s="1" t="s">
        <v>2927</v>
      </c>
      <c r="B10" s="1" t="s">
        <v>150</v>
      </c>
      <c r="C10" s="1" t="s">
        <v>2888</v>
      </c>
      <c r="D10" s="1" t="s">
        <v>2928</v>
      </c>
      <c r="E10" s="1" t="s">
        <v>2910</v>
      </c>
      <c r="F10" s="4">
        <v>418.91</v>
      </c>
      <c r="G10" s="4">
        <v>418.16</v>
      </c>
      <c r="H10" s="4">
        <v>368.79</v>
      </c>
      <c r="I10" s="4">
        <v>357.16</v>
      </c>
      <c r="J10" s="4">
        <v>357.895</v>
      </c>
      <c r="K10" s="5">
        <f>J10/I10-1</f>
        <v>0.0020579012207413427</v>
      </c>
      <c r="L10" s="5">
        <f>J10/H10-1</f>
        <v>-0.02954255809539319</v>
      </c>
      <c r="M10" s="5">
        <f>J10/G10-1</f>
        <v>-0.1441194757987374</v>
      </c>
      <c r="N10" s="5">
        <f>J10/F10-1</f>
        <v>-0.14565181065145272</v>
      </c>
      <c r="O10" s="5">
        <f>K10/7</f>
        <v>0.00029398588867733465</v>
      </c>
      <c r="P10" s="1" t="s">
        <v>2911</v>
      </c>
    </row>
    <row r="11" spans="1:16">
      <c r="A11" s="1" t="s">
        <v>2929</v>
      </c>
      <c r="B11" s="1" t="s">
        <v>699</v>
      </c>
      <c r="C11" s="1" t="s">
        <v>2888</v>
      </c>
      <c r="D11" s="1" t="s">
        <v>2930</v>
      </c>
      <c r="E11" s="1" t="s">
        <v>2910</v>
      </c>
      <c r="F11" s="4">
        <v>316.43</v>
      </c>
      <c r="G11" s="4">
        <v>218.59</v>
      </c>
      <c r="H11" s="4">
        <v>216.62</v>
      </c>
      <c r="I11" s="4">
        <v>208.83</v>
      </c>
      <c r="J11" s="4">
        <v>223.55</v>
      </c>
      <c r="K11" s="5">
        <f>J11/I11-1</f>
        <v>0.07048795671120045</v>
      </c>
      <c r="L11" s="5">
        <f>J11/H11-1</f>
        <v>0.031991505862801306</v>
      </c>
      <c r="M11" s="5">
        <f>J11/G11-1</f>
        <v>0.022690882474038165</v>
      </c>
      <c r="N11" s="5">
        <f>J11/F11-1</f>
        <v>-0.29352463420029706</v>
      </c>
      <c r="O11" s="5">
        <f>K11/7</f>
        <v>0.010069708101600064</v>
      </c>
      <c r="P11" s="1" t="s">
        <v>2911</v>
      </c>
    </row>
    <row r="12" spans="1:16">
      <c r="A12" s="1" t="s">
        <v>2931</v>
      </c>
      <c r="B12" s="1" t="s">
        <v>713</v>
      </c>
      <c r="C12" s="1" t="s">
        <v>2888</v>
      </c>
      <c r="D12" s="1" t="s">
        <v>2932</v>
      </c>
      <c r="E12" s="1" t="s">
        <v>2910</v>
      </c>
      <c r="F12" s="4">
        <v>996</v>
      </c>
      <c r="G12" s="4">
        <v>892.67</v>
      </c>
      <c r="H12" s="4">
        <v>932.86</v>
      </c>
      <c r="I12" s="4">
        <v>958.16</v>
      </c>
      <c r="J12" s="4">
        <v>1016.59</v>
      </c>
      <c r="K12" s="5">
        <f>J12/I12-1</f>
        <v>0.06098146447357444</v>
      </c>
      <c r="L12" s="5">
        <f>J12/H12-1</f>
        <v>0.08975623351842721</v>
      </c>
      <c r="M12" s="5">
        <f>J12/G12-1</f>
        <v>0.1388194965664804</v>
      </c>
      <c r="N12" s="5">
        <f>J12/F12-1</f>
        <v>0.020672690763052337</v>
      </c>
      <c r="O12" s="5">
        <f>K12/7</f>
        <v>0.008711637781939206</v>
      </c>
      <c r="P12" s="1" t="s">
        <v>2911</v>
      </c>
    </row>
    <row r="13" spans="1:16">
      <c r="A13" s="1" t="s">
        <v>2933</v>
      </c>
      <c r="B13" s="1" t="s">
        <v>555</v>
      </c>
      <c r="C13" s="1" t="s">
        <v>2888</v>
      </c>
      <c r="D13" s="1" t="s">
        <v>2934</v>
      </c>
      <c r="E13" s="1" t="s">
        <v>2922</v>
      </c>
      <c r="F13" s="4">
        <v>111.78</v>
      </c>
      <c r="G13" s="4">
        <v>100.86</v>
      </c>
      <c r="H13" s="4">
        <v>89.47</v>
      </c>
      <c r="I13" s="4">
        <v>91.67</v>
      </c>
      <c r="J13" s="4">
        <v>95.8</v>
      </c>
      <c r="K13" s="5">
        <f>J13/I13-1</f>
        <v>0.045052907167012046</v>
      </c>
      <c r="L13" s="5">
        <f>J13/H13-1</f>
        <v>0.07074997205767297</v>
      </c>
      <c r="M13" s="5">
        <f>J13/G13-1</f>
        <v>-0.050168550465992445</v>
      </c>
      <c r="N13" s="5">
        <f>J13/F13-1</f>
        <v>-0.14295938450527823</v>
      </c>
      <c r="O13" s="5">
        <f>K13/7</f>
        <v>0.006436129595287435</v>
      </c>
      <c r="P13" s="1" t="s">
        <v>2911</v>
      </c>
    </row>
    <row r="14" spans="1:16">
      <c r="A14" s="1" t="s">
        <v>2935</v>
      </c>
      <c r="B14" s="1" t="s">
        <v>691</v>
      </c>
      <c r="C14" s="1" t="s">
        <v>2888</v>
      </c>
      <c r="D14" s="1" t="s">
        <v>2936</v>
      </c>
      <c r="E14" s="1" t="s">
        <v>2922</v>
      </c>
      <c r="F14" s="4">
        <v>1652.6</v>
      </c>
      <c r="G14" s="4">
        <v>1335.03</v>
      </c>
      <c r="H14" s="4">
        <v>1256.26</v>
      </c>
      <c r="I14" s="4">
        <v>1213.65</v>
      </c>
      <c r="J14" s="4">
        <v>1223.86</v>
      </c>
      <c r="K14" s="5">
        <f>J14/I14-1</f>
        <v>0.008412639558356805</v>
      </c>
      <c r="L14" s="5">
        <f>J14/H14-1</f>
        <v>-0.02579083947590477</v>
      </c>
      <c r="M14" s="5">
        <f>J14/G14-1</f>
        <v>-0.08327153696920675</v>
      </c>
      <c r="N14" s="5">
        <f>J14/F14-1</f>
        <v>-0.2594336197506959</v>
      </c>
      <c r="O14" s="5">
        <f>K14/7</f>
        <v>0.0012018056511938293</v>
      </c>
      <c r="P14" s="1" t="s">
        <v>2911</v>
      </c>
    </row>
    <row r="15" spans="1:16">
      <c r="A15" s="1" t="s">
        <v>2937</v>
      </c>
      <c r="B15" s="1" t="s">
        <v>102</v>
      </c>
      <c r="C15" s="1" t="s">
        <v>2891</v>
      </c>
      <c r="D15" s="1" t="s">
        <v>2938</v>
      </c>
      <c r="E15" s="1" t="s">
        <v>2910</v>
      </c>
      <c r="F15" s="4">
        <v>501.7</v>
      </c>
      <c r="G15" s="4">
        <v>546.62</v>
      </c>
      <c r="H15" s="4">
        <v>461.67</v>
      </c>
      <c r="I15" s="4">
        <v>435.91</v>
      </c>
      <c r="J15" s="4">
        <v>454.71</v>
      </c>
      <c r="K15" s="5">
        <f>J15/I15-1</f>
        <v>0.043128168658667976</v>
      </c>
      <c r="L15" s="5">
        <f>J15/H15-1</f>
        <v>-0.015075703424524134</v>
      </c>
      <c r="M15" s="5">
        <f>J15/G15-1</f>
        <v>-0.16814240240020495</v>
      </c>
      <c r="N15" s="5">
        <f>J15/F15-1</f>
        <v>-0.09366155072752647</v>
      </c>
      <c r="O15" s="5">
        <f>K15/6</f>
        <v>0.007188028109777996</v>
      </c>
      <c r="P15" s="1" t="s">
        <v>2911</v>
      </c>
    </row>
    <row r="16" spans="1:16">
      <c r="A16" s="1" t="s">
        <v>2939</v>
      </c>
      <c r="B16" s="1" t="s">
        <v>639</v>
      </c>
      <c r="C16" s="1" t="s">
        <v>2891</v>
      </c>
      <c r="D16" s="1" t="s">
        <v>2940</v>
      </c>
      <c r="E16" s="1" t="s">
        <v>2910</v>
      </c>
      <c r="F16" s="4">
        <v>336.41</v>
      </c>
      <c r="G16" s="4">
        <v>317.74</v>
      </c>
      <c r="H16" s="4">
        <v>301.9</v>
      </c>
      <c r="I16" s="4">
        <v>292.66</v>
      </c>
      <c r="J16" s="4">
        <v>307.65</v>
      </c>
      <c r="K16" s="5">
        <f>J16/I16-1</f>
        <v>0.051219845554568266</v>
      </c>
      <c r="L16" s="5">
        <f>J16/H16-1</f>
        <v>0.019046041735674146</v>
      </c>
      <c r="M16" s="5">
        <f>J16/G16-1</f>
        <v>-0.031755523383898865</v>
      </c>
      <c r="N16" s="5">
        <f>J16/F16-1</f>
        <v>-0.08549091881929805</v>
      </c>
      <c r="O16" s="5">
        <f>K16/6</f>
        <v>0.008536640925761377</v>
      </c>
      <c r="P16" s="1" t="s">
        <v>2911</v>
      </c>
    </row>
    <row r="17" spans="1:16">
      <c r="A17" s="1" t="s">
        <v>2941</v>
      </c>
      <c r="B17" s="1" t="s">
        <v>603</v>
      </c>
      <c r="C17" s="1" t="s">
        <v>2891</v>
      </c>
      <c r="D17" s="1" t="s">
        <v>2942</v>
      </c>
      <c r="E17" s="1" t="s">
        <v>2910</v>
      </c>
      <c r="F17" s="4">
        <v>213.11</v>
      </c>
      <c r="G17" s="4">
        <v>195.45</v>
      </c>
      <c r="H17" s="4">
        <v>175.54</v>
      </c>
      <c r="I17" s="4">
        <v>172.94</v>
      </c>
      <c r="J17" s="4">
        <v>185.6</v>
      </c>
      <c r="K17" s="5">
        <f>J17/I17-1</f>
        <v>0.07320457962299054</v>
      </c>
      <c r="L17" s="5">
        <f>J17/H17-1</f>
        <v>0.057308875469978426</v>
      </c>
      <c r="M17" s="5">
        <f>J17/G17-1</f>
        <v>-0.050396520849322</v>
      </c>
      <c r="N17" s="5">
        <f>J17/F17-1</f>
        <v>-0.12908826427666475</v>
      </c>
      <c r="O17" s="5">
        <f>K17/6</f>
        <v>0.012200763270498424</v>
      </c>
      <c r="P17" s="1" t="s">
        <v>2911</v>
      </c>
    </row>
    <row r="18" spans="1:16">
      <c r="A18" s="1" t="s">
        <v>2943</v>
      </c>
      <c r="B18" s="1" t="s">
        <v>229</v>
      </c>
      <c r="C18" s="1" t="s">
        <v>2891</v>
      </c>
      <c r="D18" s="1" t="s">
        <v>2944</v>
      </c>
      <c r="E18" s="1" t="s">
        <v>2910</v>
      </c>
      <c r="F18" s="4">
        <v>411.68</v>
      </c>
      <c r="G18" s="4">
        <v>340.62</v>
      </c>
      <c r="H18" s="4">
        <v>340.39</v>
      </c>
      <c r="I18" s="4">
        <v>304.875</v>
      </c>
      <c r="J18" s="4">
        <v>292.7</v>
      </c>
      <c r="K18" s="5">
        <f>J18/I18-1</f>
        <v>-0.039934399343993454</v>
      </c>
      <c r="L18" s="5">
        <f>J18/H18-1</f>
        <v>-0.14010399835482823</v>
      </c>
      <c r="M18" s="5">
        <f>J18/G18-1</f>
        <v>-0.140684633902883</v>
      </c>
      <c r="N18" s="5">
        <f>J18/F18-1</f>
        <v>-0.289010882238632</v>
      </c>
      <c r="O18" s="5">
        <f>K18/6</f>
        <v>-0.006655733223998909</v>
      </c>
      <c r="P18" s="1" t="s">
        <v>2911</v>
      </c>
    </row>
    <row r="19" spans="1:16">
      <c r="A19" s="1" t="s">
        <v>2945</v>
      </c>
      <c r="B19" s="1" t="s">
        <v>882</v>
      </c>
      <c r="C19" s="1" t="s">
        <v>2891</v>
      </c>
      <c r="D19" s="1" t="s">
        <v>2946</v>
      </c>
      <c r="E19" s="1" t="s">
        <v>2910</v>
      </c>
      <c r="F19" s="4">
        <v>494.48</v>
      </c>
      <c r="G19" s="4">
        <v>403.86</v>
      </c>
      <c r="H19" s="4">
        <v>442.61</v>
      </c>
      <c r="I19" s="4">
        <v>416.31</v>
      </c>
      <c r="J19" s="4">
        <v>393.84</v>
      </c>
      <c r="K19" s="5">
        <f>J19/I19-1</f>
        <v>-0.05397420191684088</v>
      </c>
      <c r="L19" s="5">
        <f>J19/H19-1</f>
        <v>-0.11018729807279559</v>
      </c>
      <c r="M19" s="5">
        <f>J19/G19-1</f>
        <v>-0.024810577923042754</v>
      </c>
      <c r="N19" s="5">
        <f>J19/F19-1</f>
        <v>-0.20352693738877214</v>
      </c>
      <c r="O19" s="5">
        <f>K19/6</f>
        <v>-0.00899570031947348</v>
      </c>
      <c r="P19" s="1" t="s">
        <v>2911</v>
      </c>
    </row>
    <row r="20" spans="1:16">
      <c r="A20" s="1" t="s">
        <v>2947</v>
      </c>
      <c r="B20" s="1" t="s">
        <v>928</v>
      </c>
      <c r="C20" s="1" t="s">
        <v>2891</v>
      </c>
      <c r="D20" s="1" t="s">
        <v>2948</v>
      </c>
      <c r="E20" s="1" t="s">
        <v>2910</v>
      </c>
      <c r="F20" s="4">
        <v>406.86</v>
      </c>
      <c r="G20" s="4">
        <v>403.56</v>
      </c>
      <c r="H20" s="4">
        <v>354.97</v>
      </c>
      <c r="I20" s="4">
        <v>338.59</v>
      </c>
      <c r="J20" s="4">
        <v>357.03</v>
      </c>
      <c r="K20" s="5">
        <f>J20/I20-1</f>
        <v>0.05446114770075905</v>
      </c>
      <c r="L20" s="5">
        <f>J20/H20-1</f>
        <v>0.005803307321745388</v>
      </c>
      <c r="M20" s="5">
        <f>J20/G20-1</f>
        <v>-0.1152988403211419</v>
      </c>
      <c r="N20" s="5">
        <f>J20/F20-1</f>
        <v>-0.12247456127414846</v>
      </c>
      <c r="O20" s="5">
        <f>K20/6</f>
        <v>0.009076857950126508</v>
      </c>
      <c r="P20" s="1" t="s">
        <v>2911</v>
      </c>
    </row>
    <row r="21" spans="1:16">
      <c r="A21" s="1" t="s">
        <v>2949</v>
      </c>
      <c r="B21" s="1" t="s">
        <v>122</v>
      </c>
      <c r="C21" s="1" t="s">
        <v>2890</v>
      </c>
      <c r="D21" s="1" t="s">
        <v>2950</v>
      </c>
      <c r="E21" s="1" t="s">
        <v>2910</v>
      </c>
      <c r="F21" s="4">
        <v>166.01</v>
      </c>
      <c r="G21" s="4">
        <v>190.51</v>
      </c>
      <c r="H21" s="4">
        <v>195.38</v>
      </c>
      <c r="I21" s="4">
        <v>191.44</v>
      </c>
      <c r="J21" s="4">
        <v>193.78</v>
      </c>
      <c r="K21" s="5">
        <f>J21/I21-1</f>
        <v>0.012223150856665255</v>
      </c>
      <c r="L21" s="5">
        <f>J21/H21-1</f>
        <v>-0.008189169822909181</v>
      </c>
      <c r="M21" s="5">
        <f>J21/G21-1</f>
        <v>0.01716445330953764</v>
      </c>
      <c r="N21" s="5">
        <f>J21/F21-1</f>
        <v>0.16727907957351973</v>
      </c>
      <c r="O21" s="5">
        <f>K21/6</f>
        <v>0.002037191809444209</v>
      </c>
      <c r="P21" s="1" t="s">
        <v>2911</v>
      </c>
    </row>
    <row r="22" spans="1:16">
      <c r="A22" s="1" t="s">
        <v>2951</v>
      </c>
      <c r="B22" s="1" t="s">
        <v>300</v>
      </c>
      <c r="C22" s="1" t="s">
        <v>2890</v>
      </c>
      <c r="D22" s="1" t="s">
        <v>2952</v>
      </c>
      <c r="E22" s="1" t="s">
        <v>2910</v>
      </c>
      <c r="F22" s="4">
        <v>130</v>
      </c>
      <c r="G22" s="4">
        <v>121.74</v>
      </c>
      <c r="H22" s="4">
        <v>109.93</v>
      </c>
      <c r="I22" s="4">
        <v>108.61</v>
      </c>
      <c r="J22" s="4">
        <v>109.2</v>
      </c>
      <c r="K22" s="5">
        <f>J22/I22-1</f>
        <v>0.005432280637142073</v>
      </c>
      <c r="L22" s="5">
        <f>J22/H22-1</f>
        <v>-0.006640589466023861</v>
      </c>
      <c r="M22" s="5">
        <f>J22/G22-1</f>
        <v>-0.10300640709709208</v>
      </c>
      <c r="N22" s="5">
        <f>J22/F22-1</f>
        <v>-0.16000000000000003</v>
      </c>
      <c r="O22" s="5">
        <f>K22/6</f>
        <v>0.0009053801061903455</v>
      </c>
      <c r="P22" s="1" t="s">
        <v>2911</v>
      </c>
    </row>
    <row r="23" spans="1:16">
      <c r="A23" s="1" t="s">
        <v>2953</v>
      </c>
      <c r="B23" s="1" t="s">
        <v>249</v>
      </c>
      <c r="C23" s="1" t="s">
        <v>2890</v>
      </c>
      <c r="D23" s="1" t="s">
        <v>2954</v>
      </c>
      <c r="E23" s="1" t="s">
        <v>2910</v>
      </c>
      <c r="F23" s="4">
        <v>535.63</v>
      </c>
      <c r="G23" s="4">
        <v>411.13</v>
      </c>
      <c r="H23" s="4">
        <v>378.44</v>
      </c>
      <c r="I23" s="4">
        <v>317.46</v>
      </c>
      <c r="J23" s="4">
        <v>321</v>
      </c>
      <c r="K23" s="5">
        <f>J23/I23-1</f>
        <v>0.011151011151011136</v>
      </c>
      <c r="L23" s="5">
        <f>J23/H23-1</f>
        <v>-0.15178099566642</v>
      </c>
      <c r="M23" s="5">
        <f>J23/G23-1</f>
        <v>-0.21922506263225738</v>
      </c>
      <c r="N23" s="5">
        <f>J23/F23-1</f>
        <v>-0.400705711031869</v>
      </c>
      <c r="O23" s="5">
        <f>K23/6</f>
        <v>0.001858501858501856</v>
      </c>
      <c r="P23" s="1" t="s">
        <v>2911</v>
      </c>
    </row>
    <row r="24" spans="1:16">
      <c r="A24" s="1" t="s">
        <v>2955</v>
      </c>
      <c r="B24" s="1" t="s">
        <v>274</v>
      </c>
      <c r="C24" s="1" t="s">
        <v>2890</v>
      </c>
      <c r="D24" s="1" t="s">
        <v>2956</v>
      </c>
      <c r="E24" s="1" t="s">
        <v>2910</v>
      </c>
      <c r="F24" s="4">
        <v>421.9</v>
      </c>
      <c r="G24" s="4">
        <v>323.73</v>
      </c>
      <c r="H24" s="4">
        <v>279.2</v>
      </c>
      <c r="I24" s="4">
        <v>264.41</v>
      </c>
      <c r="J24" s="4">
        <v>281.86</v>
      </c>
      <c r="K24" s="5">
        <f>J24/I24-1</f>
        <v>0.06599599107446763</v>
      </c>
      <c r="L24" s="5">
        <f>J24/H24-1</f>
        <v>0.00952722063037248</v>
      </c>
      <c r="M24" s="5">
        <f>J24/G24-1</f>
        <v>-0.12933617520773488</v>
      </c>
      <c r="N24" s="5">
        <f>J24/F24-1</f>
        <v>-0.3319269969187011</v>
      </c>
      <c r="O24" s="5">
        <f>K24/6</f>
        <v>0.010999331845744606</v>
      </c>
      <c r="P24" s="1" t="s">
        <v>2911</v>
      </c>
    </row>
    <row r="25" spans="1:16">
      <c r="A25" s="1" t="s">
        <v>2957</v>
      </c>
      <c r="B25" s="1" t="s">
        <v>629</v>
      </c>
      <c r="C25" s="1" t="s">
        <v>2890</v>
      </c>
      <c r="D25" s="1" t="s">
        <v>2958</v>
      </c>
      <c r="E25" s="1" t="s">
        <v>2922</v>
      </c>
      <c r="F25" s="4">
        <v>945.08</v>
      </c>
      <c r="G25" s="4">
        <v>849.47</v>
      </c>
      <c r="H25" s="4">
        <v>895</v>
      </c>
      <c r="I25" s="4">
        <v>847.37</v>
      </c>
      <c r="J25" s="4">
        <v>881.255</v>
      </c>
      <c r="K25" s="5">
        <f>J25/I25-1</f>
        <v>0.03998843480415881</v>
      </c>
      <c r="L25" s="5">
        <f>J25/H25-1</f>
        <v>-0.015357541899441385</v>
      </c>
      <c r="M25" s="5">
        <f>J25/G25-1</f>
        <v>0.03741744852672846</v>
      </c>
      <c r="N25" s="5">
        <f>J25/F25-1</f>
        <v>-0.06753396537859235</v>
      </c>
      <c r="O25" s="5">
        <f>K25/6</f>
        <v>0.006664739134026469</v>
      </c>
      <c r="P25" s="1" t="s">
        <v>2911</v>
      </c>
    </row>
    <row r="26" spans="1:16">
      <c r="A26" s="1" t="s">
        <v>2959</v>
      </c>
      <c r="B26" s="1" t="s">
        <v>482</v>
      </c>
      <c r="C26" s="1" t="s">
        <v>2890</v>
      </c>
      <c r="D26" s="1" t="s">
        <v>2960</v>
      </c>
      <c r="E26" s="1" t="s">
        <v>2922</v>
      </c>
      <c r="F26" s="4">
        <v>197.7</v>
      </c>
      <c r="G26" s="4">
        <v>159.89</v>
      </c>
      <c r="H26" s="4">
        <v>148.98</v>
      </c>
      <c r="I26" s="4">
        <v>146</v>
      </c>
      <c r="J26" s="4">
        <v>154.3</v>
      </c>
      <c r="K26" s="5">
        <f>J26/I26-1</f>
        <v>0.05684931506849322</v>
      </c>
      <c r="L26" s="5">
        <f>J26/H26-1</f>
        <v>0.03570949120687361</v>
      </c>
      <c r="M26" s="5">
        <f>J26/G26-1</f>
        <v>-0.034961536056038356</v>
      </c>
      <c r="N26" s="5">
        <f>J26/F26-1</f>
        <v>-0.21952453211937273</v>
      </c>
      <c r="O26" s="5">
        <f>K26/6</f>
        <v>0.00947488584474887</v>
      </c>
      <c r="P26" s="1" t="s">
        <v>2911</v>
      </c>
    </row>
    <row r="27" spans="1:16">
      <c r="A27" s="1" t="s">
        <v>2961</v>
      </c>
      <c r="B27" s="1" t="s">
        <v>133</v>
      </c>
      <c r="C27" s="1" t="s">
        <v>2890</v>
      </c>
      <c r="D27" s="1" t="s">
        <v>2962</v>
      </c>
      <c r="E27" s="1" t="s">
        <v>2922</v>
      </c>
      <c r="F27" s="4">
        <v>146.77</v>
      </c>
      <c r="G27" s="4">
        <v>85.66500000000001</v>
      </c>
      <c r="H27" s="4">
        <v>78.87</v>
      </c>
      <c r="I27" s="4">
        <v>82.06999999999999</v>
      </c>
      <c r="J27" s="4">
        <v>82.78</v>
      </c>
      <c r="K27" s="1"/>
      <c r="L27" s="1"/>
      <c r="M27" s="1"/>
      <c r="N27" s="1"/>
      <c r="O27" s="1"/>
      <c r="P27" s="1" t="s">
        <v>2963</v>
      </c>
    </row>
    <row r="28" spans="1:16">
      <c r="A28" s="1" t="s">
        <v>2964</v>
      </c>
      <c r="B28" s="1" t="s">
        <v>333</v>
      </c>
      <c r="C28" s="1" t="s">
        <v>2889</v>
      </c>
      <c r="D28" s="1" t="s">
        <v>2965</v>
      </c>
      <c r="E28" s="1" t="s">
        <v>2910</v>
      </c>
      <c r="F28" s="4">
        <v>422.05</v>
      </c>
      <c r="G28" s="4">
        <v>467.27</v>
      </c>
      <c r="H28" s="4">
        <v>456.24</v>
      </c>
      <c r="I28" s="4">
        <v>516.39</v>
      </c>
      <c r="J28" s="4">
        <v>524.14</v>
      </c>
      <c r="K28" s="5">
        <f>J28/I28-1</f>
        <v>0.015008036561513505</v>
      </c>
      <c r="L28" s="5">
        <f>J28/H28-1</f>
        <v>0.14882517972996667</v>
      </c>
      <c r="M28" s="5">
        <f>J28/G28-1</f>
        <v>0.12170693603270055</v>
      </c>
      <c r="N28" s="5">
        <f>J28/F28-1</f>
        <v>0.24189077123563552</v>
      </c>
      <c r="O28" s="5">
        <f>K28/9</f>
        <v>0.001667559617945945</v>
      </c>
      <c r="P28" s="1" t="s">
        <v>2911</v>
      </c>
    </row>
    <row r="29" spans="1:16">
      <c r="A29" s="1" t="s">
        <v>2966</v>
      </c>
      <c r="B29" s="1" t="s">
        <v>523</v>
      </c>
      <c r="C29" s="1" t="s">
        <v>2889</v>
      </c>
      <c r="D29" s="1" t="s">
        <v>2967</v>
      </c>
      <c r="E29" s="1" t="s">
        <v>2910</v>
      </c>
      <c r="F29" s="4">
        <v>53.69</v>
      </c>
      <c r="G29" s="4">
        <v>52.39</v>
      </c>
      <c r="H29" s="4">
        <v>52.31</v>
      </c>
      <c r="I29" s="4">
        <v>54.44</v>
      </c>
      <c r="J29" s="4">
        <v>52</v>
      </c>
      <c r="K29" s="5">
        <f>J29/I29-1</f>
        <v>-0.044819985304922816</v>
      </c>
      <c r="L29" s="5">
        <f>J29/H29-1</f>
        <v>-0.00592620913783215</v>
      </c>
      <c r="M29" s="5">
        <f>J29/G29-1</f>
        <v>-0.007444168734491274</v>
      </c>
      <c r="N29" s="5">
        <f>J29/F29-1</f>
        <v>-0.03147699757869249</v>
      </c>
      <c r="O29" s="5">
        <f>K29/9</f>
        <v>-0.004979998367213646</v>
      </c>
      <c r="P29" s="1" t="s">
        <v>2911</v>
      </c>
    </row>
    <row r="30" spans="1:16">
      <c r="A30" s="1" t="s">
        <v>2968</v>
      </c>
      <c r="B30" s="1" t="s">
        <v>876</v>
      </c>
      <c r="C30" s="1" t="s">
        <v>2889</v>
      </c>
      <c r="D30" s="1" t="s">
        <v>2969</v>
      </c>
      <c r="E30" s="1" t="s">
        <v>2910</v>
      </c>
      <c r="F30" s="4">
        <v>46.9</v>
      </c>
      <c r="G30" s="4">
        <v>31.69</v>
      </c>
      <c r="H30" s="4">
        <v>37.08</v>
      </c>
      <c r="I30" s="4">
        <v>37.87</v>
      </c>
      <c r="J30" s="4">
        <v>39.59</v>
      </c>
      <c r="K30" s="5">
        <f>J30/I30-1</f>
        <v>0.0454185371006075</v>
      </c>
      <c r="L30" s="5">
        <f>J30/H30-1</f>
        <v>0.06769147788565277</v>
      </c>
      <c r="M30" s="5">
        <f>J30/G30-1</f>
        <v>0.24928999684443043</v>
      </c>
      <c r="N30" s="5">
        <f>J30/F30-1</f>
        <v>-0.15586353944562892</v>
      </c>
      <c r="O30" s="5">
        <f>K30/9</f>
        <v>0.005046504122289723</v>
      </c>
      <c r="P30" s="1" t="s">
        <v>2911</v>
      </c>
    </row>
    <row r="31" spans="1:16">
      <c r="A31" s="1" t="s">
        <v>2970</v>
      </c>
      <c r="B31" s="1" t="s">
        <v>451</v>
      </c>
      <c r="C31" s="1" t="s">
        <v>2889</v>
      </c>
      <c r="D31" s="1" t="s">
        <v>2971</v>
      </c>
      <c r="E31" s="1" t="s">
        <v>2922</v>
      </c>
      <c r="F31" s="4">
        <v>159.51</v>
      </c>
      <c r="G31" s="4">
        <v>126.71</v>
      </c>
      <c r="H31" s="4">
        <v>110.5</v>
      </c>
      <c r="I31" s="4">
        <v>107.89</v>
      </c>
      <c r="J31" s="4">
        <v>109.51</v>
      </c>
      <c r="K31" s="5">
        <f>J31/I31-1</f>
        <v>0.015015293354342374</v>
      </c>
      <c r="L31" s="5">
        <f>J31/H31-1</f>
        <v>-0.008959276018099538</v>
      </c>
      <c r="M31" s="5">
        <f>J31/G31-1</f>
        <v>-0.13574303527740506</v>
      </c>
      <c r="N31" s="5">
        <f>J31/F31-1</f>
        <v>-0.31345997116168256</v>
      </c>
      <c r="O31" s="5">
        <f>K31/9</f>
        <v>0.0016683659282602638</v>
      </c>
      <c r="P31" s="1" t="s">
        <v>2911</v>
      </c>
    </row>
    <row r="32" spans="1:16">
      <c r="A32" s="1" t="s">
        <v>2972</v>
      </c>
      <c r="B32" s="1" t="s">
        <v>581</v>
      </c>
      <c r="C32" s="1" t="s">
        <v>2889</v>
      </c>
      <c r="D32" s="1" t="s">
        <v>2973</v>
      </c>
      <c r="E32" s="1" t="s">
        <v>2922</v>
      </c>
      <c r="F32" s="4">
        <v>373.82</v>
      </c>
      <c r="G32" s="4">
        <v>340</v>
      </c>
      <c r="H32" s="4">
        <v>301.45</v>
      </c>
      <c r="I32" s="4">
        <v>305.92</v>
      </c>
      <c r="J32" s="4">
        <v>310.57</v>
      </c>
      <c r="K32" s="5">
        <f>J32/I32-1</f>
        <v>0.015200052301255207</v>
      </c>
      <c r="L32" s="5">
        <f>J32/H32-1</f>
        <v>0.030253773428429165</v>
      </c>
      <c r="M32" s="5">
        <f>J32/G32-1</f>
        <v>-0.0865588235294118</v>
      </c>
      <c r="N32" s="5">
        <f>J32/F32-1</f>
        <v>-0.16919907977101278</v>
      </c>
      <c r="O32" s="5">
        <f>K32/9</f>
        <v>0.0016888947001394675</v>
      </c>
      <c r="P32" s="1" t="s">
        <v>2911</v>
      </c>
    </row>
    <row r="33" spans="1:16">
      <c r="A33" s="1" t="s">
        <v>2974</v>
      </c>
      <c r="B33" s="1" t="s">
        <v>739</v>
      </c>
      <c r="C33" s="1" t="s">
        <v>2889</v>
      </c>
      <c r="D33" s="1" t="s">
        <v>2975</v>
      </c>
      <c r="E33" s="1" t="s">
        <v>2922</v>
      </c>
      <c r="F33" s="4">
        <v>178.87</v>
      </c>
      <c r="G33" s="4">
        <v>190.46</v>
      </c>
      <c r="H33" s="4">
        <v>187.02</v>
      </c>
      <c r="I33" s="4">
        <v>185.38</v>
      </c>
      <c r="J33" s="4">
        <v>185.59</v>
      </c>
      <c r="K33" s="5">
        <f>J33/I33-1</f>
        <v>0.0011328082856834065</v>
      </c>
      <c r="L33" s="5">
        <f>J33/H33-1</f>
        <v>-0.007646241043738677</v>
      </c>
      <c r="M33" s="5">
        <f>J33/G33-1</f>
        <v>-0.025569673422240924</v>
      </c>
      <c r="N33" s="5">
        <f>J33/F33-1</f>
        <v>0.03756918432381062</v>
      </c>
      <c r="O33" s="5">
        <f>K33/9</f>
        <v>0.00012586758729815628</v>
      </c>
      <c r="P33" s="1" t="s">
        <v>2911</v>
      </c>
    </row>
    <row r="34" spans="1:16">
      <c r="A34" s="1" t="s">
        <v>2976</v>
      </c>
      <c r="B34" s="1" t="s">
        <v>900</v>
      </c>
      <c r="C34" s="1" t="s">
        <v>2889</v>
      </c>
      <c r="D34" s="1" t="s">
        <v>2977</v>
      </c>
      <c r="E34" s="1" t="s">
        <v>2922</v>
      </c>
      <c r="F34" s="4">
        <v>925.99</v>
      </c>
      <c r="G34" s="4">
        <v>845.35</v>
      </c>
      <c r="H34" s="4">
        <v>829.76</v>
      </c>
      <c r="I34" s="4">
        <v>798.61</v>
      </c>
      <c r="J34" s="4">
        <v>849.28</v>
      </c>
      <c r="K34" s="5">
        <f>J34/I34-1</f>
        <v>0.06344774044903012</v>
      </c>
      <c r="L34" s="5">
        <f>J34/H34-1</f>
        <v>0.02352487466255293</v>
      </c>
      <c r="M34" s="5">
        <f>J34/G34-1</f>
        <v>0.004648961968415355</v>
      </c>
      <c r="N34" s="5">
        <f>J34/F34-1</f>
        <v>-0.08284106739813613</v>
      </c>
      <c r="O34" s="5">
        <f>K34/9</f>
        <v>0.007049748938781125</v>
      </c>
      <c r="P34" s="1" t="s">
        <v>2911</v>
      </c>
    </row>
    <row r="35" spans="1:16">
      <c r="A35" s="1" t="s">
        <v>2978</v>
      </c>
      <c r="B35" s="1" t="s">
        <v>1030</v>
      </c>
      <c r="C35" s="1" t="s">
        <v>2889</v>
      </c>
      <c r="D35" s="1" t="s">
        <v>2979</v>
      </c>
      <c r="E35" s="1" t="s">
        <v>2922</v>
      </c>
      <c r="F35" s="4">
        <v>575.5</v>
      </c>
      <c r="G35" s="4">
        <v>548.5599999999999</v>
      </c>
      <c r="H35" s="4">
        <v>459.45</v>
      </c>
      <c r="I35" s="4">
        <v>441.57</v>
      </c>
      <c r="J35" s="4">
        <v>467.46</v>
      </c>
      <c r="K35" s="5">
        <f>J35/I35-1</f>
        <v>0.05863170052313338</v>
      </c>
      <c r="L35" s="5">
        <f>J35/H35-1</f>
        <v>0.017433888344760007</v>
      </c>
      <c r="M35" s="5">
        <f>J35/G35-1</f>
        <v>-0.147841621700452</v>
      </c>
      <c r="N35" s="5">
        <f>J35/F35-1</f>
        <v>-0.18773240660295398</v>
      </c>
      <c r="O35" s="5">
        <f>K35/9</f>
        <v>0.006514633391459264</v>
      </c>
      <c r="P35" s="1" t="s">
        <v>2911</v>
      </c>
    </row>
    <row r="36" spans="1:16">
      <c r="A36" s="1" t="s">
        <v>2980</v>
      </c>
      <c r="B36" s="1" t="s">
        <v>880</v>
      </c>
      <c r="C36" s="1" t="s">
        <v>2889</v>
      </c>
      <c r="D36" s="1" t="s">
        <v>2981</v>
      </c>
      <c r="E36" s="1" t="s">
        <v>2922</v>
      </c>
      <c r="F36" s="4">
        <v>1759.68</v>
      </c>
      <c r="G36" s="4">
        <v>1427.62</v>
      </c>
      <c r="H36" s="4">
        <v>1484.98</v>
      </c>
      <c r="I36" s="4">
        <v>1554.99</v>
      </c>
      <c r="J36" s="4">
        <v>1740</v>
      </c>
      <c r="K36" s="5">
        <f>J36/I36-1</f>
        <v>0.11897825709490095</v>
      </c>
      <c r="L36" s="5">
        <f>J36/H36-1</f>
        <v>0.17173295263235877</v>
      </c>
      <c r="M36" s="5">
        <f>J36/G36-1</f>
        <v>0.2188117286112552</v>
      </c>
      <c r="N36" s="5">
        <f>J36/F36-1</f>
        <v>-0.01118385160938351</v>
      </c>
      <c r="O36" s="5">
        <f>K36/9</f>
        <v>0.013219806343877883</v>
      </c>
      <c r="P36" s="1" t="s">
        <v>2911</v>
      </c>
    </row>
    <row r="37" spans="1:16">
      <c r="A37" s="1" t="s">
        <v>2982</v>
      </c>
      <c r="B37" s="1" t="s">
        <v>1010</v>
      </c>
      <c r="C37" s="1" t="s">
        <v>2892</v>
      </c>
      <c r="D37" s="1" t="s">
        <v>2983</v>
      </c>
      <c r="E37" s="1" t="s">
        <v>2910</v>
      </c>
      <c r="F37" s="4">
        <v>323.92</v>
      </c>
      <c r="G37" s="4">
        <v>269.93</v>
      </c>
      <c r="H37" s="4">
        <v>257.08</v>
      </c>
      <c r="I37" s="4">
        <v>268.83</v>
      </c>
      <c r="J37" s="4">
        <v>280.53</v>
      </c>
      <c r="K37" s="5">
        <f>J37/I37-1</f>
        <v>0.04352192835621027</v>
      </c>
      <c r="L37" s="5">
        <f>J37/H37-1</f>
        <v>0.09121674187023499</v>
      </c>
      <c r="M37" s="5">
        <f>J37/G37-1</f>
        <v>0.03926944022524337</v>
      </c>
      <c r="N37" s="5">
        <f>J37/F37-1</f>
        <v>-0.13395282785873064</v>
      </c>
      <c r="O37" s="5">
        <f>K37/7</f>
        <v>0.006217418336601467</v>
      </c>
      <c r="P37" s="1" t="s">
        <v>2911</v>
      </c>
    </row>
    <row r="38" spans="1:16">
      <c r="A38" s="1" t="s">
        <v>2984</v>
      </c>
      <c r="B38" s="1" t="s">
        <v>403</v>
      </c>
      <c r="C38" s="1" t="s">
        <v>2892</v>
      </c>
      <c r="D38" s="1" t="s">
        <v>2985</v>
      </c>
      <c r="E38" s="1" t="s">
        <v>2910</v>
      </c>
      <c r="F38" s="4">
        <v>418.61</v>
      </c>
      <c r="G38" s="4">
        <v>444.77</v>
      </c>
      <c r="H38" s="4">
        <v>402.78</v>
      </c>
      <c r="I38" s="4">
        <v>397.12</v>
      </c>
      <c r="J38" s="4">
        <v>410.85</v>
      </c>
      <c r="K38" s="5">
        <f>J38/I38-1</f>
        <v>0.034573932312651046</v>
      </c>
      <c r="L38" s="5">
        <f>J38/H38-1</f>
        <v>0.0200357515268883</v>
      </c>
      <c r="M38" s="5">
        <f>J38/G38-1</f>
        <v>-0.07626413651999897</v>
      </c>
      <c r="N38" s="5">
        <f>J38/F38-1</f>
        <v>-0.018537540909199457</v>
      </c>
      <c r="O38" s="5">
        <f>K38/7</f>
        <v>0.004939133187521578</v>
      </c>
      <c r="P38" s="1" t="s">
        <v>2911</v>
      </c>
    </row>
    <row r="39" spans="1:16">
      <c r="A39" s="1" t="s">
        <v>2986</v>
      </c>
      <c r="B39" s="1" t="s">
        <v>474</v>
      </c>
      <c r="C39" s="1" t="s">
        <v>2892</v>
      </c>
      <c r="D39" s="1" t="s">
        <v>2987</v>
      </c>
      <c r="E39" s="1" t="s">
        <v>2910</v>
      </c>
      <c r="F39" s="4">
        <v>963.33</v>
      </c>
      <c r="G39" s="4">
        <v>1018.53</v>
      </c>
      <c r="H39" s="4">
        <v>911.9299999999999</v>
      </c>
      <c r="I39" s="4">
        <v>941.84</v>
      </c>
      <c r="J39" s="4">
        <v>941.95</v>
      </c>
      <c r="K39" s="5">
        <f>J39/I39-1</f>
        <v>0.0001167926611738146</v>
      </c>
      <c r="L39" s="5">
        <f>J39/H39-1</f>
        <v>0.03291919335913951</v>
      </c>
      <c r="M39" s="5">
        <f>J39/G39-1</f>
        <v>-0.07518678880347163</v>
      </c>
      <c r="N39" s="5">
        <f>J39/F39-1</f>
        <v>-0.022193848421620865</v>
      </c>
      <c r="O39" s="5">
        <f>K39/7</f>
        <v>1.6684665881973514e-05</v>
      </c>
      <c r="P39" s="1" t="s">
        <v>2911</v>
      </c>
    </row>
    <row r="40" spans="1:16">
      <c r="A40" s="1" t="s">
        <v>2988</v>
      </c>
      <c r="B40" s="1" t="s">
        <v>535</v>
      </c>
      <c r="C40" s="1" t="s">
        <v>2892</v>
      </c>
      <c r="D40" s="1" t="s">
        <v>2989</v>
      </c>
      <c r="E40" s="1" t="s">
        <v>2922</v>
      </c>
      <c r="F40" s="4">
        <v>485.27</v>
      </c>
      <c r="G40" s="4">
        <v>502.24</v>
      </c>
      <c r="H40" s="4">
        <v>459.66</v>
      </c>
      <c r="I40" s="4">
        <v>460.15</v>
      </c>
      <c r="J40" s="4">
        <v>460.72</v>
      </c>
      <c r="K40" s="5">
        <f>J40/I40-1</f>
        <v>0.0012387265022275606</v>
      </c>
      <c r="L40" s="5">
        <f>J40/H40-1</f>
        <v>0.0023060522995257404</v>
      </c>
      <c r="M40" s="5">
        <f>J40/G40-1</f>
        <v>-0.0826696400127429</v>
      </c>
      <c r="N40" s="5">
        <f>J40/F40-1</f>
        <v>-0.050590392977105436</v>
      </c>
      <c r="O40" s="5">
        <f>K40/7</f>
        <v>0.00017696092888965152</v>
      </c>
      <c r="P40" s="1" t="s">
        <v>2911</v>
      </c>
    </row>
    <row r="41" spans="1:16">
      <c r="A41" s="1" t="s">
        <v>2990</v>
      </c>
      <c r="B41" s="1" t="s">
        <v>960</v>
      </c>
      <c r="C41" s="1" t="s">
        <v>2892</v>
      </c>
      <c r="D41" s="1" t="s">
        <v>2991</v>
      </c>
      <c r="E41" s="1" t="s">
        <v>2922</v>
      </c>
      <c r="F41" s="4">
        <v>463.76</v>
      </c>
      <c r="G41" s="4">
        <v>472.24</v>
      </c>
      <c r="H41" s="4">
        <v>448.96</v>
      </c>
      <c r="I41" s="4">
        <v>445.19</v>
      </c>
      <c r="J41" s="4">
        <v>447.9</v>
      </c>
      <c r="K41" s="5">
        <f>J41/I41-1</f>
        <v>0.006087288573418004</v>
      </c>
      <c r="L41" s="5">
        <f>J41/H41-1</f>
        <v>-0.002361012116892325</v>
      </c>
      <c r="M41" s="5">
        <f>J41/G41-1</f>
        <v>-0.05154158902253103</v>
      </c>
      <c r="N41" s="5">
        <f>J41/F41-1</f>
        <v>-0.03419872347766084</v>
      </c>
      <c r="O41" s="5">
        <f>K41/7</f>
        <v>0.0008696126533454292</v>
      </c>
      <c r="P41" s="1" t="s">
        <v>2911</v>
      </c>
    </row>
    <row r="42" spans="1:16">
      <c r="A42" s="1" t="s">
        <v>2992</v>
      </c>
      <c r="B42" s="1" t="s">
        <v>583</v>
      </c>
      <c r="C42" s="1" t="s">
        <v>2892</v>
      </c>
      <c r="D42" s="1" t="s">
        <v>2993</v>
      </c>
      <c r="E42" s="1" t="s">
        <v>2922</v>
      </c>
      <c r="F42" s="4">
        <v>147.4</v>
      </c>
      <c r="G42" s="4">
        <v>153.62</v>
      </c>
      <c r="H42" s="4">
        <v>139.59</v>
      </c>
      <c r="I42" s="4">
        <v>142.23</v>
      </c>
      <c r="J42" s="4">
        <v>144.94</v>
      </c>
      <c r="K42" s="5">
        <f>J42/I42-1</f>
        <v>0.01905364550376154</v>
      </c>
      <c r="L42" s="5">
        <f>J42/H42-1</f>
        <v>0.03832652768822986</v>
      </c>
      <c r="M42" s="5">
        <f>J42/G42-1</f>
        <v>-0.05650305949746126</v>
      </c>
      <c r="N42" s="5">
        <f>J42/F42-1</f>
        <v>-0.016689280868385392</v>
      </c>
      <c r="O42" s="5">
        <f>K42/7</f>
        <v>0.00272194935768022</v>
      </c>
      <c r="P42" s="1" t="s">
        <v>2911</v>
      </c>
    </row>
    <row r="43" spans="1:16">
      <c r="A43" s="1" t="s">
        <v>2994</v>
      </c>
      <c r="B43" s="1" t="s">
        <v>211</v>
      </c>
      <c r="C43" s="1" t="s">
        <v>2892</v>
      </c>
      <c r="D43" s="1" t="s">
        <v>2995</v>
      </c>
      <c r="E43" s="1" t="s">
        <v>2922</v>
      </c>
      <c r="F43" s="4">
        <v>68.54000000000001</v>
      </c>
      <c r="G43" s="4">
        <v>65.69</v>
      </c>
      <c r="H43" s="4">
        <v>58.79</v>
      </c>
      <c r="I43" s="4">
        <v>59.08</v>
      </c>
      <c r="J43" s="4">
        <v>59.71</v>
      </c>
      <c r="K43" s="5">
        <f>J43/I43-1</f>
        <v>0.010663507109004877</v>
      </c>
      <c r="L43" s="5">
        <f>J43/H43-1</f>
        <v>0.015648919884334145</v>
      </c>
      <c r="M43" s="5">
        <f>J43/G43-1</f>
        <v>-0.0910336428680164</v>
      </c>
      <c r="N43" s="5">
        <f>J43/F43-1</f>
        <v>-0.12882988036183263</v>
      </c>
      <c r="O43" s="5">
        <f>K43/7</f>
        <v>0.0015233581584292682</v>
      </c>
      <c r="P43" s="1" t="s">
        <v>2911</v>
      </c>
    </row>
    <row r="44" spans="1:16">
      <c r="A44" s="1" t="s">
        <v>2996</v>
      </c>
      <c r="B44" s="1" t="s">
        <v>826</v>
      </c>
      <c r="C44" s="1" t="s">
        <v>2893</v>
      </c>
      <c r="D44" s="1" t="s">
        <v>2997</v>
      </c>
      <c r="E44" s="1" t="s">
        <v>2910</v>
      </c>
      <c r="F44" s="4">
        <v>719.17</v>
      </c>
      <c r="G44" s="4">
        <v>693</v>
      </c>
      <c r="H44" s="4">
        <v>602.7</v>
      </c>
      <c r="I44" s="4">
        <v>620.0599999999999</v>
      </c>
      <c r="J44" s="4">
        <v>624.41</v>
      </c>
      <c r="K44" s="5">
        <f>J44/I44-1</f>
        <v>0.007015450117730637</v>
      </c>
      <c r="L44" s="5">
        <f>J44/H44-1</f>
        <v>0.03602123776339794</v>
      </c>
      <c r="M44" s="5">
        <f>J44/G44-1</f>
        <v>-0.09897546897546905</v>
      </c>
      <c r="N44" s="5">
        <f>J44/F44-1</f>
        <v>-0.13176300457471812</v>
      </c>
      <c r="O44" s="5">
        <f>K44/3</f>
        <v>0.002338483372576879</v>
      </c>
      <c r="P44" s="1" t="s">
        <v>2911</v>
      </c>
    </row>
    <row r="45" spans="1:16">
      <c r="A45" s="1" t="s">
        <v>2998</v>
      </c>
      <c r="B45" s="1" t="s">
        <v>449</v>
      </c>
      <c r="C45" s="1" t="s">
        <v>2893</v>
      </c>
      <c r="D45" s="1" t="s">
        <v>2999</v>
      </c>
      <c r="E45" s="1" t="s">
        <v>2922</v>
      </c>
      <c r="F45" s="4">
        <v>1914.65</v>
      </c>
      <c r="G45" s="4">
        <v>1775.86</v>
      </c>
      <c r="H45" s="4">
        <v>1518.73</v>
      </c>
      <c r="I45" s="4">
        <v>1580.19</v>
      </c>
      <c r="J45" s="4">
        <v>1610.34</v>
      </c>
      <c r="K45" s="5">
        <f>J45/I45-1</f>
        <v>0.019079984052550625</v>
      </c>
      <c r="L45" s="5">
        <f>J45/H45-1</f>
        <v>0.0603201359030241</v>
      </c>
      <c r="M45" s="5">
        <f>J45/G45-1</f>
        <v>-0.09320554548218896</v>
      </c>
      <c r="N45" s="5">
        <f>J45/F45-1</f>
        <v>-0.15893766484736127</v>
      </c>
      <c r="O45" s="5">
        <f>K45/3</f>
        <v>0.006359994684183541</v>
      </c>
      <c r="P45" s="1" t="s">
        <v>2911</v>
      </c>
    </row>
    <row r="46" spans="1:16">
      <c r="A46" s="1" t="s">
        <v>3000</v>
      </c>
      <c r="B46" s="1" t="s">
        <v>387</v>
      </c>
      <c r="C46" s="1" t="s">
        <v>2893</v>
      </c>
      <c r="D46" s="1" t="s">
        <v>3001</v>
      </c>
      <c r="E46" s="1" t="s">
        <v>2922</v>
      </c>
      <c r="F46" s="4">
        <v>845.4299999999999</v>
      </c>
      <c r="G46" s="4">
        <v>819.88</v>
      </c>
      <c r="H46" s="4">
        <v>740.17</v>
      </c>
      <c r="I46" s="4">
        <v>741.3200000000001</v>
      </c>
      <c r="J46" s="4">
        <v>754.16</v>
      </c>
      <c r="K46" s="5">
        <f>J46/I46-1</f>
        <v>0.01732045540387417</v>
      </c>
      <c r="L46" s="5">
        <f>J46/H46-1</f>
        <v>0.018901063269249008</v>
      </c>
      <c r="M46" s="5">
        <f>J46/G46-1</f>
        <v>-0.08015807191296287</v>
      </c>
      <c r="N46" s="5">
        <f>J46/F46-1</f>
        <v>-0.10795689767337335</v>
      </c>
      <c r="O46" s="5">
        <f>K46/3</f>
        <v>0.005773485134624723</v>
      </c>
      <c r="P46" s="1" t="s">
        <v>2911</v>
      </c>
    </row>
    <row r="47" spans="1:16">
      <c r="A47" s="1" t="s">
        <v>3002</v>
      </c>
      <c r="B47" s="1" t="s">
        <v>233</v>
      </c>
      <c r="C47" s="1" t="s">
        <v>2887</v>
      </c>
      <c r="D47" s="1" t="s">
        <v>3003</v>
      </c>
      <c r="E47" s="1" t="s">
        <v>2910</v>
      </c>
      <c r="F47" s="4">
        <v>264.59</v>
      </c>
      <c r="G47" s="4">
        <v>267.25</v>
      </c>
      <c r="H47" s="4">
        <v>276.75</v>
      </c>
      <c r="I47" s="4">
        <v>285.05</v>
      </c>
      <c r="J47" s="4">
        <v>298.96</v>
      </c>
      <c r="K47" s="5">
        <f>J47/I47-1</f>
        <v>0.04879845641115588</v>
      </c>
      <c r="L47" s="5">
        <f>J47/H47-1</f>
        <v>0.08025293586269178</v>
      </c>
      <c r="M47" s="5">
        <f>J47/G47-1</f>
        <v>0.11865294667913928</v>
      </c>
      <c r="N47" s="5">
        <f>J47/F47-1</f>
        <v>0.1298990891568086</v>
      </c>
      <c r="O47" s="5">
        <f>K47/3</f>
        <v>0.01626615213705196</v>
      </c>
      <c r="P47" s="1" t="s">
        <v>2911</v>
      </c>
    </row>
    <row r="48" spans="1:16">
      <c r="A48" s="1" t="s">
        <v>3004</v>
      </c>
      <c r="B48" s="1" t="s">
        <v>1014</v>
      </c>
      <c r="C48" s="1" t="s">
        <v>2887</v>
      </c>
      <c r="D48" s="1" t="s">
        <v>3005</v>
      </c>
      <c r="E48" s="1" t="s">
        <v>2910</v>
      </c>
      <c r="F48" s="4">
        <v>153.7</v>
      </c>
      <c r="G48" s="4">
        <v>143.23</v>
      </c>
      <c r="H48" s="4">
        <v>137.09</v>
      </c>
      <c r="I48" s="4">
        <v>144.22</v>
      </c>
      <c r="J48" s="4">
        <v>149.3</v>
      </c>
      <c r="K48" s="5">
        <f>J48/I48-1</f>
        <v>0.03522396338926659</v>
      </c>
      <c r="L48" s="5">
        <f>J48/H48-1</f>
        <v>0.08906557735794007</v>
      </c>
      <c r="M48" s="5">
        <f>J48/G48-1</f>
        <v>0.04237938979264144</v>
      </c>
      <c r="N48" s="5">
        <f>J48/F48-1</f>
        <v>-0.028627195836044117</v>
      </c>
      <c r="O48" s="5">
        <f>K48/3</f>
        <v>0.01174132112975553</v>
      </c>
      <c r="P48" s="1" t="s">
        <v>2911</v>
      </c>
    </row>
    <row r="49" spans="1:16">
      <c r="A49" s="1" t="s">
        <v>3006</v>
      </c>
      <c r="B49" s="1" t="s">
        <v>735</v>
      </c>
      <c r="C49" s="1" t="s">
        <v>2887</v>
      </c>
      <c r="D49" s="1" t="s">
        <v>3007</v>
      </c>
      <c r="E49" s="1" t="s">
        <v>2922</v>
      </c>
      <c r="F49" s="4">
        <v>133.39</v>
      </c>
      <c r="G49" s="4">
        <v>117.04</v>
      </c>
      <c r="H49" s="4">
        <v>111.12</v>
      </c>
      <c r="I49" s="4">
        <v>111.84</v>
      </c>
      <c r="J49" s="4">
        <v>119.02</v>
      </c>
      <c r="K49" s="5">
        <f>J49/I49-1</f>
        <v>0.0641988555078683</v>
      </c>
      <c r="L49" s="5">
        <f>J49/H49-1</f>
        <v>0.07109431245500342</v>
      </c>
      <c r="M49" s="5">
        <f>J49/G49-1</f>
        <v>0.016917293233082553</v>
      </c>
      <c r="N49" s="5">
        <f>J49/F49-1</f>
        <v>-0.10772921508358946</v>
      </c>
      <c r="O49" s="5">
        <f>K49/3</f>
        <v>0.02139961850262277</v>
      </c>
      <c r="P49" s="1" t="s">
        <v>2911</v>
      </c>
    </row>
    <row r="50" spans="1:16">
      <c r="A50" s="1" t="s">
        <v>3008</v>
      </c>
      <c r="B50" s="1" t="s">
        <v>345</v>
      </c>
      <c r="C50" s="1" t="s">
        <v>2894</v>
      </c>
      <c r="D50" s="1" t="s">
        <v>3009</v>
      </c>
      <c r="E50" s="1" t="s">
        <v>2910</v>
      </c>
      <c r="F50" s="4">
        <v>188.7</v>
      </c>
      <c r="G50" s="4">
        <v>193.89</v>
      </c>
      <c r="H50" s="4">
        <v>185.47</v>
      </c>
      <c r="I50" s="4">
        <v>187.79</v>
      </c>
      <c r="J50" s="4">
        <v>188.39</v>
      </c>
      <c r="K50" s="5">
        <f>J50/I50-1</f>
        <v>0.003195058309814147</v>
      </c>
      <c r="L50" s="5">
        <f>J50/H50-1</f>
        <v>0.015743786057044185</v>
      </c>
      <c r="M50" s="5">
        <f>J50/G50-1</f>
        <v>-0.028366599618340316</v>
      </c>
      <c r="N50" s="5">
        <f>J50/F50-1</f>
        <v>-0.0016428192898780836</v>
      </c>
      <c r="O50" s="5">
        <f>K50/3</f>
        <v>0.0010650194366047157</v>
      </c>
      <c r="P50" s="1" t="s">
        <v>2911</v>
      </c>
    </row>
    <row r="51" spans="1:16">
      <c r="A51" s="1" t="s">
        <v>3010</v>
      </c>
      <c r="B51" s="1" t="s">
        <v>393</v>
      </c>
      <c r="C51" s="1" t="s">
        <v>2894</v>
      </c>
      <c r="D51" s="1" t="s">
        <v>3011</v>
      </c>
      <c r="E51" s="1" t="s">
        <v>2910</v>
      </c>
      <c r="F51" s="4">
        <v>1089.15</v>
      </c>
      <c r="G51" s="4">
        <v>1051.53</v>
      </c>
      <c r="H51" s="4">
        <v>1044.41</v>
      </c>
      <c r="I51" s="4">
        <v>1040.83</v>
      </c>
      <c r="J51" s="4">
        <v>1035.98</v>
      </c>
      <c r="K51" s="5">
        <f>J51/I51-1</f>
        <v>-0.0046597427053408635</v>
      </c>
      <c r="L51" s="5">
        <f>J51/H51-1</f>
        <v>-0.008071542784921726</v>
      </c>
      <c r="M51" s="5">
        <f>J51/G51-1</f>
        <v>-0.014787975616482596</v>
      </c>
      <c r="N51" s="5">
        <f>J51/F51-1</f>
        <v>-0.0488178855070468</v>
      </c>
      <c r="O51" s="5">
        <f>K51/3</f>
        <v>-0.0015532475684469544</v>
      </c>
      <c r="P51" s="1" t="s">
        <v>2911</v>
      </c>
    </row>
    <row r="52" spans="1:16">
      <c r="A52" s="1" t="s">
        <v>3012</v>
      </c>
      <c r="B52" s="1" t="s">
        <v>567</v>
      </c>
      <c r="C52" s="1" t="s">
        <v>2894</v>
      </c>
      <c r="D52" s="1" t="s">
        <v>3013</v>
      </c>
      <c r="E52" s="1" t="s">
        <v>2922</v>
      </c>
      <c r="F52" s="4">
        <v>130.25</v>
      </c>
      <c r="G52" s="4">
        <v>125.51</v>
      </c>
      <c r="H52" s="4">
        <v>117.4</v>
      </c>
      <c r="I52" s="4">
        <v>114.98</v>
      </c>
      <c r="J52" s="4">
        <v>116.86</v>
      </c>
      <c r="K52" s="5">
        <f>J52/I52-1</f>
        <v>0.01635066968168375</v>
      </c>
      <c r="L52" s="5">
        <f>J52/H52-1</f>
        <v>-0.004599659284497459</v>
      </c>
      <c r="M52" s="5">
        <f>J52/G52-1</f>
        <v>-0.06891881125009969</v>
      </c>
      <c r="N52" s="5">
        <f>J52/F52-1</f>
        <v>-0.10280230326295581</v>
      </c>
      <c r="O52" s="5">
        <f>K52/3</f>
        <v>0.005450223227227917</v>
      </c>
      <c r="P52" s="1" t="s">
        <v>2911</v>
      </c>
    </row>
    <row r="53" spans="1:16">
      <c r="A53" s="1" t="s">
        <v>3014</v>
      </c>
      <c r="B53" s="1" t="s">
        <v>298</v>
      </c>
      <c r="C53" s="1" t="s">
        <v>2896</v>
      </c>
      <c r="D53" s="1" t="s">
        <v>3015</v>
      </c>
      <c r="E53" s="1" t="s">
        <v>2910</v>
      </c>
      <c r="F53" s="4">
        <v>179.7725</v>
      </c>
      <c r="G53" s="4">
        <v>211.22</v>
      </c>
      <c r="H53" s="4">
        <v>218.4</v>
      </c>
      <c r="I53" s="4">
        <v>214.97</v>
      </c>
      <c r="J53" s="4">
        <v>213.1</v>
      </c>
      <c r="K53" s="5">
        <f>J53/I53-1</f>
        <v>-0.00869888821696052</v>
      </c>
      <c r="L53" s="5">
        <f>J53/H53-1</f>
        <v>-0.024267399267399292</v>
      </c>
      <c r="M53" s="5">
        <f>J53/G53-1</f>
        <v>0.008900672284821498</v>
      </c>
      <c r="N53" s="5">
        <f>J53/F53-1</f>
        <v>0.1853870864564935</v>
      </c>
      <c r="O53" s="5">
        <f>K53/5</f>
        <v>-0.0017397776433921042</v>
      </c>
      <c r="P53" s="1" t="s">
        <v>2911</v>
      </c>
    </row>
    <row r="54" spans="1:16">
      <c r="A54" s="1" t="s">
        <v>3016</v>
      </c>
      <c r="B54" s="1" t="s">
        <v>772</v>
      </c>
      <c r="C54" s="1" t="s">
        <v>2896</v>
      </c>
      <c r="D54" s="1" t="s">
        <v>3017</v>
      </c>
      <c r="E54" s="1" t="s">
        <v>2910</v>
      </c>
      <c r="F54" s="4">
        <v>279.25</v>
      </c>
      <c r="G54" s="4">
        <v>366.34</v>
      </c>
      <c r="H54" s="4">
        <v>371.59</v>
      </c>
      <c r="I54" s="4">
        <v>331.94</v>
      </c>
      <c r="J54" s="4">
        <v>333.26</v>
      </c>
      <c r="K54" s="5">
        <f>J54/I54-1</f>
        <v>0.003976622281135045</v>
      </c>
      <c r="L54" s="5">
        <f>J54/H54-1</f>
        <v>-0.10315132269436744</v>
      </c>
      <c r="M54" s="5">
        <f>J54/G54-1</f>
        <v>-0.09029862968826774</v>
      </c>
      <c r="N54" s="5">
        <f>J54/F54-1</f>
        <v>0.1934109221128022</v>
      </c>
      <c r="O54" s="5">
        <f>K54/5</f>
        <v>0.000795324456227009</v>
      </c>
      <c r="P54" s="1" t="s">
        <v>2911</v>
      </c>
    </row>
    <row r="55" spans="1:16">
      <c r="A55" s="1" t="s">
        <v>3018</v>
      </c>
      <c r="B55" s="1" t="s">
        <v>460</v>
      </c>
      <c r="C55" s="1" t="s">
        <v>2896</v>
      </c>
      <c r="D55" s="1" t="s">
        <v>3019</v>
      </c>
      <c r="E55" s="1" t="s">
        <v>2910</v>
      </c>
      <c r="F55" s="4">
        <v>149.67</v>
      </c>
      <c r="G55" s="4">
        <v>168.29</v>
      </c>
      <c r="H55" s="4">
        <v>166</v>
      </c>
      <c r="I55" s="4">
        <v>156.36</v>
      </c>
      <c r="J55" s="4">
        <v>156.29</v>
      </c>
      <c r="K55" s="5">
        <f>J55/I55-1</f>
        <v>-0.0004476848298798908</v>
      </c>
      <c r="L55" s="5">
        <f>J55/H55-1</f>
        <v>-0.05849397590361449</v>
      </c>
      <c r="M55" s="5">
        <f>J55/G55-1</f>
        <v>-0.07130548458018893</v>
      </c>
      <c r="N55" s="5">
        <f>J55/F55-1</f>
        <v>0.044230640742967786</v>
      </c>
      <c r="O55" s="5">
        <f>K55/5</f>
        <v>-8.953696597597815e-05</v>
      </c>
      <c r="P55" s="1" t="s">
        <v>2911</v>
      </c>
    </row>
    <row r="56" spans="1:16">
      <c r="A56" s="1" t="s">
        <v>3020</v>
      </c>
      <c r="B56" s="1" t="s">
        <v>90</v>
      </c>
      <c r="C56" s="1" t="s">
        <v>2896</v>
      </c>
      <c r="D56" s="1" t="s">
        <v>3021</v>
      </c>
      <c r="E56" s="1" t="s">
        <v>2922</v>
      </c>
      <c r="F56" s="4">
        <v>158.98</v>
      </c>
      <c r="G56" s="4">
        <v>123.35</v>
      </c>
      <c r="H56" s="4">
        <v>107.47</v>
      </c>
      <c r="I56" s="4">
        <v>106.5</v>
      </c>
      <c r="J56" s="4">
        <v>105.22</v>
      </c>
      <c r="K56" s="5">
        <f>J56/I56-1</f>
        <v>-0.012018779342722996</v>
      </c>
      <c r="L56" s="5">
        <f>J56/H56-1</f>
        <v>-0.020936075183772163</v>
      </c>
      <c r="M56" s="5">
        <f>J56/G56-1</f>
        <v>-0.1469801378192136</v>
      </c>
      <c r="N56" s="5">
        <f>J56/F56-1</f>
        <v>-0.33815574286073713</v>
      </c>
      <c r="O56" s="5">
        <f>K56/5</f>
        <v>-0.002403755868544599</v>
      </c>
      <c r="P56" s="1" t="s">
        <v>2911</v>
      </c>
    </row>
    <row r="57" spans="1:16">
      <c r="A57" s="1" t="s">
        <v>3022</v>
      </c>
      <c r="B57" s="1" t="s">
        <v>472</v>
      </c>
      <c r="C57" s="1" t="s">
        <v>2896</v>
      </c>
      <c r="D57" s="1" t="s">
        <v>3023</v>
      </c>
      <c r="E57" s="1" t="s">
        <v>2922</v>
      </c>
      <c r="F57" s="4">
        <v>26.52</v>
      </c>
      <c r="G57" s="4">
        <v>28.27</v>
      </c>
      <c r="H57" s="4">
        <v>31.02</v>
      </c>
      <c r="I57" s="4">
        <v>31.33</v>
      </c>
      <c r="J57" s="4">
        <v>30.65</v>
      </c>
      <c r="K57" s="5">
        <f>J57/I57-1</f>
        <v>-0.021704436642196012</v>
      </c>
      <c r="L57" s="5">
        <f>J57/H57-1</f>
        <v>-0.011927788523533267</v>
      </c>
      <c r="M57" s="5">
        <f>J57/G57-1</f>
        <v>0.08418818535550043</v>
      </c>
      <c r="N57" s="5">
        <f>J57/F57-1</f>
        <v>0.1557315233785821</v>
      </c>
      <c r="O57" s="5">
        <f>K57/5</f>
        <v>-0.004340887328439203</v>
      </c>
      <c r="P57" s="1" t="s">
        <v>2911</v>
      </c>
    </row>
    <row r="58" spans="1:16">
      <c r="A58" s="1" t="s">
        <v>3024</v>
      </c>
      <c r="B58" s="1" t="s">
        <v>800</v>
      </c>
      <c r="C58" s="1" t="s">
        <v>2898</v>
      </c>
      <c r="D58" s="1" t="s">
        <v>3025</v>
      </c>
      <c r="E58" s="1" t="s">
        <v>2910</v>
      </c>
      <c r="F58" s="4">
        <v>141.7</v>
      </c>
      <c r="G58" s="4">
        <v>162.66</v>
      </c>
      <c r="H58" s="4">
        <v>186.29</v>
      </c>
      <c r="I58" s="4">
        <v>182.53</v>
      </c>
      <c r="J58" s="4">
        <v>174.33</v>
      </c>
      <c r="K58" s="5">
        <f>J58/I58-1</f>
        <v>-0.0449241220621267</v>
      </c>
      <c r="L58" s="5">
        <f>J58/H58-1</f>
        <v>-0.0642009769713886</v>
      </c>
      <c r="M58" s="5">
        <f>J58/G58-1</f>
        <v>0.07174474363703442</v>
      </c>
      <c r="N58" s="5">
        <f>J58/F58-1</f>
        <v>0.23027522935779832</v>
      </c>
      <c r="O58" s="5">
        <f>K58/9</f>
        <v>-0.004991569118014078</v>
      </c>
      <c r="P58" s="1" t="s">
        <v>2911</v>
      </c>
    </row>
    <row r="59" spans="1:16">
      <c r="A59" s="1" t="s">
        <v>3026</v>
      </c>
      <c r="B59" s="1" t="s">
        <v>733</v>
      </c>
      <c r="C59" s="1" t="s">
        <v>2898</v>
      </c>
      <c r="D59" s="1" t="s">
        <v>3027</v>
      </c>
      <c r="E59" s="1" t="s">
        <v>2910</v>
      </c>
      <c r="F59" s="4">
        <v>119.36</v>
      </c>
      <c r="G59" s="4">
        <v>118.14</v>
      </c>
      <c r="H59" s="4">
        <v>144.71</v>
      </c>
      <c r="I59" s="4">
        <v>145.59</v>
      </c>
      <c r="J59" s="4">
        <v>141.26</v>
      </c>
      <c r="K59" s="5">
        <f>J59/I59-1</f>
        <v>-0.029741053643794313</v>
      </c>
      <c r="L59" s="5">
        <f>J59/H59-1</f>
        <v>-0.02384078501831255</v>
      </c>
      <c r="M59" s="5">
        <f>J59/G59-1</f>
        <v>0.19570001692906702</v>
      </c>
      <c r="N59" s="5">
        <f>J59/F59-1</f>
        <v>0.18347855227882026</v>
      </c>
      <c r="O59" s="5">
        <f>K59/9</f>
        <v>-0.0033045615159771457</v>
      </c>
      <c r="P59" s="1" t="s">
        <v>2911</v>
      </c>
    </row>
    <row r="60" spans="1:16">
      <c r="A60" s="1" t="s">
        <v>3028</v>
      </c>
      <c r="B60" s="1" t="s">
        <v>296</v>
      </c>
      <c r="C60" s="1" t="s">
        <v>2898</v>
      </c>
      <c r="D60" s="1" t="s">
        <v>3029</v>
      </c>
      <c r="E60" s="1" t="s">
        <v>2910</v>
      </c>
      <c r="F60" s="4">
        <v>188.75</v>
      </c>
      <c r="G60" s="4">
        <v>190.99</v>
      </c>
      <c r="H60" s="4">
        <v>256</v>
      </c>
      <c r="I60" s="4">
        <v>264.43</v>
      </c>
      <c r="J60" s="4">
        <v>259.23</v>
      </c>
      <c r="K60" s="5">
        <f>J60/I60-1</f>
        <v>-0.01966493968157923</v>
      </c>
      <c r="L60" s="5">
        <f>J60/H60-1</f>
        <v>0.012617187500000071</v>
      </c>
      <c r="M60" s="5">
        <f>J60/G60-1</f>
        <v>0.35729619351798525</v>
      </c>
      <c r="N60" s="5">
        <f>J60/F60-1</f>
        <v>0.37340397350993393</v>
      </c>
      <c r="O60" s="5">
        <f>K60/9</f>
        <v>-0.0021849932979532477</v>
      </c>
      <c r="P60" s="1" t="s">
        <v>2911</v>
      </c>
    </row>
    <row r="61" spans="1:16">
      <c r="A61" s="1" t="s">
        <v>3030</v>
      </c>
      <c r="B61" s="1" t="s">
        <v>60</v>
      </c>
      <c r="C61" s="1" t="s">
        <v>2898</v>
      </c>
      <c r="D61" s="1" t="s">
        <v>3031</v>
      </c>
      <c r="E61" s="1" t="s">
        <v>2910</v>
      </c>
      <c r="F61" s="4">
        <v>258.42</v>
      </c>
      <c r="G61" s="4">
        <v>257.49</v>
      </c>
      <c r="H61" s="4">
        <v>291.52</v>
      </c>
      <c r="I61" s="4">
        <v>285.75</v>
      </c>
      <c r="J61" s="4">
        <v>266.51</v>
      </c>
      <c r="K61" s="5">
        <f>J61/I61-1</f>
        <v>-0.06733158355205604</v>
      </c>
      <c r="L61" s="5">
        <f>J61/H61-1</f>
        <v>-0.08579171240395167</v>
      </c>
      <c r="M61" s="5">
        <f>J61/G61-1</f>
        <v>0.03503048662083952</v>
      </c>
      <c r="N61" s="5">
        <f>J61/F61-1</f>
        <v>0.031305626499496864</v>
      </c>
      <c r="O61" s="5">
        <f>K61/9</f>
        <v>-0.00748128706133956</v>
      </c>
      <c r="P61" s="1" t="s">
        <v>2911</v>
      </c>
    </row>
    <row r="62" spans="1:16">
      <c r="A62" s="1" t="s">
        <v>3032</v>
      </c>
      <c r="B62" s="1" t="s">
        <v>137</v>
      </c>
      <c r="C62" s="1" t="s">
        <v>2898</v>
      </c>
      <c r="D62" s="1" t="s">
        <v>3033</v>
      </c>
      <c r="E62" s="1" t="s">
        <v>2910</v>
      </c>
      <c r="F62" s="4">
        <v>558.87</v>
      </c>
      <c r="G62" s="4">
        <v>419.7</v>
      </c>
      <c r="H62" s="4">
        <v>317.76</v>
      </c>
      <c r="I62" s="4">
        <v>313.58</v>
      </c>
      <c r="J62" s="4">
        <v>320.56</v>
      </c>
      <c r="K62" s="5">
        <f>J62/I62-1</f>
        <v>0.022259072644939204</v>
      </c>
      <c r="L62" s="5">
        <f>J62/H62-1</f>
        <v>0.008811681772406876</v>
      </c>
      <c r="M62" s="5">
        <f>J62/G62-1</f>
        <v>-0.2362163450083392</v>
      </c>
      <c r="N62" s="5">
        <f>J62/F62-1</f>
        <v>-0.42641401399252066</v>
      </c>
      <c r="O62" s="5">
        <f>K62/9</f>
        <v>0.0024732302938821338</v>
      </c>
      <c r="P62" s="1" t="s">
        <v>2911</v>
      </c>
    </row>
    <row r="63" spans="1:16">
      <c r="A63" s="1" t="s">
        <v>3034</v>
      </c>
      <c r="B63" s="1" t="s">
        <v>557</v>
      </c>
      <c r="C63" s="1" t="s">
        <v>2898</v>
      </c>
      <c r="D63" s="1" t="s">
        <v>3035</v>
      </c>
      <c r="E63" s="1" t="s">
        <v>2922</v>
      </c>
      <c r="F63" s="4">
        <v>301.98</v>
      </c>
      <c r="G63" s="4">
        <v>323.6</v>
      </c>
      <c r="H63" s="4">
        <v>358.06</v>
      </c>
      <c r="I63" s="4">
        <v>344.3</v>
      </c>
      <c r="J63" s="4">
        <v>332.7</v>
      </c>
      <c r="K63" s="5">
        <f>J63/I63-1</f>
        <v>-0.03369154806854491</v>
      </c>
      <c r="L63" s="5">
        <f>J63/H63-1</f>
        <v>-0.0708261185276211</v>
      </c>
      <c r="M63" s="5">
        <f>J63/G63-1</f>
        <v>0.028121137206427615</v>
      </c>
      <c r="N63" s="5">
        <f>J63/F63-1</f>
        <v>0.10172859129743683</v>
      </c>
      <c r="O63" s="5">
        <f>K63/9</f>
        <v>-0.0037435053409494343</v>
      </c>
      <c r="P63" s="1" t="s">
        <v>2911</v>
      </c>
    </row>
    <row r="64" spans="1:16">
      <c r="A64" s="1" t="s">
        <v>3036</v>
      </c>
      <c r="B64" s="1" t="s">
        <v>1028</v>
      </c>
      <c r="C64" s="1" t="s">
        <v>2898</v>
      </c>
      <c r="D64" s="1" t="s">
        <v>3037</v>
      </c>
      <c r="E64" s="1" t="s">
        <v>2922</v>
      </c>
      <c r="F64" s="4">
        <v>147.91</v>
      </c>
      <c r="G64" s="4">
        <v>171.28</v>
      </c>
      <c r="H64" s="4">
        <v>204.72</v>
      </c>
      <c r="I64" s="4">
        <v>206.92</v>
      </c>
      <c r="J64" s="4">
        <v>195.79</v>
      </c>
      <c r="K64" s="5">
        <f>J64/I64-1</f>
        <v>-0.053788903924221865</v>
      </c>
      <c r="L64" s="5">
        <f>J64/H64-1</f>
        <v>-0.043620554904259534</v>
      </c>
      <c r="M64" s="5">
        <f>J64/G64-1</f>
        <v>0.14309901914992995</v>
      </c>
      <c r="N64" s="5">
        <f>J64/F64-1</f>
        <v>0.3237103644107904</v>
      </c>
      <c r="O64" s="5">
        <f>K64/9</f>
        <v>-0.005976544880469096</v>
      </c>
      <c r="P64" s="1" t="s">
        <v>2911</v>
      </c>
    </row>
    <row r="65" spans="1:16">
      <c r="A65" s="1" t="s">
        <v>3038</v>
      </c>
      <c r="B65" s="1" t="s">
        <v>326</v>
      </c>
      <c r="C65" s="1" t="s">
        <v>2898</v>
      </c>
      <c r="D65" s="1" t="s">
        <v>3039</v>
      </c>
      <c r="E65" s="1" t="s">
        <v>2922</v>
      </c>
      <c r="F65" s="4">
        <v>243.6</v>
      </c>
      <c r="G65" s="4">
        <v>288.15</v>
      </c>
      <c r="H65" s="4">
        <v>236.98</v>
      </c>
      <c r="I65" s="4">
        <v>214.76</v>
      </c>
      <c r="J65" s="4">
        <v>212.93</v>
      </c>
      <c r="K65" s="5">
        <f>J65/I65-1</f>
        <v>-0.008521139877072037</v>
      </c>
      <c r="L65" s="5">
        <f>J65/H65-1</f>
        <v>-0.10148535741412767</v>
      </c>
      <c r="M65" s="5">
        <f>J65/G65-1</f>
        <v>-0.26104459482908204</v>
      </c>
      <c r="N65" s="5">
        <f>J65/F65-1</f>
        <v>-0.12590311986863711</v>
      </c>
      <c r="O65" s="5">
        <f>K65/9</f>
        <v>-0.0009467933196746708</v>
      </c>
      <c r="P65" s="1" t="s">
        <v>2911</v>
      </c>
    </row>
    <row r="66" spans="1:16">
      <c r="A66" s="1" t="s">
        <v>3040</v>
      </c>
      <c r="B66" s="1" t="s">
        <v>57</v>
      </c>
      <c r="C66" s="1" t="s">
        <v>2898</v>
      </c>
      <c r="D66" s="1" t="s">
        <v>3041</v>
      </c>
      <c r="E66" s="1" t="s">
        <v>2922</v>
      </c>
      <c r="F66" s="4">
        <v>178.86</v>
      </c>
      <c r="G66" s="4">
        <v>170.43</v>
      </c>
      <c r="H66" s="4">
        <v>189.61</v>
      </c>
      <c r="I66" s="4">
        <v>193.12</v>
      </c>
      <c r="J66" s="4">
        <v>186.72</v>
      </c>
      <c r="K66" s="5">
        <f>J66/I66-1</f>
        <v>-0.03314001657000831</v>
      </c>
      <c r="L66" s="5">
        <f>J66/H66-1</f>
        <v>-0.015241812140709965</v>
      </c>
      <c r="M66" s="5">
        <f>J66/G66-1</f>
        <v>0.09558176377398331</v>
      </c>
      <c r="N66" s="5">
        <f>J66/F66-1</f>
        <v>0.04394498490439447</v>
      </c>
      <c r="O66" s="5">
        <f>K66/9</f>
        <v>-0.003682224063334257</v>
      </c>
      <c r="P66" s="1" t="s">
        <v>2911</v>
      </c>
    </row>
    <row r="67" spans="1:16">
      <c r="A67" s="1" t="s">
        <v>3042</v>
      </c>
      <c r="B67" s="1" t="s">
        <v>832</v>
      </c>
      <c r="C67" s="1" t="s">
        <v>2897</v>
      </c>
      <c r="D67" s="1" t="s">
        <v>3043</v>
      </c>
      <c r="E67" s="1" t="s">
        <v>2910</v>
      </c>
      <c r="F67" s="4">
        <v>242.57</v>
      </c>
      <c r="G67" s="4">
        <v>162.67</v>
      </c>
      <c r="H67" s="4">
        <v>164.19</v>
      </c>
      <c r="I67" s="4">
        <v>168.57</v>
      </c>
      <c r="J67" s="4">
        <v>168.74</v>
      </c>
      <c r="K67" s="5">
        <f>J67/I67-1</f>
        <v>0.0010084831227383795</v>
      </c>
      <c r="L67" s="5">
        <f>J67/H67-1</f>
        <v>0.027711797307997</v>
      </c>
      <c r="M67" s="5">
        <f>J67/G67-1</f>
        <v>0.03731480912276397</v>
      </c>
      <c r="N67" s="5">
        <f>J67/F67-1</f>
        <v>-0.3043657500927567</v>
      </c>
      <c r="O67" s="5">
        <f>K67/8</f>
        <v>0.00012606039034229743</v>
      </c>
      <c r="P67" s="1" t="s">
        <v>2911</v>
      </c>
    </row>
    <row r="68" spans="1:16">
      <c r="A68" s="1" t="s">
        <v>3044</v>
      </c>
      <c r="B68" s="1" t="s">
        <v>956</v>
      </c>
      <c r="C68" s="1" t="s">
        <v>2897</v>
      </c>
      <c r="D68" s="1" t="s">
        <v>3045</v>
      </c>
      <c r="E68" s="1" t="s">
        <v>2910</v>
      </c>
      <c r="F68" s="4">
        <v>418.45</v>
      </c>
      <c r="G68" s="4">
        <v>327.35</v>
      </c>
      <c r="H68" s="4">
        <v>348.75</v>
      </c>
      <c r="I68" s="4">
        <v>376.365</v>
      </c>
      <c r="J68" s="4">
        <v>354.08</v>
      </c>
      <c r="K68" s="5">
        <f>J68/I68-1</f>
        <v>-0.05921113812389578</v>
      </c>
      <c r="L68" s="5">
        <f>J68/H68-1</f>
        <v>0.015283154121863651</v>
      </c>
      <c r="M68" s="5">
        <f>J68/G68-1</f>
        <v>0.08165572017718037</v>
      </c>
      <c r="N68" s="5">
        <f>J68/F68-1</f>
        <v>-0.15382960927231448</v>
      </c>
      <c r="O68" s="5">
        <f>K68/8</f>
        <v>-0.007401392265486972</v>
      </c>
      <c r="P68" s="1" t="s">
        <v>2911</v>
      </c>
    </row>
    <row r="69" spans="1:16">
      <c r="A69" s="1" t="s">
        <v>3046</v>
      </c>
      <c r="B69" s="1" t="s">
        <v>156</v>
      </c>
      <c r="C69" s="1" t="s">
        <v>2897</v>
      </c>
      <c r="D69" s="1" t="s">
        <v>3047</v>
      </c>
      <c r="E69" s="1" t="s">
        <v>2910</v>
      </c>
      <c r="F69" s="4">
        <v>513.2</v>
      </c>
      <c r="G69" s="4">
        <v>607.2</v>
      </c>
      <c r="H69" s="4">
        <v>600.73</v>
      </c>
      <c r="I69" s="4">
        <v>538.15</v>
      </c>
      <c r="J69" s="4">
        <v>515.67</v>
      </c>
      <c r="K69" s="5">
        <f>J69/I69-1</f>
        <v>-0.041772739942395276</v>
      </c>
      <c r="L69" s="5">
        <f>J69/H69-1</f>
        <v>-0.14159439348792313</v>
      </c>
      <c r="M69" s="5">
        <f>J69/G69-1</f>
        <v>-0.1507411067193677</v>
      </c>
      <c r="N69" s="5">
        <f>J69/F69-1</f>
        <v>0.00481293842556485</v>
      </c>
      <c r="O69" s="5">
        <f>K69/8</f>
        <v>-0.0052215924927994095</v>
      </c>
      <c r="P69" s="1" t="s">
        <v>2911</v>
      </c>
    </row>
    <row r="70" spans="1:16">
      <c r="A70" s="1" t="s">
        <v>3048</v>
      </c>
      <c r="B70" s="1" t="s">
        <v>40</v>
      </c>
      <c r="C70" s="1" t="s">
        <v>2897</v>
      </c>
      <c r="D70" s="1" t="s">
        <v>3049</v>
      </c>
      <c r="E70" s="1" t="s">
        <v>2922</v>
      </c>
      <c r="F70" s="4">
        <v>311.23</v>
      </c>
      <c r="G70" s="4">
        <v>309.38</v>
      </c>
      <c r="H70" s="4">
        <v>319.7</v>
      </c>
      <c r="I70" s="4">
        <v>328.21</v>
      </c>
      <c r="J70" s="4">
        <v>319.97</v>
      </c>
      <c r="K70" s="5">
        <f>J70/I70-1</f>
        <v>-0.02510587733463321</v>
      </c>
      <c r="L70" s="5">
        <f>J70/H70-1</f>
        <v>0.0008445417578981651</v>
      </c>
      <c r="M70" s="5">
        <f>J70/G70-1</f>
        <v>0.034229749822225264</v>
      </c>
      <c r="N70" s="5">
        <f>J70/F70-1</f>
        <v>0.028082125759084864</v>
      </c>
      <c r="O70" s="5">
        <f>K70/8</f>
        <v>-0.003138234666829151</v>
      </c>
      <c r="P70" s="1" t="s">
        <v>2911</v>
      </c>
    </row>
    <row r="71" spans="1:16">
      <c r="A71" s="1" t="s">
        <v>3050</v>
      </c>
      <c r="B71" s="1" t="s">
        <v>752</v>
      </c>
      <c r="C71" s="1" t="s">
        <v>2897</v>
      </c>
      <c r="D71" s="1" t="s">
        <v>3051</v>
      </c>
      <c r="E71" s="1" t="s">
        <v>2922</v>
      </c>
      <c r="F71" s="4">
        <v>322.22</v>
      </c>
      <c r="G71" s="4">
        <v>237.6</v>
      </c>
      <c r="H71" s="4">
        <v>223.58</v>
      </c>
      <c r="I71" s="4">
        <v>224.99</v>
      </c>
      <c r="J71" s="4">
        <v>227.835</v>
      </c>
      <c r="K71" s="5">
        <f>J71/I71-1</f>
        <v>0.012645006444730766</v>
      </c>
      <c r="L71" s="5">
        <f>J71/H71-1</f>
        <v>0.019031219250380094</v>
      </c>
      <c r="M71" s="5">
        <f>J71/G71-1</f>
        <v>-0.04109848484848477</v>
      </c>
      <c r="N71" s="5">
        <f>J71/F71-1</f>
        <v>-0.2929209856619701</v>
      </c>
      <c r="O71" s="5">
        <f>K71/8</f>
        <v>0.0015806258055913458</v>
      </c>
      <c r="P71" s="1" t="s">
        <v>2911</v>
      </c>
    </row>
    <row r="72" spans="1:16">
      <c r="A72" s="1" t="s">
        <v>3052</v>
      </c>
      <c r="B72" s="1" t="s">
        <v>62</v>
      </c>
      <c r="C72" s="1" t="s">
        <v>2897</v>
      </c>
      <c r="D72" s="1" t="s">
        <v>3053</v>
      </c>
      <c r="E72" s="1" t="s">
        <v>2922</v>
      </c>
      <c r="F72" s="4">
        <v>428.76</v>
      </c>
      <c r="G72" s="4">
        <v>380.29</v>
      </c>
      <c r="H72" s="4">
        <v>361.78</v>
      </c>
      <c r="I72" s="4">
        <v>356.5</v>
      </c>
      <c r="J72" s="4">
        <v>362.25</v>
      </c>
      <c r="K72" s="5">
        <f>J72/I72-1</f>
        <v>0.016129032258064502</v>
      </c>
      <c r="L72" s="5">
        <f>J72/H72-1</f>
        <v>0.0012991320692135044</v>
      </c>
      <c r="M72" s="5">
        <f>J72/G72-1</f>
        <v>-0.04743748192169139</v>
      </c>
      <c r="N72" s="5">
        <f>J72/F72-1</f>
        <v>-0.15512174643157006</v>
      </c>
      <c r="O72" s="5">
        <f>K72/8</f>
        <v>0.0020161290322580627</v>
      </c>
      <c r="P72" s="1" t="s">
        <v>2911</v>
      </c>
    </row>
    <row r="73" spans="1:16">
      <c r="A73" s="1" t="s">
        <v>3054</v>
      </c>
      <c r="B73" s="1" t="s">
        <v>762</v>
      </c>
      <c r="C73" s="1" t="s">
        <v>2897</v>
      </c>
      <c r="D73" s="1" t="s">
        <v>3055</v>
      </c>
      <c r="E73" s="1" t="s">
        <v>2922</v>
      </c>
      <c r="F73" s="4">
        <v>131.82</v>
      </c>
      <c r="G73" s="4">
        <v>80.78</v>
      </c>
      <c r="H73" s="4">
        <v>72.61</v>
      </c>
      <c r="I73" s="4">
        <v>73.65000000000001</v>
      </c>
      <c r="J73" s="4">
        <v>74.38</v>
      </c>
      <c r="K73" s="5">
        <f>J73/I73-1</f>
        <v>0.009911744738628547</v>
      </c>
      <c r="L73" s="5">
        <f>J73/H73-1</f>
        <v>0.024376807602258577</v>
      </c>
      <c r="M73" s="5">
        <f>J73/G73-1</f>
        <v>-0.07922753156721973</v>
      </c>
      <c r="N73" s="5">
        <f>J73/F73-1</f>
        <v>-0.4357457138522227</v>
      </c>
      <c r="O73" s="5">
        <f>K73/8</f>
        <v>0.0012389680923285684</v>
      </c>
      <c r="P73" s="1" t="s">
        <v>2911</v>
      </c>
    </row>
    <row r="74" spans="1:16">
      <c r="A74" s="1" t="s">
        <v>3056</v>
      </c>
      <c r="B74" s="1" t="s">
        <v>850</v>
      </c>
      <c r="C74" s="1" t="s">
        <v>2897</v>
      </c>
      <c r="D74" s="1" t="s">
        <v>3057</v>
      </c>
      <c r="E74" s="1" t="s">
        <v>2922</v>
      </c>
      <c r="F74" s="4">
        <v>462.24</v>
      </c>
      <c r="G74" s="4">
        <v>445.23</v>
      </c>
      <c r="H74" s="4">
        <v>430.86</v>
      </c>
      <c r="I74" s="4">
        <v>428.28</v>
      </c>
      <c r="J74" s="4">
        <v>433.81</v>
      </c>
      <c r="K74" s="5">
        <f>J74/I74-1</f>
        <v>0.012912113570561434</v>
      </c>
      <c r="L74" s="5">
        <f>J74/H74-1</f>
        <v>0.006846771573132848</v>
      </c>
      <c r="M74" s="5">
        <f>J74/G74-1</f>
        <v>-0.025649664218493795</v>
      </c>
      <c r="N74" s="5">
        <f>J74/F74-1</f>
        <v>-0.06150484596746275</v>
      </c>
      <c r="O74" s="5">
        <f>K74/8</f>
        <v>0.0016140141963201793</v>
      </c>
      <c r="P74" s="1" t="s">
        <v>2911</v>
      </c>
    </row>
  </sheetData>
  <autoFilter ref="A1:P74"/>
  <conditionalFormatting sqref="K2:K74">
    <cfRule type="colorScale" priority="1">
      <colorScale>
        <cfvo type="min" val="0"/>
        <cfvo type="num" val="0"/>
        <cfvo type="max" val="0"/>
        <color rgb="FFF6C7CE"/>
        <color rgb="FFFFFFFF"/>
        <color rgb="FFB9E5D1"/>
      </colorScale>
    </cfRule>
  </conditionalFormatting>
  <conditionalFormatting sqref="L2:L74">
    <cfRule type="colorScale" priority="2">
      <colorScale>
        <cfvo type="min" val="0"/>
        <cfvo type="num" val="0"/>
        <cfvo type="max" val="0"/>
        <color rgb="FFF6C7CE"/>
        <color rgb="FFFFFFFF"/>
        <color rgb="FFB9E5D1"/>
      </colorScale>
    </cfRule>
  </conditionalFormatting>
  <conditionalFormatting sqref="M2:M74">
    <cfRule type="colorScale" priority="3">
      <colorScale>
        <cfvo type="min" val="0"/>
        <cfvo type="num" val="0"/>
        <cfvo type="max" val="0"/>
        <color rgb="FFF6C7CE"/>
        <color rgb="FFFFFFFF"/>
        <color rgb="FFB9E5D1"/>
      </colorScale>
    </cfRule>
  </conditionalFormatting>
  <conditionalFormatting sqref="N2:N74">
    <cfRule type="colorScale" priority="4">
      <colorScale>
        <cfvo type="min" val="0"/>
        <cfvo type="num" val="0"/>
        <cfvo type="max" val="0"/>
        <color rgb="FFF6C7CE"/>
        <color rgb="FFFFFFFF"/>
        <color rgb="FFB9E5D1"/>
      </colorScale>
    </cfRule>
  </conditionalFormatting>
  <conditionalFormatting sqref="O2:O74">
    <cfRule type="colorScale" priority="5">
      <colorScale>
        <cfvo type="min" val="0"/>
        <cfvo type="num" val="0"/>
        <cfvo type="max" val="0"/>
        <color rgb="FFF6C7CE"/>
        <color rgb="FFFFFFFF"/>
        <color rgb="FFB9E5D1"/>
      </colorScale>
    </cfRule>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M66"/>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3" width="15.7109375" style="1" customWidth="1"/>
  </cols>
  <sheetData>
    <row r="1" spans="1:13" ht="30" customHeight="1">
      <c r="A1" s="3" t="s">
        <v>3058</v>
      </c>
      <c r="B1" s="3" t="s">
        <v>2887</v>
      </c>
      <c r="C1" s="3" t="s">
        <v>2888</v>
      </c>
      <c r="D1" s="3" t="s">
        <v>2889</v>
      </c>
      <c r="E1" s="3" t="s">
        <v>2890</v>
      </c>
      <c r="F1" s="3" t="s">
        <v>2891</v>
      </c>
      <c r="G1" s="3" t="s">
        <v>2892</v>
      </c>
      <c r="H1" s="3" t="s">
        <v>2893</v>
      </c>
      <c r="I1" s="3" t="s">
        <v>2894</v>
      </c>
      <c r="J1" s="3" t="s">
        <v>2895</v>
      </c>
      <c r="K1" s="3" t="s">
        <v>2896</v>
      </c>
      <c r="L1" s="3" t="s">
        <v>2897</v>
      </c>
      <c r="M1" s="3" t="s">
        <v>2898</v>
      </c>
    </row>
    <row r="2" spans="1:13">
      <c r="A2" s="1" t="s">
        <v>3059</v>
      </c>
      <c r="B2" s="4">
        <v>100</v>
      </c>
      <c r="C2" s="4">
        <v>100</v>
      </c>
      <c r="D2" s="4">
        <v>100</v>
      </c>
      <c r="E2" s="4">
        <v>100</v>
      </c>
      <c r="F2" s="4">
        <v>100</v>
      </c>
      <c r="G2" s="4">
        <v>100</v>
      </c>
      <c r="H2" s="4">
        <v>100</v>
      </c>
      <c r="I2" s="4">
        <v>100</v>
      </c>
      <c r="J2" s="4">
        <v>100</v>
      </c>
      <c r="K2" s="4">
        <v>100</v>
      </c>
      <c r="L2" s="4">
        <v>100</v>
      </c>
      <c r="M2" s="4">
        <v>100</v>
      </c>
    </row>
    <row r="3" spans="1:13">
      <c r="A3" s="1" t="s">
        <v>3060</v>
      </c>
      <c r="B3" s="4">
        <v>96.65201856369404</v>
      </c>
      <c r="C3" s="4">
        <v>89.0525023823074</v>
      </c>
      <c r="D3" s="4">
        <v>91.78249331632932</v>
      </c>
      <c r="E3" s="4">
        <v>91.36789321042976</v>
      </c>
      <c r="F3" s="4">
        <v>90.7222896355391</v>
      </c>
      <c r="G3" s="4">
        <v>96.64018041604866</v>
      </c>
      <c r="H3" s="4">
        <v>96.55021074356421</v>
      </c>
      <c r="I3" s="4">
        <v>97.98106133763453</v>
      </c>
      <c r="J3" s="4">
        <v>95.43229226828163</v>
      </c>
      <c r="K3" s="4">
        <v>96.08432250869909</v>
      </c>
      <c r="L3" s="4">
        <v>93.37461250049306</v>
      </c>
      <c r="M3" s="4">
        <v>97.42222473698131</v>
      </c>
    </row>
    <row r="4" spans="1:13">
      <c r="A4" s="1" t="s">
        <v>3061</v>
      </c>
      <c r="B4" s="4">
        <v>95.35171135937981</v>
      </c>
      <c r="C4" s="4">
        <v>94.85994741450207</v>
      </c>
      <c r="D4" s="4">
        <v>94.29398286126212</v>
      </c>
      <c r="E4" s="4">
        <v>93.64165685638086</v>
      </c>
      <c r="F4" s="4">
        <v>96.20086498498789</v>
      </c>
      <c r="G4" s="4">
        <v>97.27560568882124</v>
      </c>
      <c r="H4" s="4">
        <v>96.88122641911768</v>
      </c>
      <c r="I4" s="4">
        <v>96.31563369238182</v>
      </c>
      <c r="J4" s="4">
        <v>94.39940609100806</v>
      </c>
      <c r="K4" s="4">
        <v>93.8462981310885</v>
      </c>
      <c r="L4" s="4">
        <v>94.1961311711149</v>
      </c>
      <c r="M4" s="4">
        <v>97.2676935948723</v>
      </c>
    </row>
    <row r="5" spans="1:13">
      <c r="A5" s="1" t="s">
        <v>3062</v>
      </c>
      <c r="B5" s="4">
        <v>95.88881369277674</v>
      </c>
      <c r="C5" s="4">
        <v>92.52220824550091</v>
      </c>
      <c r="D5" s="4">
        <v>91.51848534156132</v>
      </c>
      <c r="E5" s="4">
        <v>87.62697871505124</v>
      </c>
      <c r="F5" s="4">
        <v>96.15391892738081</v>
      </c>
      <c r="G5" s="4">
        <v>98.07126200273696</v>
      </c>
      <c r="H5" s="4">
        <v>96.59413122268361</v>
      </c>
      <c r="I5" s="4">
        <v>97.40431721301989</v>
      </c>
      <c r="J5" s="4">
        <v>93.40168989382674</v>
      </c>
      <c r="K5" s="4">
        <v>91.24871074035327</v>
      </c>
      <c r="L5" s="4">
        <v>92.00758442735652</v>
      </c>
      <c r="M5" s="4">
        <v>93.73217205074202</v>
      </c>
    </row>
    <row r="6" spans="1:13">
      <c r="A6" s="1" t="s">
        <v>3063</v>
      </c>
      <c r="B6" s="4">
        <v>90.73268679719469</v>
      </c>
      <c r="C6" s="4">
        <v>88.76499489478272</v>
      </c>
      <c r="D6" s="4">
        <v>85.76374362083595</v>
      </c>
      <c r="E6" s="4">
        <v>87.27074435788934</v>
      </c>
      <c r="F6" s="4">
        <v>94.45490647335545</v>
      </c>
      <c r="G6" s="4">
        <v>93.3078674169397</v>
      </c>
      <c r="H6" s="4">
        <v>90.72851750601717</v>
      </c>
      <c r="I6" s="4">
        <v>95.3011812422433</v>
      </c>
      <c r="J6" s="4">
        <v>91.44250603558176</v>
      </c>
      <c r="K6" s="4">
        <v>90.28795172883696</v>
      </c>
      <c r="L6" s="4">
        <v>88.71084971112082</v>
      </c>
      <c r="M6" s="4">
        <v>91.77076724288403</v>
      </c>
    </row>
    <row r="7" spans="1:13">
      <c r="A7" s="1" t="s">
        <v>3064</v>
      </c>
      <c r="B7" s="4">
        <v>93.75924091154724</v>
      </c>
      <c r="C7" s="4">
        <v>95.58446789499888</v>
      </c>
      <c r="D7" s="4">
        <v>91.73279066308551</v>
      </c>
      <c r="E7" s="4">
        <v>90.14543476287223</v>
      </c>
      <c r="F7" s="4">
        <v>101.5726366784106</v>
      </c>
      <c r="G7" s="4">
        <v>96.53361338673011</v>
      </c>
      <c r="H7" s="4">
        <v>95.76776716309183</v>
      </c>
      <c r="I7" s="4">
        <v>96.2776540165455</v>
      </c>
      <c r="J7" s="4">
        <v>90.22929399587358</v>
      </c>
      <c r="K7" s="4">
        <v>93.27837818800107</v>
      </c>
      <c r="L7" s="4">
        <v>92.25629909189635</v>
      </c>
      <c r="M7" s="4">
        <v>89.69149761153777</v>
      </c>
    </row>
    <row r="8" spans="1:13">
      <c r="A8" s="1" t="s">
        <v>3065</v>
      </c>
      <c r="B8" s="4">
        <v>95.44967592577424</v>
      </c>
      <c r="C8" s="4">
        <v>96.66691718754403</v>
      </c>
      <c r="D8" s="4">
        <v>93.71190300695029</v>
      </c>
      <c r="E8" s="4">
        <v>92.38995905071177</v>
      </c>
      <c r="F8" s="4">
        <v>104.0918439868656</v>
      </c>
      <c r="G8" s="4">
        <v>97.49128240620263</v>
      </c>
      <c r="H8" s="4">
        <v>97.9552694110307</v>
      </c>
      <c r="I8" s="4">
        <v>97.43687744784569</v>
      </c>
      <c r="J8" s="4">
        <v>89.96196162286265</v>
      </c>
      <c r="K8" s="4">
        <v>93.65093981982356</v>
      </c>
      <c r="L8" s="4">
        <v>93.04637015361179</v>
      </c>
      <c r="M8" s="4">
        <v>89.03262293193089</v>
      </c>
    </row>
    <row r="9" spans="1:13">
      <c r="A9" s="1" t="s">
        <v>3066</v>
      </c>
      <c r="B9" s="4">
        <v>98.959051403712</v>
      </c>
      <c r="C9" s="4">
        <v>102.506357872621</v>
      </c>
      <c r="D9" s="4">
        <v>97.71491017323109</v>
      </c>
      <c r="E9" s="4">
        <v>95.91955525527858</v>
      </c>
      <c r="F9" s="4">
        <v>107.537899405806</v>
      </c>
      <c r="G9" s="4">
        <v>100.1922262516863</v>
      </c>
      <c r="H9" s="4">
        <v>100.7792497645792</v>
      </c>
      <c r="I9" s="4">
        <v>97.57764836948058</v>
      </c>
      <c r="J9" s="4">
        <v>92.38003885988581</v>
      </c>
      <c r="K9" s="4">
        <v>94.83376244971571</v>
      </c>
      <c r="L9" s="4">
        <v>95.63842224034093</v>
      </c>
      <c r="M9" s="4">
        <v>90.19982714686638</v>
      </c>
    </row>
    <row r="10" spans="1:13">
      <c r="A10" s="1" t="s">
        <v>3067</v>
      </c>
      <c r="B10" s="4">
        <v>101.1931580371279</v>
      </c>
      <c r="C10" s="4">
        <v>95.51316436985618</v>
      </c>
      <c r="D10" s="4">
        <v>96.37018594776306</v>
      </c>
      <c r="E10" s="4">
        <v>91.1392322437849</v>
      </c>
      <c r="F10" s="4">
        <v>103.2696597452391</v>
      </c>
      <c r="G10" s="4">
        <v>100.0764889459175</v>
      </c>
      <c r="H10" s="4">
        <v>99.58893335460108</v>
      </c>
      <c r="I10" s="4">
        <v>99.9769851230117</v>
      </c>
      <c r="J10" s="4">
        <v>92.26341779162262</v>
      </c>
      <c r="K10" s="4">
        <v>93.70094987253209</v>
      </c>
      <c r="L10" s="4">
        <v>93.51647853297877</v>
      </c>
      <c r="M10" s="4">
        <v>89.2625525059639</v>
      </c>
    </row>
    <row r="11" spans="1:13">
      <c r="A11" s="1" t="s">
        <v>3068</v>
      </c>
      <c r="B11" s="4">
        <v>101.143139465089</v>
      </c>
      <c r="C11" s="4">
        <v>96.90148938822048</v>
      </c>
      <c r="D11" s="4">
        <v>96.15882869833175</v>
      </c>
      <c r="E11" s="4">
        <v>90.37940099946631</v>
      </c>
      <c r="F11" s="4">
        <v>104.90187890421</v>
      </c>
      <c r="G11" s="4">
        <v>101.5757027379346</v>
      </c>
      <c r="H11" s="4">
        <v>99.40416674101526</v>
      </c>
      <c r="I11" s="4">
        <v>98.47975221145734</v>
      </c>
      <c r="J11" s="4">
        <v>89.05152443873922</v>
      </c>
      <c r="K11" s="4">
        <v>92.45589438268195</v>
      </c>
      <c r="L11" s="4">
        <v>91.81384607692303</v>
      </c>
      <c r="M11" s="4">
        <v>85.30006116836884</v>
      </c>
    </row>
    <row r="12" spans="1:13">
      <c r="A12" s="1" t="s">
        <v>3069</v>
      </c>
      <c r="B12" s="4">
        <v>103.8045684512847</v>
      </c>
      <c r="C12" s="4">
        <v>103.4206817059085</v>
      </c>
      <c r="D12" s="4">
        <v>99.21118280843766</v>
      </c>
      <c r="E12" s="4">
        <v>92.55951112360114</v>
      </c>
      <c r="F12" s="4">
        <v>108.7563620225541</v>
      </c>
      <c r="G12" s="4">
        <v>104.9171066258398</v>
      </c>
      <c r="H12" s="4">
        <v>99.79542883709757</v>
      </c>
      <c r="I12" s="4">
        <v>99.40362235707401</v>
      </c>
      <c r="J12" s="4">
        <v>89.23822299089107</v>
      </c>
      <c r="K12" s="4">
        <v>92.72449504786771</v>
      </c>
      <c r="L12" s="4">
        <v>95.12755936483937</v>
      </c>
      <c r="M12" s="4">
        <v>82.34505692343131</v>
      </c>
    </row>
    <row r="13" spans="1:13">
      <c r="A13" s="1" t="s">
        <v>3070</v>
      </c>
      <c r="B13" s="4">
        <v>105.718197113981</v>
      </c>
      <c r="C13" s="4">
        <v>104.380652354043</v>
      </c>
      <c r="D13" s="4">
        <v>102.5828684944409</v>
      </c>
      <c r="E13" s="4">
        <v>97.81699084294428</v>
      </c>
      <c r="F13" s="4">
        <v>112.2873917307849</v>
      </c>
      <c r="G13" s="4">
        <v>107.8396803793641</v>
      </c>
      <c r="H13" s="4">
        <v>104.5497861397991</v>
      </c>
      <c r="I13" s="4">
        <v>102.4701816611128</v>
      </c>
      <c r="J13" s="4">
        <v>86.41562224159391</v>
      </c>
      <c r="K13" s="4">
        <v>90.94861913510046</v>
      </c>
      <c r="L13" s="4">
        <v>96.38474499630679</v>
      </c>
      <c r="M13" s="4">
        <v>80.47956384914934</v>
      </c>
    </row>
    <row r="14" spans="1:13">
      <c r="A14" s="1" t="s">
        <v>3071</v>
      </c>
      <c r="B14" s="4">
        <v>103.7010321781703</v>
      </c>
      <c r="C14" s="4">
        <v>97.06728328458534</v>
      </c>
      <c r="D14" s="4">
        <v>98.71604176579349</v>
      </c>
      <c r="E14" s="4">
        <v>92.47046553581589</v>
      </c>
      <c r="F14" s="4">
        <v>105.1242427672945</v>
      </c>
      <c r="G14" s="4">
        <v>101.4528214818153</v>
      </c>
      <c r="H14" s="4">
        <v>98.881540923825</v>
      </c>
      <c r="I14" s="4">
        <v>102.6863943195576</v>
      </c>
      <c r="J14" s="4">
        <v>86.47877962856757</v>
      </c>
      <c r="K14" s="4">
        <v>91.7760494171532</v>
      </c>
      <c r="L14" s="4">
        <v>91.51231947178211</v>
      </c>
      <c r="M14" s="4">
        <v>81.11812905609943</v>
      </c>
    </row>
    <row r="15" spans="1:13">
      <c r="A15" s="1" t="s">
        <v>3072</v>
      </c>
      <c r="B15" s="4">
        <v>104.6528338889749</v>
      </c>
      <c r="C15" s="4">
        <v>96.94596987929778</v>
      </c>
      <c r="D15" s="4">
        <v>97.08533892357275</v>
      </c>
      <c r="E15" s="4">
        <v>94.03066796623872</v>
      </c>
      <c r="F15" s="4">
        <v>105.1726946224153</v>
      </c>
      <c r="G15" s="4">
        <v>102.9973675567667</v>
      </c>
      <c r="H15" s="4">
        <v>100.0002645501544</v>
      </c>
      <c r="I15" s="4">
        <v>101.0614657458895</v>
      </c>
      <c r="J15" s="4">
        <v>85.23709602528925</v>
      </c>
      <c r="K15" s="4">
        <v>91.04597383375928</v>
      </c>
      <c r="L15" s="4">
        <v>91.44485123102625</v>
      </c>
      <c r="M15" s="4">
        <v>81.16690676470346</v>
      </c>
    </row>
    <row r="16" spans="1:13">
      <c r="A16" s="1" t="s">
        <v>3073</v>
      </c>
      <c r="B16" s="4">
        <v>106.9980445283523</v>
      </c>
      <c r="C16" s="4">
        <v>99.51542783736875</v>
      </c>
      <c r="D16" s="4">
        <v>99.78659873248409</v>
      </c>
      <c r="E16" s="4">
        <v>97.64610092685099</v>
      </c>
      <c r="F16" s="4">
        <v>111.4274605929407</v>
      </c>
      <c r="G16" s="4">
        <v>106.1523176350562</v>
      </c>
      <c r="H16" s="4">
        <v>102.4794998245246</v>
      </c>
      <c r="I16" s="4">
        <v>100.8541321544217</v>
      </c>
      <c r="J16" s="4">
        <v>83.1532808214948</v>
      </c>
      <c r="K16" s="4">
        <v>91.08337917626301</v>
      </c>
      <c r="L16" s="4">
        <v>91.94497413815824</v>
      </c>
      <c r="M16" s="4">
        <v>78.71642492603864</v>
      </c>
    </row>
    <row r="17" spans="1:13">
      <c r="A17" s="1" t="s">
        <v>3074</v>
      </c>
      <c r="B17" s="4">
        <v>106.0137672530624</v>
      </c>
      <c r="C17" s="4">
        <v>95.06162075308006</v>
      </c>
      <c r="D17" s="4">
        <v>92.8279270346268</v>
      </c>
      <c r="E17" s="4">
        <v>93.57557283904937</v>
      </c>
      <c r="F17" s="4">
        <v>107.5505691601507</v>
      </c>
      <c r="G17" s="4">
        <v>101.4332709194567</v>
      </c>
      <c r="H17" s="4">
        <v>95.69715189247187</v>
      </c>
      <c r="I17" s="4">
        <v>101.4200007086497</v>
      </c>
      <c r="J17" s="4">
        <v>84.58435733115206</v>
      </c>
      <c r="K17" s="4">
        <v>93.50423872916349</v>
      </c>
      <c r="L17" s="4">
        <v>87.62994148277332</v>
      </c>
      <c r="M17" s="4">
        <v>83.74986787105192</v>
      </c>
    </row>
    <row r="18" spans="1:13">
      <c r="A18" s="1" t="s">
        <v>3075</v>
      </c>
      <c r="B18" s="4">
        <v>105.0856203952277</v>
      </c>
      <c r="C18" s="4">
        <v>97.04487085847514</v>
      </c>
      <c r="D18" s="4">
        <v>95.79842771774692</v>
      </c>
      <c r="E18" s="4">
        <v>98.27691952313731</v>
      </c>
      <c r="F18" s="4">
        <v>113.724397712608</v>
      </c>
      <c r="G18" s="4">
        <v>102.7680899461665</v>
      </c>
      <c r="H18" s="4">
        <v>99.20668661985552</v>
      </c>
      <c r="I18" s="4">
        <v>100.1757135863497</v>
      </c>
      <c r="J18" s="4">
        <v>86.12272630456249</v>
      </c>
      <c r="K18" s="4">
        <v>97.3671069895927</v>
      </c>
      <c r="L18" s="4">
        <v>89.58439043554351</v>
      </c>
      <c r="M18" s="4">
        <v>84.64175972539358</v>
      </c>
    </row>
    <row r="19" spans="1:13">
      <c r="A19" s="1" t="s">
        <v>3076</v>
      </c>
      <c r="B19" s="4">
        <v>102.0810650077682</v>
      </c>
      <c r="C19" s="4">
        <v>101.3523704584441</v>
      </c>
      <c r="D19" s="4">
        <v>98.23664934787371</v>
      </c>
      <c r="E19" s="4">
        <v>99.46573514426383</v>
      </c>
      <c r="F19" s="4">
        <v>118.0460810475218</v>
      </c>
      <c r="G19" s="4">
        <v>106.8517370244572</v>
      </c>
      <c r="H19" s="4">
        <v>100.6579952307421</v>
      </c>
      <c r="I19" s="4">
        <v>95.99166511587435</v>
      </c>
      <c r="J19" s="4">
        <v>86.40522597679598</v>
      </c>
      <c r="K19" s="4">
        <v>98.83890214003978</v>
      </c>
      <c r="L19" s="4">
        <v>92.30089764370088</v>
      </c>
      <c r="M19" s="4">
        <v>84.97093187758985</v>
      </c>
    </row>
    <row r="20" spans="1:13">
      <c r="A20" s="1" t="s">
        <v>3077</v>
      </c>
      <c r="B20" s="4">
        <v>98.0561121443311</v>
      </c>
      <c r="C20" s="4">
        <v>95.22637941899156</v>
      </c>
      <c r="D20" s="4">
        <v>94.01329412350756</v>
      </c>
      <c r="E20" s="4">
        <v>93.69089557229037</v>
      </c>
      <c r="F20" s="4">
        <v>110.0600438916082</v>
      </c>
      <c r="G20" s="4">
        <v>103.1910377799315</v>
      </c>
      <c r="H20" s="4">
        <v>96.31309247042131</v>
      </c>
      <c r="I20" s="4">
        <v>93.41052590716242</v>
      </c>
      <c r="J20" s="4">
        <v>88.32637804507731</v>
      </c>
      <c r="K20" s="4">
        <v>100.4819994614807</v>
      </c>
      <c r="L20" s="4">
        <v>92.54855543522274</v>
      </c>
      <c r="M20" s="4">
        <v>89.38168204080755</v>
      </c>
    </row>
    <row r="21" spans="1:13">
      <c r="A21" s="1" t="s">
        <v>3078</v>
      </c>
      <c r="B21" s="4">
        <v>97.03411074029111</v>
      </c>
      <c r="C21" s="4">
        <v>90.88458077504195</v>
      </c>
      <c r="D21" s="4">
        <v>86.6176149942153</v>
      </c>
      <c r="E21" s="4">
        <v>86.54125660671234</v>
      </c>
      <c r="F21" s="4">
        <v>101.3070687757359</v>
      </c>
      <c r="G21" s="4">
        <v>100.7990320423503</v>
      </c>
      <c r="H21" s="4">
        <v>91.92487475136403</v>
      </c>
      <c r="I21" s="4">
        <v>91.31014628126867</v>
      </c>
      <c r="J21" s="4">
        <v>87.78737562190169</v>
      </c>
      <c r="K21" s="4">
        <v>100.4875591142559</v>
      </c>
      <c r="L21" s="4">
        <v>90.66561020936201</v>
      </c>
      <c r="M21" s="4">
        <v>90.65361250099104</v>
      </c>
    </row>
    <row r="22" spans="1:13">
      <c r="A22" s="1" t="s">
        <v>3079</v>
      </c>
      <c r="B22" s="4">
        <v>100.2700721366387</v>
      </c>
      <c r="C22" s="4">
        <v>93.39213799836028</v>
      </c>
      <c r="D22" s="4">
        <v>89.35476884591561</v>
      </c>
      <c r="E22" s="4">
        <v>88.30610555951773</v>
      </c>
      <c r="F22" s="4">
        <v>101.5948808663326</v>
      </c>
      <c r="G22" s="4">
        <v>103.4329557179483</v>
      </c>
      <c r="H22" s="4">
        <v>93.59746261559275</v>
      </c>
      <c r="I22" s="4">
        <v>91.08117040002841</v>
      </c>
      <c r="J22" s="4">
        <v>89.30887433132698</v>
      </c>
      <c r="K22" s="4">
        <v>102.2475634610842</v>
      </c>
      <c r="L22" s="4">
        <v>94.05657328486049</v>
      </c>
      <c r="M22" s="4">
        <v>91.12833188224172</v>
      </c>
    </row>
    <row r="23" spans="1:13">
      <c r="A23" s="1" t="s">
        <v>3080</v>
      </c>
      <c r="B23" s="4">
        <v>98.4048434787063</v>
      </c>
      <c r="C23" s="4">
        <v>88.86811638766144</v>
      </c>
      <c r="D23" s="4">
        <v>86.3733263402595</v>
      </c>
      <c r="E23" s="4">
        <v>84.62962448009283</v>
      </c>
      <c r="F23" s="4">
        <v>96.06257761622616</v>
      </c>
      <c r="G23" s="4">
        <v>99.87360745659747</v>
      </c>
      <c r="H23" s="4">
        <v>90.14274719697146</v>
      </c>
      <c r="I23" s="4">
        <v>91.8587952763849</v>
      </c>
      <c r="J23" s="4">
        <v>90.00777847670557</v>
      </c>
      <c r="K23" s="4">
        <v>100.5597422687575</v>
      </c>
      <c r="L23" s="4">
        <v>92.23899437434716</v>
      </c>
      <c r="M23" s="4">
        <v>92.82544576342985</v>
      </c>
    </row>
    <row r="24" spans="1:13">
      <c r="A24" s="1" t="s">
        <v>3081</v>
      </c>
      <c r="B24" s="4">
        <v>98.74539523817778</v>
      </c>
      <c r="C24" s="4">
        <v>90.58193027625425</v>
      </c>
      <c r="D24" s="4">
        <v>89.26772476558838</v>
      </c>
      <c r="E24" s="4">
        <v>87.05848950052115</v>
      </c>
      <c r="F24" s="4">
        <v>97.66364752769304</v>
      </c>
      <c r="G24" s="4">
        <v>100.0077976012833</v>
      </c>
      <c r="H24" s="4">
        <v>90.62943050271198</v>
      </c>
      <c r="I24" s="4">
        <v>91.81884251332229</v>
      </c>
      <c r="J24" s="4">
        <v>88.82163787015567</v>
      </c>
      <c r="K24" s="4">
        <v>100.3849002771577</v>
      </c>
      <c r="L24" s="4">
        <v>92.4356986278613</v>
      </c>
      <c r="M24" s="4">
        <v>91.13125161891848</v>
      </c>
    </row>
    <row r="25" spans="1:13">
      <c r="A25" s="1" t="s">
        <v>3082</v>
      </c>
      <c r="B25" s="4">
        <v>100.9727538919968</v>
      </c>
      <c r="C25" s="4">
        <v>93.72010782942745</v>
      </c>
      <c r="D25" s="4">
        <v>93.38790396439454</v>
      </c>
      <c r="E25" s="4">
        <v>91.36476321252503</v>
      </c>
      <c r="F25" s="4">
        <v>101.1410015289525</v>
      </c>
      <c r="G25" s="4">
        <v>100.9604540211236</v>
      </c>
      <c r="H25" s="4">
        <v>93.00956208903419</v>
      </c>
      <c r="I25" s="4">
        <v>93.97985338855864</v>
      </c>
      <c r="J25" s="4">
        <v>89.7032200724916</v>
      </c>
      <c r="K25" s="4">
        <v>103.7667022115858</v>
      </c>
      <c r="L25" s="4">
        <v>93.96528695495407</v>
      </c>
      <c r="M25" s="4">
        <v>91.30993768713728</v>
      </c>
    </row>
    <row r="26" spans="1:13">
      <c r="A26" s="1" t="s">
        <v>3083</v>
      </c>
      <c r="B26" s="4">
        <v>101.2317713227156</v>
      </c>
      <c r="C26" s="4">
        <v>93.38888589402077</v>
      </c>
      <c r="D26" s="4">
        <v>93.03203906244767</v>
      </c>
      <c r="E26" s="4">
        <v>91.95396759004355</v>
      </c>
      <c r="F26" s="4">
        <v>101.4055166122029</v>
      </c>
      <c r="G26" s="4">
        <v>101.9644846210457</v>
      </c>
      <c r="H26" s="4">
        <v>92.05831582793172</v>
      </c>
      <c r="I26" s="4">
        <v>95.19539291174189</v>
      </c>
      <c r="J26" s="4">
        <v>89.68817710840959</v>
      </c>
      <c r="K26" s="4">
        <v>100.4465207933412</v>
      </c>
      <c r="L26" s="4">
        <v>93.53689472843304</v>
      </c>
      <c r="M26" s="4">
        <v>90.25352779999874</v>
      </c>
    </row>
    <row r="27" spans="1:13">
      <c r="A27" s="1" t="s">
        <v>3084</v>
      </c>
      <c r="B27" s="4">
        <v>101.6796099619616</v>
      </c>
      <c r="C27" s="4">
        <v>88.79415573421146</v>
      </c>
      <c r="D27" s="4">
        <v>88.93925102541675</v>
      </c>
      <c r="E27" s="4">
        <v>88.62943950819057</v>
      </c>
      <c r="F27" s="4">
        <v>97.39662260933494</v>
      </c>
      <c r="G27" s="4">
        <v>100.1133976568603</v>
      </c>
      <c r="H27" s="4">
        <v>90.42269628211211</v>
      </c>
      <c r="I27" s="4">
        <v>94.62944696178413</v>
      </c>
      <c r="J27" s="4">
        <v>88.73421952048967</v>
      </c>
      <c r="K27" s="4">
        <v>101.217216740171</v>
      </c>
      <c r="L27" s="4">
        <v>90.71999157308721</v>
      </c>
      <c r="M27" s="4">
        <v>91.68634382286606</v>
      </c>
    </row>
    <row r="28" spans="1:13">
      <c r="A28" s="1" t="s">
        <v>3085</v>
      </c>
      <c r="B28" s="4">
        <v>101.3238916402646</v>
      </c>
      <c r="C28" s="4">
        <v>92.11953093900472</v>
      </c>
      <c r="D28" s="4">
        <v>91.95939998112982</v>
      </c>
      <c r="E28" s="4">
        <v>89.9520265668226</v>
      </c>
      <c r="F28" s="4">
        <v>99.59107360124085</v>
      </c>
      <c r="G28" s="4">
        <v>101.4615962209007</v>
      </c>
      <c r="H28" s="4">
        <v>92.22363563196519</v>
      </c>
      <c r="I28" s="4">
        <v>93.36624756292177</v>
      </c>
      <c r="J28" s="4">
        <v>84.7737907191769</v>
      </c>
      <c r="K28" s="4">
        <v>106.3185807770988</v>
      </c>
      <c r="L28" s="4">
        <v>91.38795464235726</v>
      </c>
      <c r="M28" s="4">
        <v>90.38259061314912</v>
      </c>
    </row>
    <row r="29" spans="1:13">
      <c r="A29" s="1" t="s">
        <v>3086</v>
      </c>
      <c r="B29" s="4">
        <v>101.8172653062497</v>
      </c>
      <c r="C29" s="4">
        <v>89.05977043315315</v>
      </c>
      <c r="D29" s="4">
        <v>86.6802887758604</v>
      </c>
      <c r="E29" s="4">
        <v>84.67930025389262</v>
      </c>
      <c r="F29" s="4">
        <v>97.42317035222294</v>
      </c>
      <c r="G29" s="4">
        <v>100.5914163078156</v>
      </c>
      <c r="H29" s="4">
        <v>90.79664589648041</v>
      </c>
      <c r="I29" s="4">
        <v>94.08802541483969</v>
      </c>
      <c r="J29" s="4">
        <v>86.59506126403323</v>
      </c>
      <c r="K29" s="4">
        <v>104.5668141378533</v>
      </c>
      <c r="L29" s="4">
        <v>91.07752792522868</v>
      </c>
      <c r="M29" s="4">
        <v>90.59467516042936</v>
      </c>
    </row>
    <row r="30" spans="1:13">
      <c r="A30" s="1" t="s">
        <v>3087</v>
      </c>
      <c r="B30" s="4">
        <v>98.09086682993137</v>
      </c>
      <c r="C30" s="4">
        <v>84.42537160033496</v>
      </c>
      <c r="D30" s="4">
        <v>80.7943011298965</v>
      </c>
      <c r="E30" s="4">
        <v>79.9248107051785</v>
      </c>
      <c r="F30" s="4">
        <v>94.27840768961143</v>
      </c>
      <c r="G30" s="4">
        <v>99.1432133031834</v>
      </c>
      <c r="H30" s="4">
        <v>88.21394196648727</v>
      </c>
      <c r="I30" s="4">
        <v>92.76297345231626</v>
      </c>
      <c r="J30" s="4">
        <v>85.14637443444998</v>
      </c>
      <c r="K30" s="4">
        <v>104.0200862102532</v>
      </c>
      <c r="L30" s="4">
        <v>89.6996175929354</v>
      </c>
      <c r="M30" s="4">
        <v>92.27055740292151</v>
      </c>
    </row>
    <row r="31" spans="1:13">
      <c r="A31" s="1" t="s">
        <v>3088</v>
      </c>
      <c r="B31" s="4">
        <v>97.89208311398718</v>
      </c>
      <c r="C31" s="4">
        <v>83.69863305746834</v>
      </c>
      <c r="D31" s="4">
        <v>81.13360136707145</v>
      </c>
      <c r="E31" s="4">
        <v>79.92678707302603</v>
      </c>
      <c r="F31" s="4">
        <v>89.83343592308775</v>
      </c>
      <c r="G31" s="4">
        <v>99.184706742552</v>
      </c>
      <c r="H31" s="4">
        <v>87.75296409232548</v>
      </c>
      <c r="I31" s="4">
        <v>93.69459011934053</v>
      </c>
      <c r="J31" s="4">
        <v>83.8721940742798</v>
      </c>
      <c r="K31" s="4">
        <v>104.367366051048</v>
      </c>
      <c r="L31" s="4">
        <v>88.26628713638748</v>
      </c>
      <c r="M31" s="4">
        <v>91.38403228487549</v>
      </c>
    </row>
    <row r="32" spans="1:13">
      <c r="A32" s="1" t="s">
        <v>3089</v>
      </c>
      <c r="B32" s="4">
        <v>98.9424207698996</v>
      </c>
      <c r="C32" s="4">
        <v>85.18770057746067</v>
      </c>
      <c r="D32" s="4">
        <v>81.07569701780884</v>
      </c>
      <c r="E32" s="4">
        <v>80.83197135492554</v>
      </c>
      <c r="F32" s="4">
        <v>89.34151869628232</v>
      </c>
      <c r="G32" s="4">
        <v>98.9995417441494</v>
      </c>
      <c r="H32" s="4">
        <v>88.60147910825893</v>
      </c>
      <c r="I32" s="4">
        <v>94.1413288324736</v>
      </c>
      <c r="J32" s="4">
        <v>84.00131610662154</v>
      </c>
      <c r="K32" s="4">
        <v>103.6108715087866</v>
      </c>
      <c r="L32" s="4">
        <v>87.76357699758375</v>
      </c>
      <c r="M32" s="4">
        <v>92.3160678399577</v>
      </c>
    </row>
    <row r="33" spans="1:13">
      <c r="A33" s="1" t="s">
        <v>3090</v>
      </c>
      <c r="B33" s="4">
        <v>101.2405174119518</v>
      </c>
      <c r="C33" s="4">
        <v>90.52867163103613</v>
      </c>
      <c r="D33" s="4">
        <v>87.28698293370677</v>
      </c>
      <c r="E33" s="4">
        <v>86.08222411374749</v>
      </c>
      <c r="F33" s="4">
        <v>94.77444017435889</v>
      </c>
      <c r="G33" s="4">
        <v>99.75228332976738</v>
      </c>
      <c r="H33" s="4">
        <v>90.61403030708234</v>
      </c>
      <c r="I33" s="4">
        <v>95.34815154748055</v>
      </c>
      <c r="J33" s="4">
        <v>83.95960823815705</v>
      </c>
      <c r="K33" s="4">
        <v>102.0262761958449</v>
      </c>
      <c r="L33" s="4">
        <v>89.1934554034125</v>
      </c>
      <c r="M33" s="4">
        <v>90.27858013829362</v>
      </c>
    </row>
    <row r="34" spans="1:13">
      <c r="A34" s="1" t="s">
        <v>3091</v>
      </c>
      <c r="B34" s="4">
        <v>105.9381123758511</v>
      </c>
      <c r="C34" s="4">
        <v>91.1912163746708</v>
      </c>
      <c r="D34" s="4">
        <v>90.78776406471893</v>
      </c>
      <c r="E34" s="4">
        <v>84.60401105730236</v>
      </c>
      <c r="F34" s="4">
        <v>93.12732918730261</v>
      </c>
      <c r="G34" s="4">
        <v>98.89774013441838</v>
      </c>
      <c r="H34" s="4">
        <v>90.89569302695833</v>
      </c>
      <c r="I34" s="4">
        <v>94.94943409572463</v>
      </c>
      <c r="J34" s="4">
        <v>82.53295587158843</v>
      </c>
      <c r="K34" s="4">
        <v>100.4176334061788</v>
      </c>
      <c r="L34" s="4">
        <v>89.03488668440612</v>
      </c>
      <c r="M34" s="4">
        <v>86.61361010535686</v>
      </c>
    </row>
    <row r="35" spans="1:13">
      <c r="A35" s="1" t="s">
        <v>3092</v>
      </c>
      <c r="B35" s="4">
        <v>107.2617575818266</v>
      </c>
      <c r="C35" s="4">
        <v>90.54648878031399</v>
      </c>
      <c r="D35" s="4">
        <v>91.07631002717508</v>
      </c>
      <c r="E35" s="4">
        <v>85.47814095057342</v>
      </c>
      <c r="F35" s="4">
        <v>93.40249431317692</v>
      </c>
      <c r="G35" s="4">
        <v>100.8016723904181</v>
      </c>
      <c r="H35" s="4">
        <v>92.63458054043019</v>
      </c>
      <c r="I35" s="4">
        <v>95.27256582737191</v>
      </c>
      <c r="J35" s="4">
        <v>79.57719358407627</v>
      </c>
      <c r="K35" s="4">
        <v>97.33188193431086</v>
      </c>
      <c r="L35" s="4">
        <v>86.54302144169111</v>
      </c>
      <c r="M35" s="4">
        <v>84.64015753040997</v>
      </c>
    </row>
    <row r="36" spans="1:13">
      <c r="A36" s="1" t="s">
        <v>3093</v>
      </c>
      <c r="B36" s="4">
        <v>105.4246201156364</v>
      </c>
      <c r="C36" s="4">
        <v>86.21011532180422</v>
      </c>
      <c r="D36" s="4">
        <v>87.36236540344261</v>
      </c>
      <c r="E36" s="4">
        <v>81.39705194228597</v>
      </c>
      <c r="F36" s="4">
        <v>90.18111371039844</v>
      </c>
      <c r="G36" s="4">
        <v>99.46322746663394</v>
      </c>
      <c r="H36" s="4">
        <v>88.69666947543422</v>
      </c>
      <c r="I36" s="4">
        <v>101.2843756293124</v>
      </c>
      <c r="J36" s="4">
        <v>79.26619153947287</v>
      </c>
      <c r="K36" s="4">
        <v>97.57982736004155</v>
      </c>
      <c r="L36" s="4">
        <v>85.75319163523777</v>
      </c>
      <c r="M36" s="4">
        <v>87.81823507927685</v>
      </c>
    </row>
    <row r="37" spans="1:13">
      <c r="A37" s="1" t="s">
        <v>3094</v>
      </c>
      <c r="B37" s="4">
        <v>102.3835803377058</v>
      </c>
      <c r="C37" s="4">
        <v>84.36350039650905</v>
      </c>
      <c r="D37" s="4">
        <v>85.14692125246926</v>
      </c>
      <c r="E37" s="4">
        <v>78.97373143208769</v>
      </c>
      <c r="F37" s="4">
        <v>89.00131040068835</v>
      </c>
      <c r="G37" s="4">
        <v>99.39386256421973</v>
      </c>
      <c r="H37" s="4">
        <v>88.29641828599786</v>
      </c>
      <c r="I37" s="4">
        <v>99.20788992360612</v>
      </c>
      <c r="J37" s="4">
        <v>80.42683464535034</v>
      </c>
      <c r="K37" s="4">
        <v>97.10704444186142</v>
      </c>
      <c r="L37" s="4">
        <v>86.7415734914152</v>
      </c>
      <c r="M37" s="4">
        <v>92.62463583068265</v>
      </c>
    </row>
    <row r="38" spans="1:13">
      <c r="A38" s="1" t="s">
        <v>3095</v>
      </c>
      <c r="B38" s="4">
        <v>97.02793646507295</v>
      </c>
      <c r="C38" s="4">
        <v>80.11669740467454</v>
      </c>
      <c r="D38" s="4">
        <v>80.40133477744457</v>
      </c>
      <c r="E38" s="4">
        <v>74.01505198234962</v>
      </c>
      <c r="F38" s="4">
        <v>85.25067491583576</v>
      </c>
      <c r="G38" s="4">
        <v>94.93401526514077</v>
      </c>
      <c r="H38" s="4">
        <v>83.5478348843736</v>
      </c>
      <c r="I38" s="4">
        <v>98.05924676175131</v>
      </c>
      <c r="J38" s="4">
        <v>81.53084383150033</v>
      </c>
      <c r="K38" s="4">
        <v>97.51388429796175</v>
      </c>
      <c r="L38" s="4">
        <v>85.81309302056206</v>
      </c>
      <c r="M38" s="4">
        <v>95.41508287438363</v>
      </c>
    </row>
    <row r="39" spans="1:13">
      <c r="A39" s="1" t="s">
        <v>3096</v>
      </c>
      <c r="B39" s="4">
        <v>94.68228821500914</v>
      </c>
      <c r="C39" s="4">
        <v>76.01448871802386</v>
      </c>
      <c r="D39" s="4">
        <v>76.98158956160964</v>
      </c>
      <c r="E39" s="4">
        <v>69.91318843952628</v>
      </c>
      <c r="F39" s="4">
        <v>80.69025704854872</v>
      </c>
      <c r="G39" s="4">
        <v>89.03227286671645</v>
      </c>
      <c r="H39" s="4">
        <v>79.12260643644336</v>
      </c>
      <c r="I39" s="4">
        <v>95.07831276976796</v>
      </c>
      <c r="J39" s="4">
        <v>80.81175985412285</v>
      </c>
      <c r="K39" s="4">
        <v>96.6503030725214</v>
      </c>
      <c r="L39" s="4">
        <v>82.55155200563904</v>
      </c>
      <c r="M39" s="4">
        <v>98.74014451796886</v>
      </c>
    </row>
    <row r="40" spans="1:13">
      <c r="A40" s="1" t="s">
        <v>3097</v>
      </c>
      <c r="B40" s="4">
        <v>99.12714156428792</v>
      </c>
      <c r="C40" s="4">
        <v>83.35609949987612</v>
      </c>
      <c r="D40" s="4">
        <v>84.91681890203604</v>
      </c>
      <c r="E40" s="4">
        <v>76.68323658148391</v>
      </c>
      <c r="F40" s="4">
        <v>87.81573673973706</v>
      </c>
      <c r="G40" s="4">
        <v>92.20440711695298</v>
      </c>
      <c r="H40" s="4">
        <v>91.85494702218007</v>
      </c>
      <c r="I40" s="4">
        <v>98.1852951039107</v>
      </c>
      <c r="J40" s="4">
        <v>83.07668667808811</v>
      </c>
      <c r="K40" s="4">
        <v>99.02213731839579</v>
      </c>
      <c r="L40" s="4">
        <v>83.85243934898273</v>
      </c>
      <c r="M40" s="4">
        <v>95.49053116702044</v>
      </c>
    </row>
    <row r="41" spans="1:13">
      <c r="A41" s="1" t="s">
        <v>3098</v>
      </c>
      <c r="B41" s="4">
        <v>99.00891611123515</v>
      </c>
      <c r="C41" s="4">
        <v>83.96841725640785</v>
      </c>
      <c r="D41" s="4">
        <v>85.68797870806759</v>
      </c>
      <c r="E41" s="4">
        <v>79.20272164736183</v>
      </c>
      <c r="F41" s="4">
        <v>89.00944388592472</v>
      </c>
      <c r="G41" s="4">
        <v>94.84617049375542</v>
      </c>
      <c r="H41" s="4">
        <v>92.67729745256435</v>
      </c>
      <c r="I41" s="4">
        <v>95.9023265441557</v>
      </c>
      <c r="J41" s="4">
        <v>87.37265532352674</v>
      </c>
      <c r="K41" s="4">
        <v>101.3528646727126</v>
      </c>
      <c r="L41" s="4">
        <v>82.2072716113839</v>
      </c>
      <c r="M41" s="4">
        <v>96.08055623457072</v>
      </c>
    </row>
    <row r="42" spans="1:13">
      <c r="A42" s="1" t="s">
        <v>3099</v>
      </c>
      <c r="B42" s="4">
        <v>103.1388105635292</v>
      </c>
      <c r="C42" s="4">
        <v>84.53641741292107</v>
      </c>
      <c r="D42" s="4">
        <v>87.42237717077207</v>
      </c>
      <c r="E42" s="4">
        <v>83.28857040361233</v>
      </c>
      <c r="F42" s="4">
        <v>89.27346438352393</v>
      </c>
      <c r="G42" s="4">
        <v>97.58755268378185</v>
      </c>
      <c r="H42" s="4">
        <v>94.78316624832601</v>
      </c>
      <c r="I42" s="4">
        <v>97.2015015150716</v>
      </c>
      <c r="J42" s="4">
        <v>91.86242280663747</v>
      </c>
      <c r="K42" s="4">
        <v>104.6925610079053</v>
      </c>
      <c r="L42" s="4">
        <v>83.08465815681262</v>
      </c>
      <c r="M42" s="4">
        <v>97.62357178073633</v>
      </c>
    </row>
    <row r="43" spans="1:13">
      <c r="A43" s="1" t="s">
        <v>3100</v>
      </c>
      <c r="B43" s="4">
        <v>94.20457976562726</v>
      </c>
      <c r="C43" s="4">
        <v>90.18113580670405</v>
      </c>
      <c r="D43" s="4">
        <v>93.17697318474519</v>
      </c>
      <c r="E43" s="4">
        <v>89.34598067007779</v>
      </c>
      <c r="F43" s="4">
        <v>94.47248839175374</v>
      </c>
      <c r="G43" s="4">
        <v>100.6685740855435</v>
      </c>
      <c r="H43" s="4">
        <v>95.56020889557283</v>
      </c>
      <c r="I43" s="4">
        <v>98.65840365427844</v>
      </c>
      <c r="J43" s="4">
        <v>92.79659748891294</v>
      </c>
      <c r="K43" s="4">
        <v>108.446287064548</v>
      </c>
      <c r="L43" s="4">
        <v>85.21169825623299</v>
      </c>
      <c r="M43" s="4">
        <v>103.5841649413933</v>
      </c>
    </row>
    <row r="44" spans="1:13">
      <c r="A44" s="1" t="s">
        <v>3101</v>
      </c>
      <c r="B44" s="4">
        <v>94.36334295825972</v>
      </c>
      <c r="C44" s="4">
        <v>89.40734547866363</v>
      </c>
      <c r="D44" s="4">
        <v>90.9375544919094</v>
      </c>
      <c r="E44" s="4">
        <v>89.26740623408078</v>
      </c>
      <c r="F44" s="4">
        <v>92.55551333345942</v>
      </c>
      <c r="G44" s="4">
        <v>101.7843767831194</v>
      </c>
      <c r="H44" s="4">
        <v>94.49165765716103</v>
      </c>
      <c r="I44" s="4">
        <v>99.40532511258486</v>
      </c>
      <c r="J44" s="4">
        <v>91.66867061176269</v>
      </c>
      <c r="K44" s="4">
        <v>107.117205690931</v>
      </c>
      <c r="L44" s="4">
        <v>84.02540817356447</v>
      </c>
      <c r="M44" s="4">
        <v>103.2772143472314</v>
      </c>
    </row>
    <row r="45" spans="1:13">
      <c r="A45" s="1" t="s">
        <v>3102</v>
      </c>
      <c r="B45" s="4">
        <v>93.62769943849004</v>
      </c>
      <c r="C45" s="4">
        <v>89.43000052653107</v>
      </c>
      <c r="D45" s="4">
        <v>88.61598439073666</v>
      </c>
      <c r="E45" s="4">
        <v>89.16073976116871</v>
      </c>
      <c r="F45" s="4">
        <v>92.39323049019414</v>
      </c>
      <c r="G45" s="4">
        <v>100.8617141898044</v>
      </c>
      <c r="H45" s="4">
        <v>92.84267454962153</v>
      </c>
      <c r="I45" s="4">
        <v>97.55017242894807</v>
      </c>
      <c r="J45" s="4">
        <v>91.60890170374626</v>
      </c>
      <c r="K45" s="4">
        <v>105.6162527322517</v>
      </c>
      <c r="L45" s="4">
        <v>82.71741276824443</v>
      </c>
      <c r="M45" s="4">
        <v>98.12833969647794</v>
      </c>
    </row>
    <row r="46" spans="1:13">
      <c r="A46" s="1" t="s">
        <v>3103</v>
      </c>
      <c r="B46" s="4">
        <v>94.26279607546648</v>
      </c>
      <c r="C46" s="4">
        <v>90.85843300304887</v>
      </c>
      <c r="D46" s="4">
        <v>88.20756760286487</v>
      </c>
      <c r="E46" s="4">
        <v>92.98834017968323</v>
      </c>
      <c r="F46" s="4">
        <v>93.59809698282869</v>
      </c>
      <c r="G46" s="4">
        <v>100.6692934474137</v>
      </c>
      <c r="H46" s="4">
        <v>93.00915869208463</v>
      </c>
      <c r="I46" s="4">
        <v>97.227350944527</v>
      </c>
      <c r="J46" s="4">
        <v>92.27668325205676</v>
      </c>
      <c r="K46" s="4">
        <v>105.9041622181299</v>
      </c>
      <c r="L46" s="4">
        <v>85.53978104270203</v>
      </c>
      <c r="M46" s="4">
        <v>102.1009083979913</v>
      </c>
    </row>
    <row r="47" spans="1:13">
      <c r="A47" s="1" t="s">
        <v>3104</v>
      </c>
      <c r="B47" s="4">
        <v>95.04269754038951</v>
      </c>
      <c r="C47" s="4">
        <v>88.38904278301283</v>
      </c>
      <c r="D47" s="4">
        <v>89.03687928251236</v>
      </c>
      <c r="E47" s="4">
        <v>88.15795817213947</v>
      </c>
      <c r="F47" s="4">
        <v>91.35167770578636</v>
      </c>
      <c r="G47" s="4">
        <v>99.75262684379059</v>
      </c>
      <c r="H47" s="4">
        <v>91.85365614658826</v>
      </c>
      <c r="I47" s="4">
        <v>96.94258080027477</v>
      </c>
      <c r="J47" s="4">
        <v>93.23738620581994</v>
      </c>
      <c r="K47" s="4">
        <v>110.2538398912429</v>
      </c>
      <c r="L47" s="4">
        <v>84.78430247817285</v>
      </c>
      <c r="M47" s="4">
        <v>104.9759267170705</v>
      </c>
    </row>
    <row r="48" spans="1:13">
      <c r="A48" s="1" t="s">
        <v>3105</v>
      </c>
      <c r="B48" s="4">
        <v>96.66073399328798</v>
      </c>
      <c r="C48" s="4">
        <v>88.87922939522286</v>
      </c>
      <c r="D48" s="4">
        <v>89.95669998564863</v>
      </c>
      <c r="E48" s="4">
        <v>88.79620909068854</v>
      </c>
      <c r="F48" s="4">
        <v>92.68663263550958</v>
      </c>
      <c r="G48" s="4">
        <v>102.1798744408083</v>
      </c>
      <c r="H48" s="4">
        <v>92.83034894379557</v>
      </c>
      <c r="I48" s="4">
        <v>96.74039060342606</v>
      </c>
      <c r="J48" s="4">
        <v>91.9221710910965</v>
      </c>
      <c r="K48" s="4">
        <v>109.1575494353585</v>
      </c>
      <c r="L48" s="4">
        <v>86.11022733631884</v>
      </c>
      <c r="M48" s="4">
        <v>103.2307395942463</v>
      </c>
    </row>
    <row r="49" spans="1:13">
      <c r="A49" s="1" t="s">
        <v>3106</v>
      </c>
      <c r="B49" s="4">
        <v>97.32308336289782</v>
      </c>
      <c r="C49" s="4">
        <v>91.03242734536008</v>
      </c>
      <c r="D49" s="4">
        <v>95.9237406793968</v>
      </c>
      <c r="E49" s="4">
        <v>95.87059130830555</v>
      </c>
      <c r="F49" s="4">
        <v>95.46669393631406</v>
      </c>
      <c r="G49" s="4">
        <v>102.2829884203813</v>
      </c>
      <c r="H49" s="4">
        <v>94.73087285265738</v>
      </c>
      <c r="I49" s="4">
        <v>99.46418799417141</v>
      </c>
      <c r="J49" s="4">
        <v>91.43003651553734</v>
      </c>
      <c r="K49" s="4">
        <v>110.0516102625524</v>
      </c>
      <c r="L49" s="4">
        <v>85.4922229977211</v>
      </c>
      <c r="M49" s="4">
        <v>101.0576180063689</v>
      </c>
    </row>
    <row r="50" spans="1:13">
      <c r="A50" s="1" t="s">
        <v>3107</v>
      </c>
      <c r="B50" s="4">
        <v>97.01183427003085</v>
      </c>
      <c r="C50" s="4">
        <v>91.91068106828288</v>
      </c>
      <c r="D50" s="4">
        <v>99.78780033887161</v>
      </c>
      <c r="E50" s="4">
        <v>91.38502170037391</v>
      </c>
      <c r="F50" s="4">
        <v>96.00591154673239</v>
      </c>
      <c r="G50" s="4">
        <v>101.8836695513271</v>
      </c>
      <c r="H50" s="4">
        <v>94.20158541560407</v>
      </c>
      <c r="I50" s="4">
        <v>100.297153888742</v>
      </c>
      <c r="J50" s="4">
        <v>92.36180070387346</v>
      </c>
      <c r="K50" s="4">
        <v>112.7292321660891</v>
      </c>
      <c r="L50" s="4">
        <v>85.87505371255095</v>
      </c>
      <c r="M50" s="4">
        <v>106.307150203846</v>
      </c>
    </row>
    <row r="51" spans="1:13">
      <c r="A51" s="1" t="s">
        <v>3108</v>
      </c>
      <c r="B51" s="4">
        <v>99.59448921863822</v>
      </c>
      <c r="C51" s="4">
        <v>92.38914735910113</v>
      </c>
      <c r="D51" s="4">
        <v>101.68916842269</v>
      </c>
      <c r="E51" s="4">
        <v>91.74513025139836</v>
      </c>
      <c r="F51" s="4">
        <v>95.28746597690466</v>
      </c>
      <c r="G51" s="4">
        <v>102.6394132157155</v>
      </c>
      <c r="H51" s="4">
        <v>95.84317986029372</v>
      </c>
      <c r="I51" s="4">
        <v>102.3557159855227</v>
      </c>
      <c r="J51" s="4">
        <v>91.27432089966513</v>
      </c>
      <c r="K51" s="4">
        <v>109.5786163548972</v>
      </c>
      <c r="L51" s="4">
        <v>86.58743724302771</v>
      </c>
      <c r="M51" s="4">
        <v>104.3809307189778</v>
      </c>
    </row>
    <row r="52" spans="1:13">
      <c r="A52" s="1" t="s">
        <v>3109</v>
      </c>
      <c r="B52" s="4">
        <v>97.61874028267545</v>
      </c>
      <c r="C52" s="4">
        <v>93.68171021985751</v>
      </c>
      <c r="D52" s="4">
        <v>103.0353328429379</v>
      </c>
      <c r="E52" s="4">
        <v>95.28917674436674</v>
      </c>
      <c r="F52" s="4">
        <v>97.42129491049897</v>
      </c>
      <c r="G52" s="4">
        <v>102.5356244281463</v>
      </c>
      <c r="H52" s="4">
        <v>100.4768052022012</v>
      </c>
      <c r="I52" s="4">
        <v>101.9587689095492</v>
      </c>
      <c r="J52" s="4">
        <v>89.36626014198349</v>
      </c>
      <c r="K52" s="4">
        <v>107.037831911629</v>
      </c>
      <c r="L52" s="4">
        <v>86.00787442784414</v>
      </c>
      <c r="M52" s="4">
        <v>101.2190751129376</v>
      </c>
    </row>
    <row r="53" spans="1:13">
      <c r="A53" s="1" t="s">
        <v>3110</v>
      </c>
      <c r="B53" s="4">
        <v>93.23306808531451</v>
      </c>
      <c r="C53" s="4">
        <v>88.72422266318269</v>
      </c>
      <c r="D53" s="4">
        <v>97.39693362226637</v>
      </c>
      <c r="E53" s="4">
        <v>88.2026389553376</v>
      </c>
      <c r="F53" s="4">
        <v>93.04897318176889</v>
      </c>
      <c r="G53" s="4">
        <v>98.12175595911835</v>
      </c>
      <c r="H53" s="4">
        <v>95.25796114546689</v>
      </c>
      <c r="I53" s="4">
        <v>100.2692327395039</v>
      </c>
      <c r="J53" s="4">
        <v>88.50287488554322</v>
      </c>
      <c r="K53" s="4">
        <v>105.9711269759457</v>
      </c>
      <c r="L53" s="4">
        <v>84.88834979504016</v>
      </c>
      <c r="M53" s="4">
        <v>102.460875927078</v>
      </c>
    </row>
    <row r="54" spans="1:13">
      <c r="A54" s="1" t="s">
        <v>3111</v>
      </c>
      <c r="B54" s="4">
        <v>95.92012572367697</v>
      </c>
      <c r="C54" s="4">
        <v>87.91934055200294</v>
      </c>
      <c r="D54" s="4">
        <v>92.27133496197764</v>
      </c>
      <c r="E54" s="4">
        <v>84.96785067935878</v>
      </c>
      <c r="F54" s="4">
        <v>89.77920561039022</v>
      </c>
      <c r="G54" s="4">
        <v>96.10267219060052</v>
      </c>
      <c r="H54" s="4">
        <v>92.89566116149588</v>
      </c>
      <c r="I54" s="4">
        <v>98.31496809469861</v>
      </c>
      <c r="J54" s="4">
        <v>89.42457559190937</v>
      </c>
      <c r="K54" s="4">
        <v>102.8297265643813</v>
      </c>
      <c r="L54" s="4">
        <v>85.52464373607975</v>
      </c>
      <c r="M54" s="4">
        <v>105.5029759860614</v>
      </c>
    </row>
    <row r="55" spans="1:13">
      <c r="A55" s="1" t="s">
        <v>3112</v>
      </c>
      <c r="B55" s="4">
        <v>93.54773452387718</v>
      </c>
      <c r="C55" s="4">
        <v>89.25040440357449</v>
      </c>
      <c r="D55" s="4">
        <v>92.18907488468102</v>
      </c>
      <c r="E55" s="4">
        <v>85.30861540365984</v>
      </c>
      <c r="F55" s="4">
        <v>89.77952940335969</v>
      </c>
      <c r="G55" s="4">
        <v>94.98625543739601</v>
      </c>
      <c r="H55" s="4">
        <v>91.08392357940549</v>
      </c>
      <c r="I55" s="4">
        <v>99.04631946020403</v>
      </c>
      <c r="J55" s="4">
        <v>88.427122237649</v>
      </c>
      <c r="K55" s="4">
        <v>100.7908892613924</v>
      </c>
      <c r="L55" s="4">
        <v>84.02084604223924</v>
      </c>
      <c r="M55" s="4">
        <v>105.2816259226126</v>
      </c>
    </row>
    <row r="56" spans="1:13">
      <c r="A56" s="1" t="s">
        <v>3113</v>
      </c>
      <c r="B56" s="4">
        <v>92.32227500382295</v>
      </c>
      <c r="C56" s="4">
        <v>88.34481059393016</v>
      </c>
      <c r="D56" s="4">
        <v>92.30747809764698</v>
      </c>
      <c r="E56" s="4">
        <v>85.61638833233053</v>
      </c>
      <c r="F56" s="4">
        <v>89.64671480409895</v>
      </c>
      <c r="G56" s="4">
        <v>94.96501273347771</v>
      </c>
      <c r="H56" s="4">
        <v>89.29406684457294</v>
      </c>
      <c r="I56" s="4">
        <v>97.64880514525002</v>
      </c>
      <c r="J56" s="4">
        <v>89.27865292536664</v>
      </c>
      <c r="K56" s="4">
        <v>102.4048331157111</v>
      </c>
      <c r="L56" s="4">
        <v>84.99550453258377</v>
      </c>
      <c r="M56" s="4">
        <v>106.5341624981748</v>
      </c>
    </row>
    <row r="57" spans="1:13">
      <c r="A57" s="1" t="s">
        <v>3114</v>
      </c>
      <c r="B57" s="4">
        <v>91.89818309588314</v>
      </c>
      <c r="C57" s="4">
        <v>85.364351963218</v>
      </c>
      <c r="D57" s="4">
        <v>88.55489406440695</v>
      </c>
      <c r="E57" s="4">
        <v>82.9133572234052</v>
      </c>
      <c r="F57" s="4">
        <v>88.3188085615317</v>
      </c>
      <c r="G57" s="4">
        <v>93.84958715680045</v>
      </c>
      <c r="H57" s="4">
        <v>86.9690450399308</v>
      </c>
      <c r="I57" s="4">
        <v>96.76260847143269</v>
      </c>
      <c r="J57" s="4">
        <v>89.28714340486067</v>
      </c>
      <c r="K57" s="4">
        <v>100.9121699216593</v>
      </c>
      <c r="L57" s="4">
        <v>83.25736041952271</v>
      </c>
      <c r="M57" s="4">
        <v>105.6139449705981</v>
      </c>
    </row>
    <row r="58" spans="1:13">
      <c r="A58" s="1" t="s">
        <v>3115</v>
      </c>
      <c r="B58" s="4">
        <v>93.71968481815955</v>
      </c>
      <c r="C58" s="4">
        <v>87.26595064421723</v>
      </c>
      <c r="D58" s="4">
        <v>91.07350143146095</v>
      </c>
      <c r="E58" s="4">
        <v>85.52175245560885</v>
      </c>
      <c r="F58" s="4">
        <v>89.8883129833257</v>
      </c>
      <c r="G58" s="4">
        <v>93.24935071160091</v>
      </c>
      <c r="H58" s="4">
        <v>84.54979489816292</v>
      </c>
      <c r="I58" s="4">
        <v>97.88787962532221</v>
      </c>
      <c r="J58" s="4">
        <v>90.054953760011</v>
      </c>
      <c r="K58" s="4">
        <v>100.0942158399016</v>
      </c>
      <c r="L58" s="4">
        <v>83.94232528245307</v>
      </c>
      <c r="M58" s="4">
        <v>104.694245867686</v>
      </c>
    </row>
    <row r="59" spans="1:13">
      <c r="A59" s="1" t="s">
        <v>3116</v>
      </c>
      <c r="B59" s="4">
        <v>94.76349481399464</v>
      </c>
      <c r="C59" s="4">
        <v>87.4965153579999</v>
      </c>
      <c r="D59" s="4">
        <v>92.90312717164056</v>
      </c>
      <c r="E59" s="4">
        <v>88.84136693575479</v>
      </c>
      <c r="F59" s="4">
        <v>89.86854854844391</v>
      </c>
      <c r="G59" s="4">
        <v>95.14310928232253</v>
      </c>
      <c r="H59" s="4">
        <v>87.02730072338557</v>
      </c>
      <c r="I59" s="4">
        <v>98.40679289622014</v>
      </c>
      <c r="J59" s="4">
        <v>90.24740494488098</v>
      </c>
      <c r="K59" s="4">
        <v>101.6399257566123</v>
      </c>
      <c r="L59" s="4">
        <v>84.07066232092917</v>
      </c>
      <c r="M59" s="4">
        <v>104.0938087833637</v>
      </c>
    </row>
    <row r="60" spans="1:13">
      <c r="A60" s="1" t="s">
        <v>3117</v>
      </c>
      <c r="B60" s="4">
        <v>94.56993233766069</v>
      </c>
      <c r="C60" s="4">
        <v>89.42631458727409</v>
      </c>
      <c r="D60" s="4">
        <v>93.18630310889503</v>
      </c>
      <c r="E60" s="4">
        <v>88.89861971047479</v>
      </c>
      <c r="F60" s="4">
        <v>93.16852052254401</v>
      </c>
      <c r="G60" s="4">
        <v>94.81947078175324</v>
      </c>
      <c r="H60" s="4">
        <v>87.68943164569528</v>
      </c>
      <c r="I60" s="4">
        <v>98.42560477216497</v>
      </c>
      <c r="J60" s="4">
        <v>90.9813196260241</v>
      </c>
      <c r="K60" s="4">
        <v>111.5699324413829</v>
      </c>
      <c r="L60" s="4">
        <v>84.97582389233453</v>
      </c>
      <c r="M60" s="4">
        <v>110.6485053402777</v>
      </c>
    </row>
    <row r="61" spans="1:13">
      <c r="A61" s="1" t="s">
        <v>3118</v>
      </c>
      <c r="B61" s="4">
        <v>92.41837226621975</v>
      </c>
      <c r="C61" s="4">
        <v>86.20413257102976</v>
      </c>
      <c r="D61" s="4">
        <v>90.80903648567087</v>
      </c>
      <c r="E61" s="4">
        <v>85.26135120304114</v>
      </c>
      <c r="F61" s="4">
        <v>89.21670053191494</v>
      </c>
      <c r="G61" s="4">
        <v>92.45253687567357</v>
      </c>
      <c r="H61" s="4">
        <v>83.73307381937627</v>
      </c>
      <c r="I61" s="4">
        <v>94.90214605958987</v>
      </c>
      <c r="J61" s="4">
        <v>91.97356159186019</v>
      </c>
      <c r="K61" s="4">
        <v>108.7264536063128</v>
      </c>
      <c r="L61" s="4">
        <v>83.91525525206102</v>
      </c>
      <c r="M61" s="4">
        <v>112.6339999671545</v>
      </c>
    </row>
    <row r="62" spans="1:13">
      <c r="A62" s="1" t="s">
        <v>3119</v>
      </c>
      <c r="B62" s="4">
        <v>91.9836578769917</v>
      </c>
      <c r="C62" s="4">
        <v>86.75256281610851</v>
      </c>
      <c r="D62" s="4">
        <v>91.10794673054663</v>
      </c>
      <c r="E62" s="4">
        <v>85.74016532735303</v>
      </c>
      <c r="F62" s="4">
        <v>88.69614280443002</v>
      </c>
      <c r="G62" s="4">
        <v>91.73191258103739</v>
      </c>
      <c r="H62" s="4">
        <v>84.2182542699199</v>
      </c>
      <c r="I62" s="4">
        <v>94.44019754122336</v>
      </c>
      <c r="J62" s="4">
        <v>90.64556416845434</v>
      </c>
      <c r="K62" s="4">
        <v>111.4622637198148</v>
      </c>
      <c r="L62" s="4">
        <v>84.32185587248952</v>
      </c>
      <c r="M62" s="4">
        <v>112.4410034330695</v>
      </c>
    </row>
    <row r="63" spans="1:13">
      <c r="A63" s="1" t="s">
        <v>3120</v>
      </c>
      <c r="B63" s="4">
        <v>92.59048722138822</v>
      </c>
      <c r="C63" s="4">
        <v>85.36572000264262</v>
      </c>
      <c r="D63" s="4">
        <v>89.1198243213298</v>
      </c>
      <c r="E63" s="4">
        <v>83.01629072208337</v>
      </c>
      <c r="F63" s="4">
        <v>84.66159129785812</v>
      </c>
      <c r="G63" s="4">
        <v>90.7001564527973</v>
      </c>
      <c r="H63" s="4">
        <v>84.60315189143323</v>
      </c>
      <c r="I63" s="4">
        <v>93.16295416834373</v>
      </c>
      <c r="J63" s="4">
        <v>89.19787274277347</v>
      </c>
      <c r="K63" s="4">
        <v>106.423638184579</v>
      </c>
      <c r="L63" s="4">
        <v>82.41736490035311</v>
      </c>
      <c r="M63" s="4">
        <v>110.0603024802324</v>
      </c>
    </row>
    <row r="64" spans="1:13">
      <c r="A64" s="1" t="s">
        <v>3121</v>
      </c>
      <c r="B64" s="4">
        <v>95.30963512986146</v>
      </c>
      <c r="C64" s="4">
        <v>85.76000669153063</v>
      </c>
      <c r="D64" s="4">
        <v>90.71980545014419</v>
      </c>
      <c r="E64" s="4">
        <v>82.23002946902325</v>
      </c>
      <c r="F64" s="4">
        <v>84.5861376388259</v>
      </c>
      <c r="G64" s="4">
        <v>91.31863110385675</v>
      </c>
      <c r="H64" s="4">
        <v>84.64154689203836</v>
      </c>
      <c r="I64" s="4">
        <v>92.34656287515524</v>
      </c>
      <c r="J64" s="4">
        <v>90.02294090166711</v>
      </c>
      <c r="K64" s="4">
        <v>102.5064269847453</v>
      </c>
      <c r="L64" s="4">
        <v>82.88712091443691</v>
      </c>
      <c r="M64" s="4">
        <v>108.0405643487595</v>
      </c>
    </row>
    <row r="65" spans="1:13">
      <c r="A65" s="1" t="s">
        <v>3122</v>
      </c>
      <c r="B65" s="4">
        <v>95.14584244568607</v>
      </c>
      <c r="C65" s="4">
        <v>85.94928741077561</v>
      </c>
      <c r="D65" s="4">
        <v>92.34322687408772</v>
      </c>
      <c r="E65" s="4">
        <v>80.69392775554617</v>
      </c>
      <c r="F65" s="4">
        <v>84.57597455477682</v>
      </c>
      <c r="G65" s="4">
        <v>93.52018479261839</v>
      </c>
      <c r="H65" s="4">
        <v>85.70426982488078</v>
      </c>
      <c r="I65" s="4">
        <v>94.53791761679891</v>
      </c>
      <c r="J65" s="4">
        <v>92.39335912197083</v>
      </c>
      <c r="K65" s="4">
        <v>104.8577680264876</v>
      </c>
      <c r="L65" s="4">
        <v>84.22732569753222</v>
      </c>
      <c r="M65" s="4">
        <v>111.2199914587193</v>
      </c>
    </row>
    <row r="66" spans="1:13">
      <c r="A66" s="1" t="s">
        <v>5</v>
      </c>
      <c r="B66" s="4">
        <v>99.84672181487984</v>
      </c>
      <c r="C66" s="4">
        <v>88.92422365562688</v>
      </c>
      <c r="D66" s="4">
        <v>95.2983377766694</v>
      </c>
      <c r="E66" s="4">
        <v>83.27129427718408</v>
      </c>
      <c r="F66" s="4">
        <v>86.38174406883213</v>
      </c>
      <c r="G66" s="4">
        <v>95.060005604057</v>
      </c>
      <c r="H66" s="4">
        <v>86.944578863131</v>
      </c>
      <c r="I66" s="4">
        <v>95.00701430034144</v>
      </c>
      <c r="J66" s="4">
        <v>92.51408291292513</v>
      </c>
      <c r="K66" s="4">
        <v>104.0421178950971</v>
      </c>
      <c r="L66" s="4">
        <v>83.45366217479469</v>
      </c>
      <c r="M66" s="4">
        <v>107.9013817372243</v>
      </c>
    </row>
  </sheetData>
  <autoFilter ref="A1:M66"/>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D25"/>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5.7109375" style="1" customWidth="1"/>
    <col min="2" max="2" width="16.7109375" style="1" customWidth="1"/>
    <col min="3" max="4" width="15.7109375" style="1" customWidth="1"/>
  </cols>
  <sheetData>
    <row r="1" spans="1:4" ht="30" customHeight="1">
      <c r="A1" s="3" t="s">
        <v>3123</v>
      </c>
      <c r="B1" s="3" t="s">
        <v>3058</v>
      </c>
      <c r="C1" s="3" t="s">
        <v>3124</v>
      </c>
      <c r="D1" s="3" t="s">
        <v>3125</v>
      </c>
    </row>
    <row r="2" spans="1:4">
      <c r="A2" s="1" t="s">
        <v>3126</v>
      </c>
      <c r="B2" s="1" t="s">
        <v>3121</v>
      </c>
      <c r="C2" s="4">
        <v>600</v>
      </c>
      <c r="D2" s="4">
        <v>590</v>
      </c>
    </row>
    <row r="3" spans="1:4">
      <c r="A3" s="1" t="s">
        <v>3126</v>
      </c>
      <c r="B3" s="1" t="s">
        <v>3122</v>
      </c>
      <c r="C3" s="4">
        <v>600</v>
      </c>
      <c r="D3" s="4">
        <v>600</v>
      </c>
    </row>
    <row r="4" spans="1:4">
      <c r="A4" s="1" t="s">
        <v>3126</v>
      </c>
      <c r="B4" s="1" t="s">
        <v>5</v>
      </c>
      <c r="C4" s="4">
        <v>600</v>
      </c>
      <c r="D4" s="4">
        <v>593</v>
      </c>
    </row>
    <row r="5" spans="1:4">
      <c r="A5" s="1" t="s">
        <v>3126</v>
      </c>
      <c r="B5" s="1" t="s">
        <v>3127</v>
      </c>
      <c r="C5" s="4">
        <v>600</v>
      </c>
      <c r="D5" s="4">
        <v>0</v>
      </c>
    </row>
    <row r="6" spans="1:4">
      <c r="A6" s="1" t="s">
        <v>3126</v>
      </c>
      <c r="B6" s="1" t="s">
        <v>3128</v>
      </c>
      <c r="C6" s="4">
        <v>600</v>
      </c>
      <c r="D6" s="4">
        <v>0</v>
      </c>
    </row>
    <row r="7" spans="1:4">
      <c r="A7" s="1" t="s">
        <v>3126</v>
      </c>
      <c r="B7" s="1" t="s">
        <v>3</v>
      </c>
      <c r="C7" s="4">
        <v>600</v>
      </c>
      <c r="D7" s="4">
        <v>0</v>
      </c>
    </row>
    <row r="8" spans="1:4">
      <c r="A8" s="1" t="s">
        <v>3129</v>
      </c>
      <c r="B8" s="1" t="s">
        <v>3121</v>
      </c>
      <c r="C8" s="4">
        <v>503</v>
      </c>
      <c r="D8" s="4">
        <v>502</v>
      </c>
    </row>
    <row r="9" spans="1:4">
      <c r="A9" s="1" t="s">
        <v>3129</v>
      </c>
      <c r="B9" s="1" t="s">
        <v>3122</v>
      </c>
      <c r="C9" s="4">
        <v>503</v>
      </c>
      <c r="D9" s="4">
        <v>501</v>
      </c>
    </row>
    <row r="10" spans="1:4">
      <c r="A10" s="1" t="s">
        <v>3129</v>
      </c>
      <c r="B10" s="1" t="s">
        <v>5</v>
      </c>
      <c r="C10" s="4">
        <v>503</v>
      </c>
      <c r="D10" s="4">
        <v>502</v>
      </c>
    </row>
    <row r="11" spans="1:4">
      <c r="A11" s="1" t="s">
        <v>3129</v>
      </c>
      <c r="B11" s="1" t="s">
        <v>3127</v>
      </c>
      <c r="C11" s="4">
        <v>503</v>
      </c>
      <c r="D11" s="4">
        <v>0</v>
      </c>
    </row>
    <row r="12" spans="1:4">
      <c r="A12" s="1" t="s">
        <v>3129</v>
      </c>
      <c r="B12" s="1" t="s">
        <v>3128</v>
      </c>
      <c r="C12" s="4">
        <v>503</v>
      </c>
      <c r="D12" s="4">
        <v>0</v>
      </c>
    </row>
    <row r="13" spans="1:4">
      <c r="A13" s="1" t="s">
        <v>3129</v>
      </c>
      <c r="B13" s="1" t="s">
        <v>3</v>
      </c>
      <c r="C13" s="4">
        <v>503</v>
      </c>
      <c r="D13" s="4">
        <v>0</v>
      </c>
    </row>
    <row r="14" spans="1:4">
      <c r="A14" s="1" t="s">
        <v>3130</v>
      </c>
      <c r="B14" s="1" t="s">
        <v>3121</v>
      </c>
      <c r="C14" s="4">
        <v>102</v>
      </c>
      <c r="D14" s="4">
        <v>102</v>
      </c>
    </row>
    <row r="15" spans="1:4">
      <c r="A15" s="1" t="s">
        <v>3130</v>
      </c>
      <c r="B15" s="1" t="s">
        <v>3122</v>
      </c>
      <c r="C15" s="4">
        <v>102</v>
      </c>
      <c r="D15" s="4">
        <v>102</v>
      </c>
    </row>
    <row r="16" spans="1:4">
      <c r="A16" s="1" t="s">
        <v>3130</v>
      </c>
      <c r="B16" s="1" t="s">
        <v>5</v>
      </c>
      <c r="C16" s="4">
        <v>102</v>
      </c>
      <c r="D16" s="4">
        <v>102</v>
      </c>
    </row>
    <row r="17" spans="1:4">
      <c r="A17" s="1" t="s">
        <v>3130</v>
      </c>
      <c r="B17" s="1" t="s">
        <v>3127</v>
      </c>
      <c r="C17" s="4">
        <v>102</v>
      </c>
      <c r="D17" s="4">
        <v>0</v>
      </c>
    </row>
    <row r="18" spans="1:4">
      <c r="A18" s="1" t="s">
        <v>3130</v>
      </c>
      <c r="B18" s="1" t="s">
        <v>3128</v>
      </c>
      <c r="C18" s="4">
        <v>102</v>
      </c>
      <c r="D18" s="4">
        <v>0</v>
      </c>
    </row>
    <row r="19" spans="1:4">
      <c r="A19" s="1" t="s">
        <v>3130</v>
      </c>
      <c r="B19" s="1" t="s">
        <v>3</v>
      </c>
      <c r="C19" s="4">
        <v>102</v>
      </c>
      <c r="D19" s="4">
        <v>0</v>
      </c>
    </row>
    <row r="20" spans="1:4">
      <c r="A20" s="1" t="s">
        <v>3131</v>
      </c>
      <c r="B20" s="1" t="s">
        <v>3121</v>
      </c>
      <c r="C20" s="4">
        <v>300</v>
      </c>
      <c r="D20" s="4">
        <v>295</v>
      </c>
    </row>
    <row r="21" spans="1:4">
      <c r="A21" s="1" t="s">
        <v>3131</v>
      </c>
      <c r="B21" s="1" t="s">
        <v>3122</v>
      </c>
      <c r="C21" s="4">
        <v>300</v>
      </c>
      <c r="D21" s="4">
        <v>286</v>
      </c>
    </row>
    <row r="22" spans="1:4">
      <c r="A22" s="1" t="s">
        <v>3131</v>
      </c>
      <c r="B22" s="1" t="s">
        <v>5</v>
      </c>
      <c r="C22" s="4">
        <v>300</v>
      </c>
      <c r="D22" s="4">
        <v>294</v>
      </c>
    </row>
    <row r="23" spans="1:4">
      <c r="A23" s="1" t="s">
        <v>3131</v>
      </c>
      <c r="B23" s="1" t="s">
        <v>3127</v>
      </c>
      <c r="C23" s="4">
        <v>300</v>
      </c>
      <c r="D23" s="4">
        <v>0</v>
      </c>
    </row>
    <row r="24" spans="1:4">
      <c r="A24" s="1" t="s">
        <v>3131</v>
      </c>
      <c r="B24" s="1" t="s">
        <v>3128</v>
      </c>
      <c r="C24" s="4">
        <v>300</v>
      </c>
      <c r="D24" s="4">
        <v>0</v>
      </c>
    </row>
    <row r="25" spans="1:4">
      <c r="A25" s="1" t="s">
        <v>3131</v>
      </c>
      <c r="B25" s="1" t="s">
        <v>3</v>
      </c>
      <c r="C25" s="4">
        <v>300</v>
      </c>
      <c r="D25" s="4">
        <v>0</v>
      </c>
    </row>
  </sheetData>
  <autoFilter ref="A1:D25"/>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10"/>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6.7109375" style="1" customWidth="1"/>
    <col min="2" max="2" width="60.7109375" style="2" customWidth="1"/>
    <col min="3" max="3" width="100.7109375" style="2" customWidth="1"/>
  </cols>
  <sheetData>
    <row r="1" spans="1:3" ht="30" customHeight="1">
      <c r="A1" s="3" t="s">
        <v>3132</v>
      </c>
      <c r="B1" s="3" t="s">
        <v>3133</v>
      </c>
      <c r="C1" s="3" t="s">
        <v>3134</v>
      </c>
    </row>
    <row r="2" spans="1:3">
      <c r="A2" s="1" t="s">
        <v>3135</v>
      </c>
      <c r="B2" s="1" t="s">
        <v>3136</v>
      </c>
      <c r="C2" s="1" t="s">
        <v>3137</v>
      </c>
    </row>
    <row r="3" spans="1:3">
      <c r="A3" s="1" t="s">
        <v>3138</v>
      </c>
      <c r="B3" s="1" t="s">
        <v>3139</v>
      </c>
      <c r="C3" s="1" t="s">
        <v>3140</v>
      </c>
    </row>
    <row r="4" spans="1:3">
      <c r="A4" s="1" t="s">
        <v>3141</v>
      </c>
      <c r="B4" s="1" t="s">
        <v>3142</v>
      </c>
      <c r="C4" s="1" t="s">
        <v>3143</v>
      </c>
    </row>
    <row r="5" spans="1:3">
      <c r="A5" s="1" t="s">
        <v>3144</v>
      </c>
      <c r="B5" s="1" t="s">
        <v>3145</v>
      </c>
      <c r="C5" s="1" t="s">
        <v>3146</v>
      </c>
    </row>
    <row r="6" spans="1:3">
      <c r="A6" s="1" t="s">
        <v>3147</v>
      </c>
      <c r="B6" s="1" t="s">
        <v>3148</v>
      </c>
      <c r="C6" s="1" t="s">
        <v>3149</v>
      </c>
    </row>
    <row r="7" spans="1:3">
      <c r="A7" s="1" t="s">
        <v>3150</v>
      </c>
      <c r="B7" s="1" t="s">
        <v>3151</v>
      </c>
      <c r="C7" s="1" t="s">
        <v>3152</v>
      </c>
    </row>
    <row r="8" spans="1:3">
      <c r="A8" s="1" t="s">
        <v>3153</v>
      </c>
      <c r="B8" s="1" t="s">
        <v>3154</v>
      </c>
      <c r="C8" s="1" t="s">
        <v>3155</v>
      </c>
    </row>
    <row r="9" spans="1:3">
      <c r="A9" s="1" t="s">
        <v>3156</v>
      </c>
      <c r="B9" s="1" t="s">
        <v>3157</v>
      </c>
      <c r="C9" s="1" t="s">
        <v>3158</v>
      </c>
    </row>
    <row r="10" spans="1:3">
      <c r="A10" s="1" t="s">
        <v>3159</v>
      </c>
      <c r="B10" s="1" t="s">
        <v>3160</v>
      </c>
      <c r="C10" s="1" t="s">
        <v>3161</v>
      </c>
    </row>
  </sheetData>
  <autoFilter ref="A1:C10"/>
  <hyperlinks>
    <hyperlink ref="C2" r:id="rId1"/>
    <hyperlink ref="C3" r:id="rId2"/>
    <hyperlink ref="C4" r:id="rId3"/>
    <hyperlink ref="C5" r:id="rId4"/>
    <hyperlink ref="C6" r:id="rId5"/>
    <hyperlink ref="C7" r:id="rId6"/>
    <hyperlink ref="C8" r:id="rId7"/>
    <hyperlink ref="C9" r:id="rId8"/>
    <hyperlink ref="C10" r:id="rId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README</vt:lpstr>
      <vt:lpstr>SPX_All</vt:lpstr>
      <vt:lpstr>SPX_1d_top100</vt:lpstr>
      <vt:lpstr>SPX_1d_bottom100</vt:lpstr>
      <vt:lpstr>SPX_10d_top100</vt:lpstr>
      <vt:lpstr>SPX_10d_bottom100</vt:lpstr>
      <vt:lpstr>SPX_Sectors</vt:lpstr>
      <vt:lpstr>SHSZ300_All</vt:lpstr>
      <vt:lpstr>SHSZ300_1d_top100</vt:lpstr>
      <vt:lpstr>SHSZ300_1d_bottom100</vt:lpstr>
      <vt:lpstr>SHSZ300_10d_top100</vt:lpstr>
      <vt:lpstr>SHSZ300_10d_bottom100</vt:lpstr>
      <vt:lpstr>SHSZ300_Sectors</vt:lpstr>
      <vt:lpstr>SXXP_All</vt:lpstr>
      <vt:lpstr>SXXP_1d_top100</vt:lpstr>
      <vt:lpstr>SXXP_1d_bottom100</vt:lpstr>
      <vt:lpstr>SXXP_10d_top100</vt:lpstr>
      <vt:lpstr>SXXP_10d_bottom100</vt:lpstr>
      <vt:lpstr>SXXP_Sectors</vt:lpstr>
      <vt:lpstr>AI_Stages</vt:lpstr>
      <vt:lpstr>AI_All_73</vt:lpstr>
      <vt:lpstr>AI_Daily_Levels</vt:lpstr>
      <vt:lpstr>Date_Audit</vt:lpstr>
      <vt:lpstr>News_Sources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Daily market and AI value-chain tables</dc:title>
  <dc:creator>Research</dc:creator>
  <dc:description>Provided BQuant prices; as of 2026-09-04</dc:description>
  <cp:lastModifiedBy>Research</cp:lastModifiedBy>
  <dcterms:created xsi:type="dcterms:W3CDTF">2026-09-07T07:35:49Z</dcterms:created>
  <dcterms:modified xsi:type="dcterms:W3CDTF">2026-09-07T07:35:49Z</dcterms:modified>
</cp:coreProperties>
</file>