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_Performance" sheetId="1" r:id="rId1"/>
    <sheet name="Stock_Returns" sheetId="2" r:id="rId2"/>
    <sheet name="Contributors" sheetId="3" r:id="rId3"/>
    <sheet name="Methodology" sheetId="4" r:id="rId4"/>
  </sheets>
  <definedNames>
    <definedName name="_xlnm._FilterDatabase" localSheetId="2" hidden="1">Contributors!$A$1:$D$289</definedName>
    <definedName name="_xlnm._FilterDatabase" localSheetId="0" hidden="1">Stage_Performance!$A$5:$L$17</definedName>
    <definedName name="_xlnm._FilterDatabase" localSheetId="1" hidden="1">Stock_Returns!$A$1:$R$74</definedName>
  </definedNames>
  <calcPr calcId="124519" fullCalcOnLoad="1"/>
</workbook>
</file>

<file path=xl/sharedStrings.xml><?xml version="1.0" encoding="utf-8"?>
<sst xmlns="http://schemas.openxmlformats.org/spreadsheetml/2006/main" count="1326" uniqueCount="230">
  <si>
    <t>US AI Value Chain — Calculation &amp; Verification</t>
  </si>
  <si>
    <t>As of 2026-09-04 | Expanded classification | Shares-weighted aggregate Price</t>
  </si>
  <si>
    <t>Benchmark proxies</t>
  </si>
  <si>
    <t>Benchmark</t>
  </si>
  <si>
    <t>As of</t>
  </si>
  <si>
    <t>1D</t>
  </si>
  <si>
    <t>1W</t>
  </si>
  <si>
    <t>1M</t>
  </si>
  <si>
    <t>3M</t>
  </si>
  <si>
    <t>SPX_share_weight_proxy</t>
  </si>
  <si>
    <t>2026-09-04</t>
  </si>
  <si>
    <t>NDX_share_weight_proxy</t>
  </si>
  <si>
    <t>Rank</t>
  </si>
  <si>
    <t>Value Chain</t>
  </si>
  <si>
    <t>Members</t>
  </si>
  <si>
    <t>Month 1</t>
  </si>
  <si>
    <t>Month 2</t>
  </si>
  <si>
    <t>Month 3</t>
  </si>
  <si>
    <t>Max Drawdown</t>
  </si>
  <si>
    <t>Method</t>
  </si>
  <si>
    <t>사이버보안</t>
  </si>
  <si>
    <t>Aggregate Price = sum(Price × Shares) / sum(Shares); dividends excluded</t>
  </si>
  <si>
    <t>AI 소프트웨어·데이터</t>
  </si>
  <si>
    <t>전력 생산</t>
  </si>
  <si>
    <t>하이퍼스케일러·플랫폼</t>
  </si>
  <si>
    <t>AI 연산·메모리</t>
  </si>
  <si>
    <t>서버·스토리지</t>
  </si>
  <si>
    <t>엣지·Physical AI</t>
  </si>
  <si>
    <t>전력·냉각 장비</t>
  </si>
  <si>
    <t>데이터센터 REIT·운영사</t>
  </si>
  <si>
    <t>네트워크·광통신</t>
  </si>
  <si>
    <t>파운드리·반도체 장비·EDA</t>
  </si>
  <si>
    <t>E&amp;C·설계·전기공사</t>
  </si>
  <si>
    <t>Ticker</t>
  </si>
  <si>
    <t>Company</t>
  </si>
  <si>
    <t>GICS Sector</t>
  </si>
  <si>
    <t>Confidence</t>
  </si>
  <si>
    <t>3M Start Price</t>
  </si>
  <si>
    <t>1M Start Price</t>
  </si>
  <si>
    <t>1W Start Price</t>
  </si>
  <si>
    <t>Previous Price</t>
  </si>
  <si>
    <t>End Price</t>
  </si>
  <si>
    <t>3M Max Drawdown</t>
  </si>
  <si>
    <t>ACN</t>
  </si>
  <si>
    <t>Accenture PLC</t>
  </si>
  <si>
    <t>Information Technology</t>
  </si>
  <si>
    <t>Adjacent</t>
  </si>
  <si>
    <t>ADBE</t>
  </si>
  <si>
    <t>Adobe Inc</t>
  </si>
  <si>
    <t>Core</t>
  </si>
  <si>
    <t>APP</t>
  </si>
  <si>
    <t>AppLovin Corp</t>
  </si>
  <si>
    <t>Communication Services</t>
  </si>
  <si>
    <t>CRM</t>
  </si>
  <si>
    <t>Salesforce Inc</t>
  </si>
  <si>
    <t>DDOG</t>
  </si>
  <si>
    <t>Datadog Inc</t>
  </si>
  <si>
    <t>INTU</t>
  </si>
  <si>
    <t>Intuit Inc</t>
  </si>
  <si>
    <t>NOW</t>
  </si>
  <si>
    <t>ServiceNow Inc</t>
  </si>
  <si>
    <t>PLTR</t>
  </si>
  <si>
    <t>Palantir Technologies Inc</t>
  </si>
  <si>
    <t>WDAY</t>
  </si>
  <si>
    <t>Workday Inc</t>
  </si>
  <si>
    <t>AMD</t>
  </si>
  <si>
    <t>Advanced Micro Devices Inc</t>
  </si>
  <si>
    <t>AVGO</t>
  </si>
  <si>
    <t>Broadcom Inc</t>
  </si>
  <si>
    <t>INTC</t>
  </si>
  <si>
    <t>Intel Corp</t>
  </si>
  <si>
    <t>MPWR</t>
  </si>
  <si>
    <t>Monolithic Power Systems Inc</t>
  </si>
  <si>
    <t>MRVL</t>
  </si>
  <si>
    <t>Marvell Technology Inc</t>
  </si>
  <si>
    <t>MU</t>
  </si>
  <si>
    <t>Micron Technology Inc</t>
  </si>
  <si>
    <t>NVDA</t>
  </si>
  <si>
    <t>NVIDIA Corp</t>
  </si>
  <si>
    <t>EME</t>
  </si>
  <si>
    <t>EMCOR Group Inc</t>
  </si>
  <si>
    <t>Industrials</t>
  </si>
  <si>
    <t>FIX</t>
  </si>
  <si>
    <t>Comfort Systems USA Inc</t>
  </si>
  <si>
    <t>PWR</t>
  </si>
  <si>
    <t>Quanta Services Inc</t>
  </si>
  <si>
    <t>ANET</t>
  </si>
  <si>
    <t>Arista Networks Inc</t>
  </si>
  <si>
    <t>APH</t>
  </si>
  <si>
    <t>Amphenol Corp</t>
  </si>
  <si>
    <t>CIEN</t>
  </si>
  <si>
    <t>Ciena Corp</t>
  </si>
  <si>
    <t>COHR</t>
  </si>
  <si>
    <t>Coherent Corp</t>
  </si>
  <si>
    <t>CSCO</t>
  </si>
  <si>
    <t>Cisco Systems Inc</t>
  </si>
  <si>
    <t>GLW</t>
  </si>
  <si>
    <t>Corning Inc</t>
  </si>
  <si>
    <t>LITE</t>
  </si>
  <si>
    <t>Lumentum Holdings Inc</t>
  </si>
  <si>
    <t>DLR</t>
  </si>
  <si>
    <t>Digital Realty Trust Inc</t>
  </si>
  <si>
    <t>Real Estate</t>
  </si>
  <si>
    <t>EQIX</t>
  </si>
  <si>
    <t>Equinix Inc</t>
  </si>
  <si>
    <t>IRM</t>
  </si>
  <si>
    <t>Iron Mountain Inc</t>
  </si>
  <si>
    <t>AKAM</t>
  </si>
  <si>
    <t>Akamai Technologies Inc</t>
  </si>
  <si>
    <t>CRWD</t>
  </si>
  <si>
    <t>Crowdstrike Holdings Inc</t>
  </si>
  <si>
    <t>FTNT</t>
  </si>
  <si>
    <t>Fortinet Inc</t>
  </si>
  <si>
    <t>GEN</t>
  </si>
  <si>
    <t>Gen Digital Inc</t>
  </si>
  <si>
    <t>PANW</t>
  </si>
  <si>
    <t>Palo Alto Networks Inc</t>
  </si>
  <si>
    <t>DELL</t>
  </si>
  <si>
    <t>Dell Technologies Inc</t>
  </si>
  <si>
    <t>FLEX</t>
  </si>
  <si>
    <t>Flex Ltd</t>
  </si>
  <si>
    <t>HPE</t>
  </si>
  <si>
    <t>Hewlett Packard Enterprise Co</t>
  </si>
  <si>
    <t>JBL</t>
  </si>
  <si>
    <t>Jabil Inc</t>
  </si>
  <si>
    <t>NTAP</t>
  </si>
  <si>
    <t>NetApp Inc</t>
  </si>
  <si>
    <t>SMCI</t>
  </si>
  <si>
    <t>Super Micro Computer Inc</t>
  </si>
  <si>
    <t>SNDK</t>
  </si>
  <si>
    <t>Sandisk Corp</t>
  </si>
  <si>
    <t>STX</t>
  </si>
  <si>
    <t>Seagate Technology Holdings PL</t>
  </si>
  <si>
    <t>WDC</t>
  </si>
  <si>
    <t>Western Digital Corp</t>
  </si>
  <si>
    <t>AAPL</t>
  </si>
  <si>
    <t>Apple Inc</t>
  </si>
  <si>
    <t>ADI</t>
  </si>
  <si>
    <t>Analog Devices Inc</t>
  </si>
  <si>
    <t>AXON</t>
  </si>
  <si>
    <t>Axon Enterprise Inc</t>
  </si>
  <si>
    <t>NXPI</t>
  </si>
  <si>
    <t>NXP Semiconductors NV</t>
  </si>
  <si>
    <t>ON</t>
  </si>
  <si>
    <t>ON Semiconductor Corp</t>
  </si>
  <si>
    <t>QCOM</t>
  </si>
  <si>
    <t>QUALCOMM Inc</t>
  </si>
  <si>
    <t>ROK</t>
  </si>
  <si>
    <t>Rockwell Automation Inc</t>
  </si>
  <si>
    <t>TSLA</t>
  </si>
  <si>
    <t>Tesla Inc</t>
  </si>
  <si>
    <t>Consumer Discretionary</t>
  </si>
  <si>
    <t>CEG</t>
  </si>
  <si>
    <t>Constellation Energy Corp</t>
  </si>
  <si>
    <t>Utilities</t>
  </si>
  <si>
    <t>NRG</t>
  </si>
  <si>
    <t>NRG Energy Inc</t>
  </si>
  <si>
    <t>VST</t>
  </si>
  <si>
    <t>Vistra Corp</t>
  </si>
  <si>
    <t>CARR</t>
  </si>
  <si>
    <t>Carrier Global Corp</t>
  </si>
  <si>
    <t>ETN</t>
  </si>
  <si>
    <t>Eaton Corp PLC</t>
  </si>
  <si>
    <t>GEV</t>
  </si>
  <si>
    <t>GE Vernova Inc</t>
  </si>
  <si>
    <t>HUBB</t>
  </si>
  <si>
    <t>Hubbell Inc</t>
  </si>
  <si>
    <t>JCI</t>
  </si>
  <si>
    <t>Johnson Controls International</t>
  </si>
  <si>
    <t>TT</t>
  </si>
  <si>
    <t>Trane Technologies PLC</t>
  </si>
  <si>
    <t>VRT</t>
  </si>
  <si>
    <t>Vertiv Holdings Co</t>
  </si>
  <si>
    <t>AMAT</t>
  </si>
  <si>
    <t>Applied Materials Inc</t>
  </si>
  <si>
    <t>CDNS</t>
  </si>
  <si>
    <t>Cadence Design Systems Inc</t>
  </si>
  <si>
    <t>KLAC</t>
  </si>
  <si>
    <t>KLA Corp</t>
  </si>
  <si>
    <t>LRCX</t>
  </si>
  <si>
    <t>Lam Research Corp</t>
  </si>
  <si>
    <t>SNPS</t>
  </si>
  <si>
    <t>Synopsys Inc</t>
  </si>
  <si>
    <t>TER</t>
  </si>
  <si>
    <t>Teradyne Inc</t>
  </si>
  <si>
    <t>AMZN</t>
  </si>
  <si>
    <t>Amazon.com Inc</t>
  </si>
  <si>
    <t>GOOGL</t>
  </si>
  <si>
    <t>Alphabet Inc</t>
  </si>
  <si>
    <t>IBM</t>
  </si>
  <si>
    <t>International Business Machine</t>
  </si>
  <si>
    <t>META</t>
  </si>
  <si>
    <t>Meta Platforms Inc</t>
  </si>
  <si>
    <t>MSFT</t>
  </si>
  <si>
    <t>Microsoft Corp</t>
  </si>
  <si>
    <t>ORCL</t>
  </si>
  <si>
    <t>Oracle Corp</t>
  </si>
  <si>
    <t>Period</t>
  </si>
  <si>
    <t>Shares-based price contribution</t>
  </si>
  <si>
    <t>1D Top</t>
  </si>
  <si>
    <t>1D Bottom</t>
  </si>
  <si>
    <t>1W Top</t>
  </si>
  <si>
    <t>1W Bottom</t>
  </si>
  <si>
    <t>1M Top</t>
  </si>
  <si>
    <t>1M Bottom</t>
  </si>
  <si>
    <t>3M Top</t>
  </si>
  <si>
    <t>3M Bottom</t>
  </si>
  <si>
    <t>Item</t>
  </si>
  <si>
    <t>Definition</t>
  </si>
  <si>
    <t>Source</t>
  </si>
  <si>
    <t>C:\Users\infomax\Documents\python\QAE\데일리시황\BQL\Rawfile\BQuant_Master.xlsx</t>
  </si>
  <si>
    <t>Previous</t>
  </si>
  <si>
    <t>2026-09-03</t>
  </si>
  <si>
    <t>1W start</t>
  </si>
  <si>
    <t>2026-08-28</t>
  </si>
  <si>
    <t>1M start</t>
  </si>
  <si>
    <t>2026-08-04</t>
  </si>
  <si>
    <t>3M start</t>
  </si>
  <si>
    <t>2026-06-04</t>
  </si>
  <si>
    <t>Month boundaries</t>
  </si>
  <si>
    <t>2026-06-04 / 2026-07-02 / 2026-08-04 / 2026-09-04</t>
  </si>
  <si>
    <t>Basket</t>
  </si>
  <si>
    <t>Aggregate Price = sum(Price × Shares) / sum(Shares); returns are changes in that aggregate Price; dividends excluded</t>
  </si>
  <si>
    <t>Shares</t>
  </si>
  <si>
    <t>Derived as Bloomberg Market Cap / Price because the current BQuant panel has no separate shares field</t>
  </si>
  <si>
    <t>Contribution</t>
  </si>
  <si>
    <t>Start-date shares × price change / start aggregate value; attribution approximation</t>
  </si>
  <si>
    <t>SPX and NDX current-constituent shares-weighted aggregate-price proxies; not SPY/QQQ ETF total returns</t>
  </si>
  <si>
    <t>Bias</t>
  </si>
  <si>
    <t>Current membership is backfilled; survivorship bias exists</t>
  </si>
</sst>
</file>

<file path=xl/styles.xml><?xml version="1.0" encoding="utf-8"?>
<styleSheet xmlns="http://schemas.openxmlformats.org/spreadsheetml/2006/main">
  <numFmts count="3">
    <numFmt numFmtId="164" formatCode="0.0%;(0.0%);-"/>
    <numFmt numFmtId="165" formatCode="#,##0"/>
    <numFmt numFmtId="166" formatCode="#,##0.00"/>
  </numFmts>
  <fonts count="6">
    <font>
      <sz val="11"/>
      <color theme="1"/>
      <name val="Calibri"/>
      <family val="2"/>
      <scheme val="minor"/>
    </font>
    <font>
      <b/>
      <sz val="18"/>
      <color rgb="FF102A43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.7109375" customWidth="1"/>
    <col min="2" max="2" width="29.7109375" customWidth="1"/>
    <col min="3" max="11" width="14.7109375" customWidth="1"/>
    <col min="12" max="12" width="42.7109375" customWidth="1"/>
    <col min="14" max="19" width="18.7109375" customWidth="1"/>
  </cols>
  <sheetData>
    <row r="1" spans="1:19">
      <c r="A1" s="1" t="s">
        <v>0</v>
      </c>
      <c r="N1" s="2" t="s">
        <v>2</v>
      </c>
    </row>
    <row r="2" spans="1:19">
      <c r="A2" s="3" t="s">
        <v>1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>
      <c r="N3" s="5" t="s">
        <v>9</v>
      </c>
      <c r="O3" s="5" t="s">
        <v>10</v>
      </c>
      <c r="P3" s="6">
        <v>-0.004508891372769663</v>
      </c>
      <c r="Q3" s="6">
        <v>-0.0002633343673729138</v>
      </c>
      <c r="R3" s="6">
        <v>-0.009643054799876816</v>
      </c>
      <c r="S3" s="6">
        <v>0.008535934266283851</v>
      </c>
    </row>
    <row r="4" spans="1:19">
      <c r="N4" s="5" t="s">
        <v>11</v>
      </c>
      <c r="O4" s="5" t="s">
        <v>10</v>
      </c>
      <c r="P4" s="6">
        <v>-0.003546960151151746</v>
      </c>
      <c r="Q4" s="6">
        <v>0.003016556331218112</v>
      </c>
      <c r="R4" s="6">
        <v>-0.01294039042349404</v>
      </c>
      <c r="S4" s="6">
        <v>-0.02354510104243324</v>
      </c>
    </row>
    <row r="5" spans="1:19">
      <c r="A5" s="4" t="s">
        <v>12</v>
      </c>
      <c r="B5" s="4" t="s">
        <v>13</v>
      </c>
      <c r="C5" s="4" t="s">
        <v>14</v>
      </c>
      <c r="D5" s="4" t="s">
        <v>5</v>
      </c>
      <c r="E5" s="4" t="s">
        <v>6</v>
      </c>
      <c r="F5" s="4" t="s">
        <v>7</v>
      </c>
      <c r="G5" s="4" t="s">
        <v>15</v>
      </c>
      <c r="H5" s="4" t="s">
        <v>16</v>
      </c>
      <c r="I5" s="4" t="s">
        <v>17</v>
      </c>
      <c r="J5" s="4" t="s">
        <v>8</v>
      </c>
      <c r="K5" s="4" t="s">
        <v>18</v>
      </c>
      <c r="L5" s="4" t="s">
        <v>19</v>
      </c>
    </row>
    <row r="6" spans="1:19">
      <c r="A6" s="7">
        <v>1</v>
      </c>
      <c r="B6" s="5" t="s">
        <v>20</v>
      </c>
      <c r="C6" s="7">
        <v>5</v>
      </c>
      <c r="D6" s="6">
        <v>-0.002316620774079015</v>
      </c>
      <c r="E6" s="6">
        <v>-0.06498037001302226</v>
      </c>
      <c r="F6" s="6">
        <v>-0.05178815827504335</v>
      </c>
      <c r="G6" s="6">
        <v>0.1229879941636924</v>
      </c>
      <c r="H6" s="6">
        <v>0.07060759181469511</v>
      </c>
      <c r="I6" s="6">
        <v>-0.05178815827504335</v>
      </c>
      <c r="J6" s="6">
        <v>0.1400156324780915</v>
      </c>
      <c r="K6" s="6">
        <v>-0.138429654912786</v>
      </c>
      <c r="L6" s="5" t="s">
        <v>21</v>
      </c>
    </row>
    <row r="7" spans="1:19">
      <c r="A7" s="7">
        <v>2</v>
      </c>
      <c r="B7" s="5" t="s">
        <v>22</v>
      </c>
      <c r="C7" s="7">
        <v>9</v>
      </c>
      <c r="D7" s="6">
        <v>-0.0323855015613651</v>
      </c>
      <c r="E7" s="6">
        <v>-0.04218411460198335</v>
      </c>
      <c r="F7" s="6">
        <v>0.05598424454596818</v>
      </c>
      <c r="G7" s="6">
        <v>-0.09647160909708385</v>
      </c>
      <c r="H7" s="6">
        <v>0.1296391175708167</v>
      </c>
      <c r="I7" s="6">
        <v>0.05598424454596818</v>
      </c>
      <c r="J7" s="6">
        <v>0.07780195001724466</v>
      </c>
      <c r="K7" s="6">
        <v>-0.2214025072040033</v>
      </c>
      <c r="L7" s="5" t="s">
        <v>21</v>
      </c>
    </row>
    <row r="8" spans="1:19">
      <c r="A8" s="7">
        <v>3</v>
      </c>
      <c r="B8" s="5" t="s">
        <v>23</v>
      </c>
      <c r="C8" s="7">
        <v>3</v>
      </c>
      <c r="D8" s="6">
        <v>0.04709228510055574</v>
      </c>
      <c r="E8" s="6">
        <v>0.0813970679718039</v>
      </c>
      <c r="F8" s="6">
        <v>0.0780701309978018</v>
      </c>
      <c r="G8" s="6">
        <v>-0.05332322778618304</v>
      </c>
      <c r="H8" s="6">
        <v>0.0205070491474233</v>
      </c>
      <c r="I8" s="6">
        <v>0.0780701309978018</v>
      </c>
      <c r="J8" s="6">
        <v>0.04151311709243943</v>
      </c>
      <c r="K8" s="6">
        <v>-0.1079326834278248</v>
      </c>
      <c r="L8" s="5" t="s">
        <v>21</v>
      </c>
    </row>
    <row r="9" spans="1:19">
      <c r="A9" s="7">
        <v>4</v>
      </c>
      <c r="B9" s="5" t="s">
        <v>24</v>
      </c>
      <c r="C9" s="7">
        <v>6</v>
      </c>
      <c r="D9" s="6">
        <v>-0.007804078693723682</v>
      </c>
      <c r="E9" s="6">
        <v>-0.01275507261606312</v>
      </c>
      <c r="F9" s="6">
        <v>-0.03879549809695304</v>
      </c>
      <c r="G9" s="6">
        <v>-0.07319436210442642</v>
      </c>
      <c r="H9" s="6">
        <v>0.110266217781027</v>
      </c>
      <c r="I9" s="6">
        <v>-0.03879549809695304</v>
      </c>
      <c r="J9" s="6">
        <v>-0.01091961575278899</v>
      </c>
      <c r="K9" s="6">
        <v>-0.133054384912888</v>
      </c>
      <c r="L9" s="5" t="s">
        <v>21</v>
      </c>
    </row>
    <row r="10" spans="1:19">
      <c r="A10" s="7">
        <v>5</v>
      </c>
      <c r="B10" s="5" t="s">
        <v>25</v>
      </c>
      <c r="C10" s="7">
        <v>7</v>
      </c>
      <c r="D10" s="6">
        <v>0.0190294236725137</v>
      </c>
      <c r="E10" s="6">
        <v>0.04287968412476095</v>
      </c>
      <c r="F10" s="6">
        <v>0.01733271678738446</v>
      </c>
      <c r="G10" s="6">
        <v>-0.09030711237685596</v>
      </c>
      <c r="H10" s="6">
        <v>0.0512398595155712</v>
      </c>
      <c r="I10" s="6">
        <v>0.01733271678738446</v>
      </c>
      <c r="J10" s="6">
        <v>-0.02711920554692038</v>
      </c>
      <c r="K10" s="6">
        <v>-0.1686351592092074</v>
      </c>
      <c r="L10" s="5" t="s">
        <v>21</v>
      </c>
    </row>
    <row r="11" spans="1:19">
      <c r="A11" s="7">
        <v>6</v>
      </c>
      <c r="B11" s="5" t="s">
        <v>26</v>
      </c>
      <c r="C11" s="7">
        <v>9</v>
      </c>
      <c r="D11" s="6">
        <v>0.04683799137509692</v>
      </c>
      <c r="E11" s="6">
        <v>0.08165280443822986</v>
      </c>
      <c r="F11" s="6">
        <v>0.03483333164767433</v>
      </c>
      <c r="G11" s="6">
        <v>-0.091202208629652</v>
      </c>
      <c r="H11" s="6">
        <v>0.02872680997101384</v>
      </c>
      <c r="I11" s="6">
        <v>0.03483333164767433</v>
      </c>
      <c r="J11" s="6">
        <v>-0.03252950334406746</v>
      </c>
      <c r="K11" s="6">
        <v>-0.3207896574429645</v>
      </c>
      <c r="L11" s="5" t="s">
        <v>21</v>
      </c>
    </row>
    <row r="12" spans="1:19">
      <c r="A12" s="7">
        <v>7</v>
      </c>
      <c r="B12" s="5" t="s">
        <v>27</v>
      </c>
      <c r="C12" s="7">
        <v>8</v>
      </c>
      <c r="D12" s="6">
        <v>-0.03021002321811139</v>
      </c>
      <c r="E12" s="6">
        <v>0.003830912039532786</v>
      </c>
      <c r="F12" s="6">
        <v>0.03842006173260759</v>
      </c>
      <c r="G12" s="6">
        <v>-0.03622859004111945</v>
      </c>
      <c r="H12" s="6">
        <v>-0.03949863629362382</v>
      </c>
      <c r="I12" s="6">
        <v>0.03842006173260759</v>
      </c>
      <c r="J12" s="6">
        <v>-0.03873065107513829</v>
      </c>
      <c r="K12" s="6">
        <v>-0.1101007861081181</v>
      </c>
      <c r="L12" s="5" t="s">
        <v>21</v>
      </c>
    </row>
    <row r="13" spans="1:19">
      <c r="A13" s="7">
        <v>8</v>
      </c>
      <c r="B13" s="5" t="s">
        <v>28</v>
      </c>
      <c r="C13" s="7">
        <v>7</v>
      </c>
      <c r="D13" s="6">
        <v>0.01652559794114716</v>
      </c>
      <c r="E13" s="6">
        <v>0.03178736771821811</v>
      </c>
      <c r="F13" s="6">
        <v>-0.0572036592293752</v>
      </c>
      <c r="G13" s="6">
        <v>0.02918497378374618</v>
      </c>
      <c r="H13" s="6">
        <v>-0.01810035058392456</v>
      </c>
      <c r="I13" s="6">
        <v>-0.0572036592293752</v>
      </c>
      <c r="J13" s="6">
        <v>-0.04725115698969684</v>
      </c>
      <c r="K13" s="6">
        <v>-0.1902579979099625</v>
      </c>
      <c r="L13" s="5" t="s">
        <v>21</v>
      </c>
    </row>
    <row r="14" spans="1:19">
      <c r="A14" s="7">
        <v>9</v>
      </c>
      <c r="B14" s="5" t="s">
        <v>29</v>
      </c>
      <c r="C14" s="7">
        <v>3</v>
      </c>
      <c r="D14" s="6">
        <v>0.001479037449831466</v>
      </c>
      <c r="E14" s="6">
        <v>0.000517159528379274</v>
      </c>
      <c r="F14" s="6">
        <v>-0.02898473890300457</v>
      </c>
      <c r="G14" s="6">
        <v>-0.09173507838231965</v>
      </c>
      <c r="H14" s="6">
        <v>0.07616982924333571</v>
      </c>
      <c r="I14" s="6">
        <v>-0.02898473890300457</v>
      </c>
      <c r="J14" s="6">
        <v>-0.05088374933939588</v>
      </c>
      <c r="K14" s="6">
        <v>-0.1172148803910718</v>
      </c>
      <c r="L14" s="5" t="s">
        <v>21</v>
      </c>
    </row>
    <row r="15" spans="1:19">
      <c r="A15" s="7">
        <v>10</v>
      </c>
      <c r="B15" s="5" t="s">
        <v>30</v>
      </c>
      <c r="C15" s="7">
        <v>7</v>
      </c>
      <c r="D15" s="6">
        <v>0.01805605709150071</v>
      </c>
      <c r="E15" s="6">
        <v>0.0004257166769032761</v>
      </c>
      <c r="F15" s="6">
        <v>-0.05304215070186458</v>
      </c>
      <c r="G15" s="6">
        <v>-0.08044082410468345</v>
      </c>
      <c r="H15" s="6">
        <v>0.04702688990771087</v>
      </c>
      <c r="I15" s="6">
        <v>-0.05304215070186458</v>
      </c>
      <c r="J15" s="6">
        <v>-0.08826596755945304</v>
      </c>
      <c r="K15" s="6">
        <v>-0.192806507639954</v>
      </c>
      <c r="L15" s="5" t="s">
        <v>21</v>
      </c>
    </row>
    <row r="16" spans="1:19">
      <c r="A16" s="7">
        <v>11</v>
      </c>
      <c r="B16" s="5" t="s">
        <v>31</v>
      </c>
      <c r="C16" s="7">
        <v>6</v>
      </c>
      <c r="D16" s="6">
        <v>0.03935099443783652</v>
      </c>
      <c r="E16" s="6">
        <v>-0.006080124378159302</v>
      </c>
      <c r="F16" s="6">
        <v>-0.09154134902077982</v>
      </c>
      <c r="G16" s="6">
        <v>0.07376794969746103</v>
      </c>
      <c r="H16" s="6">
        <v>-0.1015073175561322</v>
      </c>
      <c r="I16" s="6">
        <v>-0.09154134902077982</v>
      </c>
      <c r="J16" s="6">
        <v>-0.1235439440165425</v>
      </c>
      <c r="K16" s="6">
        <v>-0.3814663995705126</v>
      </c>
      <c r="L16" s="5" t="s">
        <v>21</v>
      </c>
    </row>
    <row r="17" spans="1:12">
      <c r="A17" s="7">
        <v>12</v>
      </c>
      <c r="B17" s="5" t="s">
        <v>32</v>
      </c>
      <c r="C17" s="7">
        <v>3</v>
      </c>
      <c r="D17" s="6">
        <v>0.0125676666142811</v>
      </c>
      <c r="E17" s="6">
        <v>0.04020794456469501</v>
      </c>
      <c r="F17" s="6">
        <v>-0.09384293816684597</v>
      </c>
      <c r="G17" s="6">
        <v>-0.07928705056871843</v>
      </c>
      <c r="H17" s="6">
        <v>0.03515621548591064</v>
      </c>
      <c r="I17" s="6">
        <v>-0.09384293816684597</v>
      </c>
      <c r="J17" s="6">
        <v>-0.1363582577883488</v>
      </c>
      <c r="K17" s="6">
        <v>-0.2465331360210229</v>
      </c>
      <c r="L17" s="5" t="s">
        <v>21</v>
      </c>
    </row>
  </sheetData>
  <autoFilter ref="A5:L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31.7109375" customWidth="1"/>
    <col min="3" max="5" width="24.7109375" customWidth="1"/>
    <col min="6" max="18" width="14.7109375" customWidth="1"/>
  </cols>
  <sheetData>
    <row r="1" spans="1:18">
      <c r="A1" s="4" t="s">
        <v>33</v>
      </c>
      <c r="B1" s="4" t="s">
        <v>34</v>
      </c>
      <c r="C1" s="4" t="s">
        <v>13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5</v>
      </c>
      <c r="L1" s="4" t="s">
        <v>6</v>
      </c>
      <c r="M1" s="4" t="s">
        <v>7</v>
      </c>
      <c r="N1" s="4" t="s">
        <v>15</v>
      </c>
      <c r="O1" s="4" t="s">
        <v>16</v>
      </c>
      <c r="P1" s="4" t="s">
        <v>17</v>
      </c>
      <c r="Q1" s="4" t="s">
        <v>8</v>
      </c>
      <c r="R1" s="4" t="s">
        <v>42</v>
      </c>
    </row>
    <row r="2" spans="1:18">
      <c r="A2" s="5" t="s">
        <v>43</v>
      </c>
      <c r="B2" s="5" t="s">
        <v>44</v>
      </c>
      <c r="C2" s="5" t="s">
        <v>22</v>
      </c>
      <c r="D2" s="5" t="s">
        <v>45</v>
      </c>
      <c r="E2" s="5" t="s">
        <v>46</v>
      </c>
      <c r="F2" s="8">
        <v>178.86</v>
      </c>
      <c r="G2" s="8">
        <v>170.43</v>
      </c>
      <c r="H2" s="8">
        <v>189.61</v>
      </c>
      <c r="I2" s="8">
        <v>193.12</v>
      </c>
      <c r="J2" s="8">
        <v>186.72</v>
      </c>
      <c r="K2" s="6">
        <f>IFERROR(J2/I2-1,"")</f>
        <v>-0.03314001657000831</v>
      </c>
      <c r="L2" s="6">
        <f>IFERROR(J2/H2-1,"")</f>
        <v>-0.015241812140709965</v>
      </c>
      <c r="M2" s="6">
        <f>IFERROR(J2/G2-1,"")</f>
        <v>0.09558176377398331</v>
      </c>
      <c r="N2" s="6">
        <v>-0.2320809571732082</v>
      </c>
      <c r="O2" s="6">
        <v>0.2408445576993083</v>
      </c>
      <c r="P2" s="6">
        <v>0.09558176377398331</v>
      </c>
      <c r="Q2" s="6">
        <f>IFERROR(J2/F2-1,"")</f>
        <v>0.04394498490439447</v>
      </c>
      <c r="R2" s="6">
        <v>-0.3042603153304261</v>
      </c>
    </row>
    <row r="3" spans="1:18">
      <c r="A3" s="5" t="s">
        <v>47</v>
      </c>
      <c r="B3" s="5" t="s">
        <v>48</v>
      </c>
      <c r="C3" s="5" t="s">
        <v>22</v>
      </c>
      <c r="D3" s="5" t="s">
        <v>45</v>
      </c>
      <c r="E3" s="5" t="s">
        <v>49</v>
      </c>
      <c r="F3" s="8">
        <v>258.42</v>
      </c>
      <c r="G3" s="8">
        <v>257.49</v>
      </c>
      <c r="H3" s="8">
        <v>291.52</v>
      </c>
      <c r="I3" s="8">
        <v>285.75</v>
      </c>
      <c r="J3" s="8">
        <v>266.51</v>
      </c>
      <c r="K3" s="6">
        <f>IFERROR(J3/I3-1,"")</f>
        <v>-0.06733158355205604</v>
      </c>
      <c r="L3" s="6">
        <f>IFERROR(J3/H3-1,"")</f>
        <v>-0.08579171240395167</v>
      </c>
      <c r="M3" s="6">
        <f>IFERROR(J3/G3-1,"")</f>
        <v>0.03503048662083952</v>
      </c>
      <c r="N3" s="6">
        <v>-0.1497562108195961</v>
      </c>
      <c r="O3" s="6">
        <v>0.1719006007646096</v>
      </c>
      <c r="P3" s="6">
        <v>0.03503048662083952</v>
      </c>
      <c r="Q3" s="6">
        <f>IFERROR(J3/F3-1,"")</f>
        <v>0.031305626499496864</v>
      </c>
      <c r="R3" s="6">
        <v>-0.25156721615974</v>
      </c>
    </row>
    <row r="4" spans="1:18">
      <c r="A4" s="5" t="s">
        <v>50</v>
      </c>
      <c r="B4" s="5" t="s">
        <v>51</v>
      </c>
      <c r="C4" s="5" t="s">
        <v>22</v>
      </c>
      <c r="D4" s="5" t="s">
        <v>52</v>
      </c>
      <c r="E4" s="5" t="s">
        <v>49</v>
      </c>
      <c r="F4" s="8">
        <v>558.87</v>
      </c>
      <c r="G4" s="8">
        <v>419.7</v>
      </c>
      <c r="H4" s="8">
        <v>317.76</v>
      </c>
      <c r="I4" s="8">
        <v>313.58</v>
      </c>
      <c r="J4" s="8">
        <v>320.56</v>
      </c>
      <c r="K4" s="6">
        <f>IFERROR(J4/I4-1,"")</f>
        <v>0.022259072644939204</v>
      </c>
      <c r="L4" s="6">
        <f>IFERROR(J4/H4-1,"")</f>
        <v>0.008811681772406876</v>
      </c>
      <c r="M4" s="6">
        <f>IFERROR(J4/G4-1,"")</f>
        <v>-0.2362163450083392</v>
      </c>
      <c r="N4" s="6">
        <v>-0.05691842467836894</v>
      </c>
      <c r="O4" s="6">
        <v>-0.2036959738929154</v>
      </c>
      <c r="P4" s="6">
        <v>-0.2362163450083392</v>
      </c>
      <c r="Q4" s="6">
        <f>IFERROR(J4/F4-1,"")</f>
        <v>-0.42641401399252066</v>
      </c>
      <c r="R4" s="6">
        <v>-0.4711570818795275</v>
      </c>
    </row>
    <row r="5" spans="1:18">
      <c r="A5" s="5" t="s">
        <v>53</v>
      </c>
      <c r="B5" s="5" t="s">
        <v>54</v>
      </c>
      <c r="C5" s="5" t="s">
        <v>22</v>
      </c>
      <c r="D5" s="5" t="s">
        <v>45</v>
      </c>
      <c r="E5" s="5" t="s">
        <v>49</v>
      </c>
      <c r="F5" s="8">
        <v>188.75</v>
      </c>
      <c r="G5" s="8">
        <v>190.99</v>
      </c>
      <c r="H5" s="8">
        <v>256</v>
      </c>
      <c r="I5" s="8">
        <v>264.43</v>
      </c>
      <c r="J5" s="8">
        <v>259.23</v>
      </c>
      <c r="K5" s="6">
        <f>IFERROR(J5/I5-1,"")</f>
        <v>-0.01966493968157923</v>
      </c>
      <c r="L5" s="6">
        <f>IFERROR(J5/H5-1,"")</f>
        <v>0.012617187500000071</v>
      </c>
      <c r="M5" s="6">
        <f>IFERROR(J5/G5-1,"")</f>
        <v>0.35729619351798525</v>
      </c>
      <c r="N5" s="6">
        <v>-0.1199470198675496</v>
      </c>
      <c r="O5" s="6">
        <v>0.1497802660887364</v>
      </c>
      <c r="P5" s="6">
        <v>0.3572961935179852</v>
      </c>
      <c r="Q5" s="6">
        <f>IFERROR(J5/F5-1,"")</f>
        <v>0.37340397350993393</v>
      </c>
      <c r="R5" s="6">
        <v>-0.2046622516556291</v>
      </c>
    </row>
    <row r="6" spans="1:18">
      <c r="A6" s="5" t="s">
        <v>55</v>
      </c>
      <c r="B6" s="5" t="s">
        <v>56</v>
      </c>
      <c r="C6" s="5" t="s">
        <v>22</v>
      </c>
      <c r="D6" s="5" t="s">
        <v>45</v>
      </c>
      <c r="E6" s="5" t="s">
        <v>46</v>
      </c>
      <c r="F6" s="8">
        <v>243.6</v>
      </c>
      <c r="G6" s="8">
        <v>288.15</v>
      </c>
      <c r="H6" s="8">
        <v>236.98</v>
      </c>
      <c r="I6" s="8">
        <v>214.76</v>
      </c>
      <c r="J6" s="8">
        <v>212.93</v>
      </c>
      <c r="K6" s="6">
        <f>IFERROR(J6/I6-1,"")</f>
        <v>-0.008521139877072037</v>
      </c>
      <c r="L6" s="6">
        <f>IFERROR(J6/H6-1,"")</f>
        <v>-0.10148535741412767</v>
      </c>
      <c r="M6" s="6">
        <f>IFERROR(J6/G6-1,"")</f>
        <v>-0.26104459482908204</v>
      </c>
      <c r="N6" s="6">
        <v>0.06880131362889985</v>
      </c>
      <c r="O6" s="6">
        <v>0.106736825933323</v>
      </c>
      <c r="P6" s="6">
        <v>-0.261044594829082</v>
      </c>
      <c r="Q6" s="6">
        <f>IFERROR(J6/F6-1,"")</f>
        <v>-0.12590311986863711</v>
      </c>
      <c r="R6" s="6">
        <v>-0.2738851292729481</v>
      </c>
    </row>
    <row r="7" spans="1:18">
      <c r="A7" s="5" t="s">
        <v>57</v>
      </c>
      <c r="B7" s="5" t="s">
        <v>58</v>
      </c>
      <c r="C7" s="5" t="s">
        <v>22</v>
      </c>
      <c r="D7" s="5" t="s">
        <v>45</v>
      </c>
      <c r="E7" s="5" t="s">
        <v>46</v>
      </c>
      <c r="F7" s="8">
        <v>301.98</v>
      </c>
      <c r="G7" s="8">
        <v>323.6</v>
      </c>
      <c r="H7" s="8">
        <v>358.06</v>
      </c>
      <c r="I7" s="8">
        <v>344.3</v>
      </c>
      <c r="J7" s="8">
        <v>332.7</v>
      </c>
      <c r="K7" s="6">
        <f>IFERROR(J7/I7-1,"")</f>
        <v>-0.03369154806854491</v>
      </c>
      <c r="L7" s="6">
        <f>IFERROR(J7/H7-1,"")</f>
        <v>-0.0708261185276211</v>
      </c>
      <c r="M7" s="6">
        <f>IFERROR(J7/G7-1,"")</f>
        <v>0.028121137206427615</v>
      </c>
      <c r="N7" s="6">
        <v>-0.08818464798993308</v>
      </c>
      <c r="O7" s="6">
        <v>0.1752315235155257</v>
      </c>
      <c r="P7" s="6">
        <v>0.02812113720642762</v>
      </c>
      <c r="Q7" s="6">
        <f>IFERROR(J7/F7-1,"")</f>
        <v>0.10172859129743683</v>
      </c>
      <c r="R7" s="6">
        <v>-0.1651009786913685</v>
      </c>
    </row>
    <row r="8" spans="1:18">
      <c r="A8" s="5" t="s">
        <v>59</v>
      </c>
      <c r="B8" s="5" t="s">
        <v>60</v>
      </c>
      <c r="C8" s="5" t="s">
        <v>22</v>
      </c>
      <c r="D8" s="5" t="s">
        <v>45</v>
      </c>
      <c r="E8" s="5" t="s">
        <v>49</v>
      </c>
      <c r="F8" s="8">
        <v>119.36</v>
      </c>
      <c r="G8" s="8">
        <v>118.14</v>
      </c>
      <c r="H8" s="8">
        <v>144.71</v>
      </c>
      <c r="I8" s="8">
        <v>145.59</v>
      </c>
      <c r="J8" s="8">
        <v>141.26</v>
      </c>
      <c r="K8" s="6">
        <f>IFERROR(J8/I8-1,"")</f>
        <v>-0.029741053643794313</v>
      </c>
      <c r="L8" s="6">
        <f>IFERROR(J8/H8-1,"")</f>
        <v>-0.02384078501831255</v>
      </c>
      <c r="M8" s="6">
        <f>IFERROR(J8/G8-1,"")</f>
        <v>0.19570001692906702</v>
      </c>
      <c r="N8" s="6">
        <v>-0.1092493297587132</v>
      </c>
      <c r="O8" s="6">
        <v>0.11117381489842</v>
      </c>
      <c r="P8" s="6">
        <v>0.195700016929067</v>
      </c>
      <c r="Q8" s="6">
        <f>IFERROR(J8/F8-1,"")</f>
        <v>0.18347855227882026</v>
      </c>
      <c r="R8" s="6">
        <v>-0.25</v>
      </c>
    </row>
    <row r="9" spans="1:18">
      <c r="A9" s="5" t="s">
        <v>61</v>
      </c>
      <c r="B9" s="5" t="s">
        <v>62</v>
      </c>
      <c r="C9" s="5" t="s">
        <v>22</v>
      </c>
      <c r="D9" s="5" t="s">
        <v>45</v>
      </c>
      <c r="E9" s="5" t="s">
        <v>49</v>
      </c>
      <c r="F9" s="8">
        <v>141.7</v>
      </c>
      <c r="G9" s="8">
        <v>162.66</v>
      </c>
      <c r="H9" s="8">
        <v>186.29</v>
      </c>
      <c r="I9" s="8">
        <v>182.53</v>
      </c>
      <c r="J9" s="8">
        <v>174.33</v>
      </c>
      <c r="K9" s="6">
        <f>IFERROR(J9/I9-1,"")</f>
        <v>-0.0449241220621267</v>
      </c>
      <c r="L9" s="6">
        <f>IFERROR(J9/H9-1,"")</f>
        <v>-0.0642009769713886</v>
      </c>
      <c r="M9" s="6">
        <f>IFERROR(J9/G9-1,"")</f>
        <v>0.07174474363703442</v>
      </c>
      <c r="N9" s="6">
        <v>-0.08750882145377548</v>
      </c>
      <c r="O9" s="6">
        <v>0.2580046403712295</v>
      </c>
      <c r="P9" s="6">
        <v>0.07174474363703442</v>
      </c>
      <c r="Q9" s="6">
        <f>IFERROR(J9/F9-1,"")</f>
        <v>0.23027522935779832</v>
      </c>
      <c r="R9" s="6">
        <v>-0.2429781227946365</v>
      </c>
    </row>
    <row r="10" spans="1:18">
      <c r="A10" s="5" t="s">
        <v>63</v>
      </c>
      <c r="B10" s="5" t="s">
        <v>64</v>
      </c>
      <c r="C10" s="5" t="s">
        <v>22</v>
      </c>
      <c r="D10" s="5" t="s">
        <v>45</v>
      </c>
      <c r="E10" s="5" t="s">
        <v>46</v>
      </c>
      <c r="F10" s="8">
        <v>147.91</v>
      </c>
      <c r="G10" s="8">
        <v>171.28</v>
      </c>
      <c r="H10" s="8">
        <v>204.72</v>
      </c>
      <c r="I10" s="8">
        <v>206.92</v>
      </c>
      <c r="J10" s="8">
        <v>195.79</v>
      </c>
      <c r="K10" s="6">
        <f>IFERROR(J10/I10-1,"")</f>
        <v>-0.053788903924221865</v>
      </c>
      <c r="L10" s="6">
        <f>IFERROR(J10/H10-1,"")</f>
        <v>-0.043620554904259534</v>
      </c>
      <c r="M10" s="6">
        <f>IFERROR(J10/G10-1,"")</f>
        <v>0.14309901914992995</v>
      </c>
      <c r="N10" s="6">
        <v>-0.08457845987424784</v>
      </c>
      <c r="O10" s="6">
        <v>0.2649926144756278</v>
      </c>
      <c r="P10" s="6">
        <v>0.14309901914993</v>
      </c>
      <c r="Q10" s="6">
        <f>IFERROR(J10/F10-1,"")</f>
        <v>0.3237103644107904</v>
      </c>
      <c r="R10" s="6">
        <v>-0.2357514704888107</v>
      </c>
    </row>
    <row r="11" spans="1:18">
      <c r="A11" s="5" t="s">
        <v>65</v>
      </c>
      <c r="B11" s="5" t="s">
        <v>66</v>
      </c>
      <c r="C11" s="5" t="s">
        <v>25</v>
      </c>
      <c r="D11" s="5" t="s">
        <v>45</v>
      </c>
      <c r="E11" s="5" t="s">
        <v>49</v>
      </c>
      <c r="F11" s="8">
        <v>523.2</v>
      </c>
      <c r="G11" s="8">
        <v>518.58</v>
      </c>
      <c r="H11" s="8">
        <v>465.58</v>
      </c>
      <c r="I11" s="8">
        <v>456.16</v>
      </c>
      <c r="J11" s="8">
        <v>477.57</v>
      </c>
      <c r="K11" s="6">
        <f>IFERROR(J11/I11-1,"")</f>
        <v>0.04693528586460882</v>
      </c>
      <c r="L11" s="6">
        <f>IFERROR(J11/H11-1,"")</f>
        <v>0.025752824434039256</v>
      </c>
      <c r="M11" s="6">
        <f>IFERROR(J11/G11-1,"")</f>
        <v>-0.07908133749855384</v>
      </c>
      <c r="N11" s="6">
        <v>-0.01028287461773703</v>
      </c>
      <c r="O11" s="6">
        <v>0.00146769147580228</v>
      </c>
      <c r="P11" s="6">
        <v>-0.07908133749855384</v>
      </c>
      <c r="Q11" s="6">
        <f>IFERROR(J11/F11-1,"")</f>
        <v>-0.08721330275229366</v>
      </c>
      <c r="R11" s="6">
        <v>-0.260539498373242</v>
      </c>
    </row>
    <row r="12" spans="1:18">
      <c r="A12" s="5" t="s">
        <v>67</v>
      </c>
      <c r="B12" s="5" t="s">
        <v>68</v>
      </c>
      <c r="C12" s="5" t="s">
        <v>25</v>
      </c>
      <c r="D12" s="5" t="s">
        <v>45</v>
      </c>
      <c r="E12" s="5" t="s">
        <v>49</v>
      </c>
      <c r="F12" s="8">
        <v>418.91</v>
      </c>
      <c r="G12" s="8">
        <v>418.16</v>
      </c>
      <c r="H12" s="8">
        <v>368.79</v>
      </c>
      <c r="I12" s="8">
        <v>357.16</v>
      </c>
      <c r="J12" s="8">
        <v>357.895</v>
      </c>
      <c r="K12" s="6">
        <f>IFERROR(J12/I12-1,"")</f>
        <v>0.0020579012207413427</v>
      </c>
      <c r="L12" s="6">
        <f>IFERROR(J12/H12-1,"")</f>
        <v>-0.02954255809539319</v>
      </c>
      <c r="M12" s="6">
        <f>IFERROR(J12/G12-1,"")</f>
        <v>-0.1441194757987374</v>
      </c>
      <c r="N12" s="6">
        <v>-0.1395526485402593</v>
      </c>
      <c r="O12" s="6">
        <v>0.1601054237758359</v>
      </c>
      <c r="P12" s="6">
        <v>-0.1441194757987374</v>
      </c>
      <c r="Q12" s="6">
        <f>IFERROR(J12/F12-1,"")</f>
        <v>-0.14565181065145272</v>
      </c>
      <c r="R12" s="6">
        <v>-0.1687161024873761</v>
      </c>
    </row>
    <row r="13" spans="1:18">
      <c r="A13" s="5" t="s">
        <v>69</v>
      </c>
      <c r="B13" s="5" t="s">
        <v>70</v>
      </c>
      <c r="C13" s="5" t="s">
        <v>25</v>
      </c>
      <c r="D13" s="5" t="s">
        <v>45</v>
      </c>
      <c r="E13" s="5" t="s">
        <v>46</v>
      </c>
      <c r="F13" s="8">
        <v>111.78</v>
      </c>
      <c r="G13" s="8">
        <v>100.86</v>
      </c>
      <c r="H13" s="8">
        <v>89.47</v>
      </c>
      <c r="I13" s="8">
        <v>91.67</v>
      </c>
      <c r="J13" s="8">
        <v>95.8</v>
      </c>
      <c r="K13" s="6">
        <f>IFERROR(J13/I13-1,"")</f>
        <v>0.045052907167012046</v>
      </c>
      <c r="L13" s="6">
        <f>IFERROR(J13/H13-1,"")</f>
        <v>0.07074997205767297</v>
      </c>
      <c r="M13" s="6">
        <f>IFERROR(J13/G13-1,"")</f>
        <v>-0.050168550465992445</v>
      </c>
      <c r="N13" s="6">
        <v>0.07666845589550908</v>
      </c>
      <c r="O13" s="6">
        <v>-0.1619443290402991</v>
      </c>
      <c r="P13" s="6">
        <v>-0.05016855046599245</v>
      </c>
      <c r="Q13" s="6">
        <f>IFERROR(J13/F13-1,"")</f>
        <v>-0.14295938450527823</v>
      </c>
      <c r="R13" s="6">
        <v>-0.4190435646374344</v>
      </c>
    </row>
    <row r="14" spans="1:18">
      <c r="A14" s="5" t="s">
        <v>71</v>
      </c>
      <c r="B14" s="5" t="s">
        <v>72</v>
      </c>
      <c r="C14" s="5" t="s">
        <v>25</v>
      </c>
      <c r="D14" s="5" t="s">
        <v>45</v>
      </c>
      <c r="E14" s="5" t="s">
        <v>46</v>
      </c>
      <c r="F14" s="8">
        <v>1652.6</v>
      </c>
      <c r="G14" s="8">
        <v>1335.03</v>
      </c>
      <c r="H14" s="8">
        <v>1256.26</v>
      </c>
      <c r="I14" s="8">
        <v>1213.65</v>
      </c>
      <c r="J14" s="8">
        <v>1223.86</v>
      </c>
      <c r="K14" s="6">
        <f>IFERROR(J14/I14-1,"")</f>
        <v>0.008412639558356805</v>
      </c>
      <c r="L14" s="6">
        <f>IFERROR(J14/H14-1,"")</f>
        <v>-0.02579083947590477</v>
      </c>
      <c r="M14" s="6">
        <f>IFERROR(J14/G14-1,"")</f>
        <v>-0.08327153696920675</v>
      </c>
      <c r="N14" s="6">
        <v>-0.2205252329662349</v>
      </c>
      <c r="O14" s="6">
        <v>0.03638523164824248</v>
      </c>
      <c r="P14" s="6">
        <v>-0.08327153696920675</v>
      </c>
      <c r="Q14" s="6">
        <f>IFERROR(J14/F14-1,"")</f>
        <v>-0.2594336197506959</v>
      </c>
      <c r="R14" s="6">
        <v>-0.2656117632821008</v>
      </c>
    </row>
    <row r="15" spans="1:18">
      <c r="A15" s="5" t="s">
        <v>73</v>
      </c>
      <c r="B15" s="5" t="s">
        <v>74</v>
      </c>
      <c r="C15" s="5" t="s">
        <v>25</v>
      </c>
      <c r="D15" s="5" t="s">
        <v>45</v>
      </c>
      <c r="E15" s="5" t="s">
        <v>49</v>
      </c>
      <c r="F15" s="8">
        <v>316.43</v>
      </c>
      <c r="G15" s="8">
        <v>218.59</v>
      </c>
      <c r="H15" s="8">
        <v>216.62</v>
      </c>
      <c r="I15" s="8">
        <v>208.83</v>
      </c>
      <c r="J15" s="8">
        <v>223.55</v>
      </c>
      <c r="K15" s="6">
        <f>IFERROR(J15/I15-1,"")</f>
        <v>0.07048795671120045</v>
      </c>
      <c r="L15" s="6">
        <f>IFERROR(J15/H15-1,"")</f>
        <v>0.031991505862801306</v>
      </c>
      <c r="M15" s="6">
        <f>IFERROR(J15/G15-1,"")</f>
        <v>0.022690882474038165</v>
      </c>
      <c r="N15" s="6">
        <v>-0.2248206554372215</v>
      </c>
      <c r="O15" s="6">
        <v>-0.1088507480940927</v>
      </c>
      <c r="P15" s="6">
        <v>0.02269088247403817</v>
      </c>
      <c r="Q15" s="6">
        <f>IFERROR(J15/F15-1,"")</f>
        <v>-0.29352463420029706</v>
      </c>
      <c r="R15" s="6">
        <v>-0.4836140694624403</v>
      </c>
    </row>
    <row r="16" spans="1:18">
      <c r="A16" s="5" t="s">
        <v>75</v>
      </c>
      <c r="B16" s="5" t="s">
        <v>76</v>
      </c>
      <c r="C16" s="5" t="s">
        <v>25</v>
      </c>
      <c r="D16" s="5" t="s">
        <v>45</v>
      </c>
      <c r="E16" s="5" t="s">
        <v>49</v>
      </c>
      <c r="F16" s="8">
        <v>996</v>
      </c>
      <c r="G16" s="8">
        <v>892.67</v>
      </c>
      <c r="H16" s="8">
        <v>932.86</v>
      </c>
      <c r="I16" s="8">
        <v>958.16</v>
      </c>
      <c r="J16" s="8">
        <v>1016.59</v>
      </c>
      <c r="K16" s="6">
        <f>IFERROR(J16/I16-1,"")</f>
        <v>0.06098146447357444</v>
      </c>
      <c r="L16" s="6">
        <f>IFERROR(J16/H16-1,"")</f>
        <v>0.08975623351842721</v>
      </c>
      <c r="M16" s="6">
        <f>IFERROR(J16/G16-1,"")</f>
        <v>0.1388194965664804</v>
      </c>
      <c r="N16" s="6">
        <v>-0.02052208835341374</v>
      </c>
      <c r="O16" s="6">
        <v>-0.08496658329574802</v>
      </c>
      <c r="P16" s="6">
        <v>0.1388194965664804</v>
      </c>
      <c r="Q16" s="6">
        <f>IFERROR(J16/F16-1,"")</f>
        <v>0.020672690763052337</v>
      </c>
      <c r="R16" s="6">
        <v>-0.3910478262302647</v>
      </c>
    </row>
    <row r="17" spans="1:18">
      <c r="A17" s="5" t="s">
        <v>77</v>
      </c>
      <c r="B17" s="5" t="s">
        <v>78</v>
      </c>
      <c r="C17" s="5" t="s">
        <v>25</v>
      </c>
      <c r="D17" s="5" t="s">
        <v>45</v>
      </c>
      <c r="E17" s="5" t="s">
        <v>49</v>
      </c>
      <c r="F17" s="8">
        <v>218.66</v>
      </c>
      <c r="G17" s="8">
        <v>211.94</v>
      </c>
      <c r="H17" s="8">
        <v>217.55</v>
      </c>
      <c r="I17" s="8">
        <v>228.45</v>
      </c>
      <c r="J17" s="8">
        <v>230.36</v>
      </c>
      <c r="K17" s="6">
        <f>IFERROR(J17/I17-1,"")</f>
        <v>0.008360691617421923</v>
      </c>
      <c r="L17" s="6">
        <f>IFERROR(J17/H17-1,"")</f>
        <v>0.05888301539875895</v>
      </c>
      <c r="M17" s="6">
        <f>IFERROR(J17/G17-1,"")</f>
        <v>0.08691139001604231</v>
      </c>
      <c r="N17" s="6">
        <v>-0.1089819811579621</v>
      </c>
      <c r="O17" s="6">
        <v>0.08782015090078521</v>
      </c>
      <c r="P17" s="6">
        <v>0.08691139001604231</v>
      </c>
      <c r="Q17" s="6">
        <f>IFERROR(J17/F17-1,"")</f>
        <v>0.053507728894173656</v>
      </c>
      <c r="R17" s="6">
        <v>-0.1310253361382969</v>
      </c>
    </row>
    <row r="18" spans="1:18">
      <c r="A18" s="5" t="s">
        <v>79</v>
      </c>
      <c r="B18" s="5" t="s">
        <v>80</v>
      </c>
      <c r="C18" s="5" t="s">
        <v>32</v>
      </c>
      <c r="D18" s="5" t="s">
        <v>81</v>
      </c>
      <c r="E18" s="5" t="s">
        <v>46</v>
      </c>
      <c r="F18" s="8">
        <v>845.4299999999999</v>
      </c>
      <c r="G18" s="8">
        <v>819.88</v>
      </c>
      <c r="H18" s="8">
        <v>740.17</v>
      </c>
      <c r="I18" s="8">
        <v>741.3200000000001</v>
      </c>
      <c r="J18" s="8">
        <v>754.16</v>
      </c>
      <c r="K18" s="6">
        <f>IFERROR(J18/I18-1,"")</f>
        <v>0.01732045540387417</v>
      </c>
      <c r="L18" s="6">
        <f>IFERROR(J18/H18-1,"")</f>
        <v>0.018901063269249008</v>
      </c>
      <c r="M18" s="6">
        <f>IFERROR(J18/G18-1,"")</f>
        <v>-0.08015807191296287</v>
      </c>
      <c r="N18" s="6">
        <v>-0.08370888187076397</v>
      </c>
      <c r="O18" s="6">
        <v>0.05837399633387563</v>
      </c>
      <c r="P18" s="6">
        <v>-0.08015807191296287</v>
      </c>
      <c r="Q18" s="6">
        <f>IFERROR(J18/F18-1,"")</f>
        <v>-0.10795689767337335</v>
      </c>
      <c r="R18" s="6">
        <v>-0.2260381180370131</v>
      </c>
    </row>
    <row r="19" spans="1:18">
      <c r="A19" s="5" t="s">
        <v>82</v>
      </c>
      <c r="B19" s="5" t="s">
        <v>83</v>
      </c>
      <c r="C19" s="5" t="s">
        <v>32</v>
      </c>
      <c r="D19" s="5" t="s">
        <v>81</v>
      </c>
      <c r="E19" s="5" t="s">
        <v>46</v>
      </c>
      <c r="F19" s="8">
        <v>1914.65</v>
      </c>
      <c r="G19" s="8">
        <v>1775.86</v>
      </c>
      <c r="H19" s="8">
        <v>1518.73</v>
      </c>
      <c r="I19" s="8">
        <v>1580.19</v>
      </c>
      <c r="J19" s="8">
        <v>1610.34</v>
      </c>
      <c r="K19" s="6">
        <f>IFERROR(J19/I19-1,"")</f>
        <v>0.019079984052550625</v>
      </c>
      <c r="L19" s="6">
        <f>IFERROR(J19/H19-1,"")</f>
        <v>0.0603201359030241</v>
      </c>
      <c r="M19" s="6">
        <f>IFERROR(J19/G19-1,"")</f>
        <v>-0.09320554548218896</v>
      </c>
      <c r="N19" s="6">
        <v>-0.09053874076201929</v>
      </c>
      <c r="O19" s="6">
        <v>0.01984724056739218</v>
      </c>
      <c r="P19" s="6">
        <v>-0.09320554548218896</v>
      </c>
      <c r="Q19" s="6">
        <f>IFERROR(J19/F19-1,"")</f>
        <v>-0.15893766484736127</v>
      </c>
      <c r="R19" s="6">
        <v>-0.2650749330997673</v>
      </c>
    </row>
    <row r="20" spans="1:18">
      <c r="A20" s="5" t="s">
        <v>84</v>
      </c>
      <c r="B20" s="5" t="s">
        <v>85</v>
      </c>
      <c r="C20" s="5" t="s">
        <v>32</v>
      </c>
      <c r="D20" s="5" t="s">
        <v>81</v>
      </c>
      <c r="E20" s="5" t="s">
        <v>49</v>
      </c>
      <c r="F20" s="8">
        <v>719.17</v>
      </c>
      <c r="G20" s="8">
        <v>693</v>
      </c>
      <c r="H20" s="8">
        <v>602.7</v>
      </c>
      <c r="I20" s="8">
        <v>620.0599999999999</v>
      </c>
      <c r="J20" s="8">
        <v>624.41</v>
      </c>
      <c r="K20" s="6">
        <f>IFERROR(J20/I20-1,"")</f>
        <v>0.007015450117730637</v>
      </c>
      <c r="L20" s="6">
        <f>IFERROR(J20/H20-1,"")</f>
        <v>0.03602123776339794</v>
      </c>
      <c r="M20" s="6">
        <f>IFERROR(J20/G20-1,"")</f>
        <v>-0.09897546897546905</v>
      </c>
      <c r="N20" s="6">
        <v>-0.07072041381036476</v>
      </c>
      <c r="O20" s="6">
        <v>0.03694393320465061</v>
      </c>
      <c r="P20" s="6">
        <v>-0.09897546897546905</v>
      </c>
      <c r="Q20" s="6">
        <f>IFERROR(J20/F20-1,"")</f>
        <v>-0.13176300457471812</v>
      </c>
      <c r="R20" s="6">
        <v>-0.2418461372172832</v>
      </c>
    </row>
    <row r="21" spans="1:18">
      <c r="A21" s="5" t="s">
        <v>86</v>
      </c>
      <c r="B21" s="5" t="s">
        <v>87</v>
      </c>
      <c r="C21" s="5" t="s">
        <v>30</v>
      </c>
      <c r="D21" s="5" t="s">
        <v>45</v>
      </c>
      <c r="E21" s="5" t="s">
        <v>49</v>
      </c>
      <c r="F21" s="8">
        <v>166.01</v>
      </c>
      <c r="G21" s="8">
        <v>190.51</v>
      </c>
      <c r="H21" s="8">
        <v>195.38</v>
      </c>
      <c r="I21" s="8">
        <v>191.44</v>
      </c>
      <c r="J21" s="8">
        <v>193.78</v>
      </c>
      <c r="K21" s="6">
        <f>IFERROR(J21/I21-1,"")</f>
        <v>0.012223150856665255</v>
      </c>
      <c r="L21" s="6">
        <f>IFERROR(J21/H21-1,"")</f>
        <v>-0.008189169822909181</v>
      </c>
      <c r="M21" s="6">
        <f>IFERROR(J21/G21-1,"")</f>
        <v>0.01716445330953764</v>
      </c>
      <c r="N21" s="6">
        <v>-0.03626287573037756</v>
      </c>
      <c r="O21" s="6">
        <v>0.1907619226201636</v>
      </c>
      <c r="P21" s="6">
        <v>0.01716445330953764</v>
      </c>
      <c r="Q21" s="6">
        <f>IFERROR(J21/F21-1,"")</f>
        <v>0.16727907957351973</v>
      </c>
      <c r="R21" s="6">
        <v>-0.1550599058622165</v>
      </c>
    </row>
    <row r="22" spans="1:18">
      <c r="A22" s="5" t="s">
        <v>88</v>
      </c>
      <c r="B22" s="5" t="s">
        <v>89</v>
      </c>
      <c r="C22" s="5" t="s">
        <v>30</v>
      </c>
      <c r="D22" s="5" t="s">
        <v>45</v>
      </c>
      <c r="E22" s="5" t="s">
        <v>46</v>
      </c>
      <c r="F22" s="8">
        <v>73.38500000000001</v>
      </c>
      <c r="G22" s="8">
        <v>85.66500000000001</v>
      </c>
      <c r="H22" s="8">
        <v>78.87</v>
      </c>
      <c r="I22" s="8">
        <v>82.06999999999999</v>
      </c>
      <c r="J22" s="8">
        <v>82.78</v>
      </c>
      <c r="K22" s="6">
        <f>IFERROR(J22/I22-1,"")</f>
        <v>0.008651151456074091</v>
      </c>
      <c r="L22" s="6">
        <f>IFERROR(J22/H22-1,"")</f>
        <v>0.04957525041207056</v>
      </c>
      <c r="M22" s="6">
        <f>IFERROR(J22/G22-1,"")</f>
        <v>-0.033677698009689006</v>
      </c>
      <c r="N22" s="6">
        <v>0.1214144579955032</v>
      </c>
      <c r="O22" s="6">
        <v>0.04095023999027902</v>
      </c>
      <c r="P22" s="6">
        <v>-0.03367769800968901</v>
      </c>
      <c r="Q22" s="6">
        <f>IFERROR(J22/F22-1,"")</f>
        <v>0.12802343803229532</v>
      </c>
      <c r="R22" s="6">
        <v>-0.1841538112522686</v>
      </c>
    </row>
    <row r="23" spans="1:18">
      <c r="A23" s="5" t="s">
        <v>90</v>
      </c>
      <c r="B23" s="5" t="s">
        <v>91</v>
      </c>
      <c r="C23" s="5" t="s">
        <v>30</v>
      </c>
      <c r="D23" s="5" t="s">
        <v>45</v>
      </c>
      <c r="E23" s="5" t="s">
        <v>49</v>
      </c>
      <c r="F23" s="8">
        <v>535.63</v>
      </c>
      <c r="G23" s="8">
        <v>411.13</v>
      </c>
      <c r="H23" s="8">
        <v>378.44</v>
      </c>
      <c r="I23" s="8">
        <v>317.46</v>
      </c>
      <c r="J23" s="8">
        <v>321</v>
      </c>
      <c r="K23" s="6">
        <f>IFERROR(J23/I23-1,"")</f>
        <v>0.011151011151011136</v>
      </c>
      <c r="L23" s="6">
        <f>IFERROR(J23/H23-1,"")</f>
        <v>-0.15178099566642</v>
      </c>
      <c r="M23" s="6">
        <f>IFERROR(J23/G23-1,"")</f>
        <v>-0.21922506263225738</v>
      </c>
      <c r="N23" s="6">
        <v>-0.2112839086682972</v>
      </c>
      <c r="O23" s="6">
        <v>-0.02681910713440327</v>
      </c>
      <c r="P23" s="6">
        <v>-0.2192250626322574</v>
      </c>
      <c r="Q23" s="6">
        <f>IFERROR(J23/F23-1,"")</f>
        <v>-0.400705711031869</v>
      </c>
      <c r="R23" s="6">
        <v>-0.4073147508541344</v>
      </c>
    </row>
    <row r="24" spans="1:18">
      <c r="A24" s="5" t="s">
        <v>92</v>
      </c>
      <c r="B24" s="5" t="s">
        <v>93</v>
      </c>
      <c r="C24" s="5" t="s">
        <v>30</v>
      </c>
      <c r="D24" s="5" t="s">
        <v>45</v>
      </c>
      <c r="E24" s="5" t="s">
        <v>49</v>
      </c>
      <c r="F24" s="8">
        <v>421.9</v>
      </c>
      <c r="G24" s="8">
        <v>323.73</v>
      </c>
      <c r="H24" s="8">
        <v>279.2</v>
      </c>
      <c r="I24" s="8">
        <v>264.41</v>
      </c>
      <c r="J24" s="8">
        <v>281.86</v>
      </c>
      <c r="K24" s="6">
        <f>IFERROR(J24/I24-1,"")</f>
        <v>0.06599599107446763</v>
      </c>
      <c r="L24" s="6">
        <f>IFERROR(J24/H24-1,"")</f>
        <v>0.00952722063037248</v>
      </c>
      <c r="M24" s="6">
        <f>IFERROR(J24/G24-1,"")</f>
        <v>-0.12933617520773488</v>
      </c>
      <c r="N24" s="6">
        <v>-0.2098601564351741</v>
      </c>
      <c r="O24" s="6">
        <v>-0.02888768898488114</v>
      </c>
      <c r="P24" s="6">
        <v>-0.1293361752077349</v>
      </c>
      <c r="Q24" s="6">
        <f>IFERROR(J24/F24-1,"")</f>
        <v>-0.3319269969187011</v>
      </c>
      <c r="R24" s="6">
        <v>-0.4781188304973206</v>
      </c>
    </row>
    <row r="25" spans="1:18">
      <c r="A25" s="5" t="s">
        <v>94</v>
      </c>
      <c r="B25" s="5" t="s">
        <v>95</v>
      </c>
      <c r="C25" s="5" t="s">
        <v>30</v>
      </c>
      <c r="D25" s="5" t="s">
        <v>45</v>
      </c>
      <c r="E25" s="5" t="s">
        <v>49</v>
      </c>
      <c r="F25" s="8">
        <v>130</v>
      </c>
      <c r="G25" s="8">
        <v>121.74</v>
      </c>
      <c r="H25" s="8">
        <v>109.93</v>
      </c>
      <c r="I25" s="8">
        <v>108.61</v>
      </c>
      <c r="J25" s="8">
        <v>109.2</v>
      </c>
      <c r="K25" s="6">
        <f>IFERROR(J25/I25-1,"")</f>
        <v>0.005432280637142073</v>
      </c>
      <c r="L25" s="6">
        <f>IFERROR(J25/H25-1,"")</f>
        <v>-0.006640589466023861</v>
      </c>
      <c r="M25" s="6">
        <f>IFERROR(J25/G25-1,"")</f>
        <v>-0.10300640709709208</v>
      </c>
      <c r="N25" s="6">
        <v>-0.1331538461538462</v>
      </c>
      <c r="O25" s="6">
        <v>0.08030881178454163</v>
      </c>
      <c r="P25" s="6">
        <v>-0.1030064070970921</v>
      </c>
      <c r="Q25" s="6">
        <f>IFERROR(J25/F25-1,"")</f>
        <v>-0.16000000000000003</v>
      </c>
      <c r="R25" s="6">
        <v>-0.1645384615384615</v>
      </c>
    </row>
    <row r="26" spans="1:18">
      <c r="A26" s="5" t="s">
        <v>96</v>
      </c>
      <c r="B26" s="5" t="s">
        <v>97</v>
      </c>
      <c r="C26" s="5" t="s">
        <v>30</v>
      </c>
      <c r="D26" s="5" t="s">
        <v>45</v>
      </c>
      <c r="E26" s="5" t="s">
        <v>46</v>
      </c>
      <c r="F26" s="8">
        <v>197.7</v>
      </c>
      <c r="G26" s="8">
        <v>159.89</v>
      </c>
      <c r="H26" s="8">
        <v>148.98</v>
      </c>
      <c r="I26" s="8">
        <v>146</v>
      </c>
      <c r="J26" s="8">
        <v>154.3</v>
      </c>
      <c r="K26" s="6">
        <f>IFERROR(J26/I26-1,"")</f>
        <v>0.05684931506849322</v>
      </c>
      <c r="L26" s="6">
        <f>IFERROR(J26/H26-1,"")</f>
        <v>0.03570949120687361</v>
      </c>
      <c r="M26" s="6">
        <f>IFERROR(J26/G26-1,"")</f>
        <v>-0.034961536056038356</v>
      </c>
      <c r="N26" s="6">
        <v>-0.004602933737986814</v>
      </c>
      <c r="O26" s="6">
        <v>-0.1875095279231669</v>
      </c>
      <c r="P26" s="6">
        <v>-0.03496153605603836</v>
      </c>
      <c r="Q26" s="6">
        <f>IFERROR(J26/F26-1,"")</f>
        <v>-0.21952453211937273</v>
      </c>
      <c r="R26" s="6">
        <v>-0.5148421917165318</v>
      </c>
    </row>
    <row r="27" spans="1:18">
      <c r="A27" s="5" t="s">
        <v>98</v>
      </c>
      <c r="B27" s="5" t="s">
        <v>99</v>
      </c>
      <c r="C27" s="5" t="s">
        <v>30</v>
      </c>
      <c r="D27" s="5" t="s">
        <v>45</v>
      </c>
      <c r="E27" s="5" t="s">
        <v>46</v>
      </c>
      <c r="F27" s="8">
        <v>945.08</v>
      </c>
      <c r="G27" s="8">
        <v>849.47</v>
      </c>
      <c r="H27" s="8">
        <v>895</v>
      </c>
      <c r="I27" s="8">
        <v>847.37</v>
      </c>
      <c r="J27" s="8">
        <v>881.255</v>
      </c>
      <c r="K27" s="6">
        <f>IFERROR(J27/I27-1,"")</f>
        <v>0.03998843480415881</v>
      </c>
      <c r="L27" s="6">
        <f>IFERROR(J27/H27-1,"")</f>
        <v>-0.015357541899441385</v>
      </c>
      <c r="M27" s="6">
        <f>IFERROR(J27/G27-1,"")</f>
        <v>0.03741744852672846</v>
      </c>
      <c r="N27" s="6">
        <v>-0.2293562449739704</v>
      </c>
      <c r="O27" s="6">
        <v>0.1663417179261863</v>
      </c>
      <c r="P27" s="6">
        <v>0.03741744852672846</v>
      </c>
      <c r="Q27" s="6">
        <f>IFERROR(J27/F27-1,"")</f>
        <v>-0.06753396537859235</v>
      </c>
      <c r="R27" s="6">
        <v>-0.3707429693702728</v>
      </c>
    </row>
    <row r="28" spans="1:18">
      <c r="A28" s="5" t="s">
        <v>100</v>
      </c>
      <c r="B28" s="5" t="s">
        <v>101</v>
      </c>
      <c r="C28" s="5" t="s">
        <v>29</v>
      </c>
      <c r="D28" s="5" t="s">
        <v>102</v>
      </c>
      <c r="E28" s="5" t="s">
        <v>49</v>
      </c>
      <c r="F28" s="8">
        <v>188.7</v>
      </c>
      <c r="G28" s="8">
        <v>193.89</v>
      </c>
      <c r="H28" s="8">
        <v>185.47</v>
      </c>
      <c r="I28" s="8">
        <v>187.79</v>
      </c>
      <c r="J28" s="8">
        <v>188.39</v>
      </c>
      <c r="K28" s="6">
        <f>IFERROR(J28/I28-1,"")</f>
        <v>0.003195058309814147</v>
      </c>
      <c r="L28" s="6">
        <f>IFERROR(J28/H28-1,"")</f>
        <v>0.015743786057044185</v>
      </c>
      <c r="M28" s="6">
        <f>IFERROR(J28/G28-1,"")</f>
        <v>-0.028366599618340316</v>
      </c>
      <c r="N28" s="6">
        <v>-0.08161102278749321</v>
      </c>
      <c r="O28" s="6">
        <v>0.1188113098672821</v>
      </c>
      <c r="P28" s="6">
        <v>-0.02836659961834032</v>
      </c>
      <c r="Q28" s="6">
        <f>IFERROR(J28/F28-1,"")</f>
        <v>-0.0016428192898780836</v>
      </c>
      <c r="R28" s="6">
        <v>-0.1147079881354197</v>
      </c>
    </row>
    <row r="29" spans="1:18">
      <c r="A29" s="5" t="s">
        <v>103</v>
      </c>
      <c r="B29" s="5" t="s">
        <v>104</v>
      </c>
      <c r="C29" s="5" t="s">
        <v>29</v>
      </c>
      <c r="D29" s="5" t="s">
        <v>102</v>
      </c>
      <c r="E29" s="5" t="s">
        <v>49</v>
      </c>
      <c r="F29" s="8">
        <v>1089.15</v>
      </c>
      <c r="G29" s="8">
        <v>1051.53</v>
      </c>
      <c r="H29" s="8">
        <v>1044.41</v>
      </c>
      <c r="I29" s="8">
        <v>1040.83</v>
      </c>
      <c r="J29" s="8">
        <v>1035.98</v>
      </c>
      <c r="K29" s="6">
        <f>IFERROR(J29/I29-1,"")</f>
        <v>-0.0046597427053408635</v>
      </c>
      <c r="L29" s="6">
        <f>IFERROR(J29/H29-1,"")</f>
        <v>-0.008071542784921726</v>
      </c>
      <c r="M29" s="6">
        <f>IFERROR(J29/G29-1,"")</f>
        <v>-0.014787975616482596</v>
      </c>
      <c r="N29" s="6">
        <v>-0.07999816370564206</v>
      </c>
      <c r="O29" s="6">
        <v>0.04941019141334513</v>
      </c>
      <c r="P29" s="6">
        <v>-0.0147879756164826</v>
      </c>
      <c r="Q29" s="6">
        <f>IFERROR(J29/F29-1,"")</f>
        <v>-0.0488178855070468</v>
      </c>
      <c r="R29" s="6">
        <v>-0.104933957022779</v>
      </c>
    </row>
    <row r="30" spans="1:18">
      <c r="A30" s="5" t="s">
        <v>105</v>
      </c>
      <c r="B30" s="5" t="s">
        <v>106</v>
      </c>
      <c r="C30" s="5" t="s">
        <v>29</v>
      </c>
      <c r="D30" s="5" t="s">
        <v>102</v>
      </c>
      <c r="E30" s="5" t="s">
        <v>46</v>
      </c>
      <c r="F30" s="8">
        <v>130.25</v>
      </c>
      <c r="G30" s="8">
        <v>125.51</v>
      </c>
      <c r="H30" s="8">
        <v>117.4</v>
      </c>
      <c r="I30" s="8">
        <v>114.98</v>
      </c>
      <c r="J30" s="8">
        <v>116.86</v>
      </c>
      <c r="K30" s="6">
        <f>IFERROR(J30/I30-1,"")</f>
        <v>0.01635066968168375</v>
      </c>
      <c r="L30" s="6">
        <f>IFERROR(J30/H30-1,"")</f>
        <v>-0.004599659284497459</v>
      </c>
      <c r="M30" s="6">
        <f>IFERROR(J30/G30-1,"")</f>
        <v>-0.06891881125009969</v>
      </c>
      <c r="N30" s="6">
        <v>-0.1004990403071018</v>
      </c>
      <c r="O30" s="6">
        <v>0.07127005804028697</v>
      </c>
      <c r="P30" s="6">
        <v>-0.06891881125009969</v>
      </c>
      <c r="Q30" s="6">
        <f>IFERROR(J30/F30-1,"")</f>
        <v>-0.10280230326295581</v>
      </c>
      <c r="R30" s="6">
        <v>-0.1594769277017887</v>
      </c>
    </row>
    <row r="31" spans="1:18">
      <c r="A31" s="5" t="s">
        <v>107</v>
      </c>
      <c r="B31" s="5" t="s">
        <v>108</v>
      </c>
      <c r="C31" s="5" t="s">
        <v>20</v>
      </c>
      <c r="D31" s="5" t="s">
        <v>45</v>
      </c>
      <c r="E31" s="5" t="s">
        <v>46</v>
      </c>
      <c r="F31" s="8">
        <v>158.98</v>
      </c>
      <c r="G31" s="8">
        <v>123.35</v>
      </c>
      <c r="H31" s="8">
        <v>107.47</v>
      </c>
      <c r="I31" s="8">
        <v>106.5</v>
      </c>
      <c r="J31" s="8">
        <v>105.22</v>
      </c>
      <c r="K31" s="6">
        <f>IFERROR(J31/I31-1,"")</f>
        <v>-0.012018779342722996</v>
      </c>
      <c r="L31" s="6">
        <f>IFERROR(J31/H31-1,"")</f>
        <v>-0.020936075183772163</v>
      </c>
      <c r="M31" s="6">
        <f>IFERROR(J31/G31-1,"")</f>
        <v>-0.1469801378192136</v>
      </c>
      <c r="N31" s="6">
        <v>-0.2881494527613536</v>
      </c>
      <c r="O31" s="6">
        <v>0.08995316780065377</v>
      </c>
      <c r="P31" s="6">
        <v>-0.1469801378192136</v>
      </c>
      <c r="Q31" s="6">
        <f>IFERROR(J31/F31-1,"")</f>
        <v>-0.33815574286073713</v>
      </c>
      <c r="R31" s="6">
        <v>-0.3389734557806012</v>
      </c>
    </row>
    <row r="32" spans="1:18">
      <c r="A32" s="5" t="s">
        <v>109</v>
      </c>
      <c r="B32" s="5" t="s">
        <v>110</v>
      </c>
      <c r="C32" s="5" t="s">
        <v>20</v>
      </c>
      <c r="D32" s="5" t="s">
        <v>45</v>
      </c>
      <c r="E32" s="5" t="s">
        <v>49</v>
      </c>
      <c r="F32" s="8">
        <v>179.7725</v>
      </c>
      <c r="G32" s="8">
        <v>211.22</v>
      </c>
      <c r="H32" s="8">
        <v>218.4</v>
      </c>
      <c r="I32" s="8">
        <v>214.97</v>
      </c>
      <c r="J32" s="8">
        <v>213.1</v>
      </c>
      <c r="K32" s="6">
        <f>IFERROR(J32/I32-1,"")</f>
        <v>-0.00869888821696052</v>
      </c>
      <c r="L32" s="6">
        <f>IFERROR(J32/H32-1,"")</f>
        <v>-0.024267399267399292</v>
      </c>
      <c r="M32" s="6">
        <f>IFERROR(J32/G32-1,"")</f>
        <v>0.008900672284821498</v>
      </c>
      <c r="N32" s="6">
        <v>0.0790304412521381</v>
      </c>
      <c r="O32" s="6">
        <v>0.08887514176719247</v>
      </c>
      <c r="P32" s="6">
        <v>0.008900672284821498</v>
      </c>
      <c r="Q32" s="6">
        <f>IFERROR(J32/F32-1,"")</f>
        <v>0.1853870864564935</v>
      </c>
      <c r="R32" s="6">
        <v>-0.178025096439498</v>
      </c>
    </row>
    <row r="33" spans="1:18">
      <c r="A33" s="5" t="s">
        <v>111</v>
      </c>
      <c r="B33" s="5" t="s">
        <v>112</v>
      </c>
      <c r="C33" s="5" t="s">
        <v>20</v>
      </c>
      <c r="D33" s="5" t="s">
        <v>45</v>
      </c>
      <c r="E33" s="5" t="s">
        <v>49</v>
      </c>
      <c r="F33" s="8">
        <v>149.67</v>
      </c>
      <c r="G33" s="8">
        <v>168.29</v>
      </c>
      <c r="H33" s="8">
        <v>166</v>
      </c>
      <c r="I33" s="8">
        <v>156.36</v>
      </c>
      <c r="J33" s="8">
        <v>156.29</v>
      </c>
      <c r="K33" s="6">
        <f>IFERROR(J33/I33-1,"")</f>
        <v>-0.0004476848298798908</v>
      </c>
      <c r="L33" s="6">
        <f>IFERROR(J33/H33-1,"")</f>
        <v>-0.05849397590361449</v>
      </c>
      <c r="M33" s="6">
        <f>IFERROR(J33/G33-1,"")</f>
        <v>-0.07130548458018893</v>
      </c>
      <c r="N33" s="6">
        <v>0.04396338611612216</v>
      </c>
      <c r="O33" s="6">
        <v>0.07705600000000001</v>
      </c>
      <c r="P33" s="6">
        <v>-0.07130548458018893</v>
      </c>
      <c r="Q33" s="6">
        <f>IFERROR(J33/F33-1,"")</f>
        <v>0.044230640742967786</v>
      </c>
      <c r="R33" s="6">
        <v>-0.1055677740479223</v>
      </c>
    </row>
    <row r="34" spans="1:18">
      <c r="A34" s="5" t="s">
        <v>113</v>
      </c>
      <c r="B34" s="5" t="s">
        <v>114</v>
      </c>
      <c r="C34" s="5" t="s">
        <v>20</v>
      </c>
      <c r="D34" s="5" t="s">
        <v>45</v>
      </c>
      <c r="E34" s="5" t="s">
        <v>46</v>
      </c>
      <c r="F34" s="8">
        <v>26.52</v>
      </c>
      <c r="G34" s="8">
        <v>28.27</v>
      </c>
      <c r="H34" s="8">
        <v>31.02</v>
      </c>
      <c r="I34" s="8">
        <v>31.33</v>
      </c>
      <c r="J34" s="8">
        <v>30.65</v>
      </c>
      <c r="K34" s="6">
        <f>IFERROR(J34/I34-1,"")</f>
        <v>-0.021704436642196012</v>
      </c>
      <c r="L34" s="6">
        <f>IFERROR(J34/H34-1,"")</f>
        <v>-0.011927788523533267</v>
      </c>
      <c r="M34" s="6">
        <f>IFERROR(J34/G34-1,"")</f>
        <v>0.08418818535550043</v>
      </c>
      <c r="N34" s="6">
        <v>0.005656108597285048</v>
      </c>
      <c r="O34" s="6">
        <v>0.05999250093738273</v>
      </c>
      <c r="P34" s="6">
        <v>0.08418818535550043</v>
      </c>
      <c r="Q34" s="6">
        <f>IFERROR(J34/F34-1,"")</f>
        <v>0.1557315233785821</v>
      </c>
      <c r="R34" s="6">
        <v>-0.1323529411764706</v>
      </c>
    </row>
    <row r="35" spans="1:18">
      <c r="A35" s="5" t="s">
        <v>115</v>
      </c>
      <c r="B35" s="5" t="s">
        <v>116</v>
      </c>
      <c r="C35" s="5" t="s">
        <v>20</v>
      </c>
      <c r="D35" s="5" t="s">
        <v>45</v>
      </c>
      <c r="E35" s="5" t="s">
        <v>49</v>
      </c>
      <c r="F35" s="8">
        <v>279.25</v>
      </c>
      <c r="G35" s="8">
        <v>366.34</v>
      </c>
      <c r="H35" s="8">
        <v>371.59</v>
      </c>
      <c r="I35" s="8">
        <v>331.94</v>
      </c>
      <c r="J35" s="8">
        <v>333.26</v>
      </c>
      <c r="K35" s="6">
        <f>IFERROR(J35/I35-1,"")</f>
        <v>0.003976622281135045</v>
      </c>
      <c r="L35" s="6">
        <f>IFERROR(J35/H35-1,"")</f>
        <v>-0.10315132269436744</v>
      </c>
      <c r="M35" s="6">
        <f>IFERROR(J35/G35-1,"")</f>
        <v>-0.09029862968826774</v>
      </c>
      <c r="N35" s="6">
        <v>0.2464100268576543</v>
      </c>
      <c r="O35" s="6">
        <v>0.05251968051485378</v>
      </c>
      <c r="P35" s="6">
        <v>-0.09029862968826774</v>
      </c>
      <c r="Q35" s="6">
        <f>IFERROR(J35/F35-1,"")</f>
        <v>0.1934109221128022</v>
      </c>
      <c r="R35" s="6">
        <v>-0.1705050505050505</v>
      </c>
    </row>
    <row r="36" spans="1:18">
      <c r="A36" s="5" t="s">
        <v>117</v>
      </c>
      <c r="B36" s="5" t="s">
        <v>118</v>
      </c>
      <c r="C36" s="5" t="s">
        <v>26</v>
      </c>
      <c r="D36" s="5" t="s">
        <v>45</v>
      </c>
      <c r="E36" s="5" t="s">
        <v>49</v>
      </c>
      <c r="F36" s="8">
        <v>422.05</v>
      </c>
      <c r="G36" s="8">
        <v>467.27</v>
      </c>
      <c r="H36" s="8">
        <v>456.24</v>
      </c>
      <c r="I36" s="8">
        <v>516.39</v>
      </c>
      <c r="J36" s="8">
        <v>524.14</v>
      </c>
      <c r="K36" s="6">
        <f>IFERROR(J36/I36-1,"")</f>
        <v>0.015008036561513505</v>
      </c>
      <c r="L36" s="6">
        <f>IFERROR(J36/H36-1,"")</f>
        <v>0.14882517972996667</v>
      </c>
      <c r="M36" s="6">
        <f>IFERROR(J36/G36-1,"")</f>
        <v>0.12170693603270055</v>
      </c>
      <c r="N36" s="6">
        <v>-0.0657031157445801</v>
      </c>
      <c r="O36" s="6">
        <v>0.185002028809089</v>
      </c>
      <c r="P36" s="6">
        <v>0.1217069360327006</v>
      </c>
      <c r="Q36" s="6">
        <f>IFERROR(J36/F36-1,"")</f>
        <v>0.24189077123563552</v>
      </c>
      <c r="R36" s="6">
        <v>-0.1921143506578661</v>
      </c>
    </row>
    <row r="37" spans="1:18">
      <c r="A37" s="5" t="s">
        <v>119</v>
      </c>
      <c r="B37" s="5" t="s">
        <v>120</v>
      </c>
      <c r="C37" s="5" t="s">
        <v>26</v>
      </c>
      <c r="D37" s="5" t="s">
        <v>45</v>
      </c>
      <c r="E37" s="5" t="s">
        <v>46</v>
      </c>
      <c r="F37" s="8">
        <v>159.51</v>
      </c>
      <c r="G37" s="8">
        <v>126.71</v>
      </c>
      <c r="H37" s="8">
        <v>110.5</v>
      </c>
      <c r="I37" s="8">
        <v>107.89</v>
      </c>
      <c r="J37" s="8">
        <v>109.51</v>
      </c>
      <c r="K37" s="6">
        <f>IFERROR(J37/I37-1,"")</f>
        <v>0.015015293354342374</v>
      </c>
      <c r="L37" s="6">
        <f>IFERROR(J37/H37-1,"")</f>
        <v>-0.008959276018099538</v>
      </c>
      <c r="M37" s="6">
        <f>IFERROR(J37/G37-1,"")</f>
        <v>-0.13574303527740506</v>
      </c>
      <c r="N37" s="6">
        <v>-0.1420287129333584</v>
      </c>
      <c r="O37" s="6">
        <v>-0.07412955317671988</v>
      </c>
      <c r="P37" s="6">
        <v>-0.1357430352774051</v>
      </c>
      <c r="Q37" s="6">
        <f>IFERROR(J37/F37-1,"")</f>
        <v>-0.31345997116168256</v>
      </c>
      <c r="R37" s="6">
        <v>-0.3643487381995434</v>
      </c>
    </row>
    <row r="38" spans="1:18">
      <c r="A38" s="5" t="s">
        <v>121</v>
      </c>
      <c r="B38" s="5" t="s">
        <v>122</v>
      </c>
      <c r="C38" s="5" t="s">
        <v>26</v>
      </c>
      <c r="D38" s="5" t="s">
        <v>45</v>
      </c>
      <c r="E38" s="5" t="s">
        <v>49</v>
      </c>
      <c r="F38" s="8">
        <v>53.69</v>
      </c>
      <c r="G38" s="8">
        <v>52.39</v>
      </c>
      <c r="H38" s="8">
        <v>52.31</v>
      </c>
      <c r="I38" s="8">
        <v>54.44</v>
      </c>
      <c r="J38" s="8">
        <v>52</v>
      </c>
      <c r="K38" s="6">
        <f>IFERROR(J38/I38-1,"")</f>
        <v>-0.044819985304922816</v>
      </c>
      <c r="L38" s="6">
        <f>IFERROR(J38/H38-1,"")</f>
        <v>-0.00592620913783215</v>
      </c>
      <c r="M38" s="6">
        <f>IFERROR(J38/G38-1,"")</f>
        <v>-0.007444168734491274</v>
      </c>
      <c r="N38" s="6">
        <v>-0.2320730117340287</v>
      </c>
      <c r="O38" s="6">
        <v>0.2706766917293235</v>
      </c>
      <c r="P38" s="6">
        <v>-0.007444168734491274</v>
      </c>
      <c r="Q38" s="6">
        <f>IFERROR(J38/F38-1,"")</f>
        <v>-0.03147699757869249</v>
      </c>
      <c r="R38" s="6">
        <v>-0.2320730117340287</v>
      </c>
    </row>
    <row r="39" spans="1:18">
      <c r="A39" s="5" t="s">
        <v>123</v>
      </c>
      <c r="B39" s="5" t="s">
        <v>124</v>
      </c>
      <c r="C39" s="5" t="s">
        <v>26</v>
      </c>
      <c r="D39" s="5" t="s">
        <v>45</v>
      </c>
      <c r="E39" s="5" t="s">
        <v>46</v>
      </c>
      <c r="F39" s="8">
        <v>373.82</v>
      </c>
      <c r="G39" s="8">
        <v>340</v>
      </c>
      <c r="H39" s="8">
        <v>301.45</v>
      </c>
      <c r="I39" s="8">
        <v>305.92</v>
      </c>
      <c r="J39" s="8">
        <v>310.57</v>
      </c>
      <c r="K39" s="6">
        <f>IFERROR(J39/I39-1,"")</f>
        <v>0.015200052301255207</v>
      </c>
      <c r="L39" s="6">
        <f>IFERROR(J39/H39-1,"")</f>
        <v>0.030253773428429165</v>
      </c>
      <c r="M39" s="6">
        <f>IFERROR(J39/G39-1,"")</f>
        <v>-0.0865588235294118</v>
      </c>
      <c r="N39" s="6">
        <v>-0.08699374030281948</v>
      </c>
      <c r="O39" s="6">
        <v>-0.003808965719308555</v>
      </c>
      <c r="P39" s="6">
        <v>-0.0865588235294118</v>
      </c>
      <c r="Q39" s="6">
        <f>IFERROR(J39/F39-1,"")</f>
        <v>-0.16919907977101278</v>
      </c>
      <c r="R39" s="6">
        <v>-0.2554002541296061</v>
      </c>
    </row>
    <row r="40" spans="1:18">
      <c r="A40" s="5" t="s">
        <v>125</v>
      </c>
      <c r="B40" s="5" t="s">
        <v>126</v>
      </c>
      <c r="C40" s="5" t="s">
        <v>26</v>
      </c>
      <c r="D40" s="5" t="s">
        <v>45</v>
      </c>
      <c r="E40" s="5" t="s">
        <v>46</v>
      </c>
      <c r="F40" s="8">
        <v>178.87</v>
      </c>
      <c r="G40" s="8">
        <v>190.46</v>
      </c>
      <c r="H40" s="8">
        <v>187.02</v>
      </c>
      <c r="I40" s="8">
        <v>185.38</v>
      </c>
      <c r="J40" s="8">
        <v>185.59</v>
      </c>
      <c r="K40" s="6">
        <f>IFERROR(J40/I40-1,"")</f>
        <v>0.0011328082856834065</v>
      </c>
      <c r="L40" s="6">
        <f>IFERROR(J40/H40-1,"")</f>
        <v>-0.007646241043738677</v>
      </c>
      <c r="M40" s="6">
        <f>IFERROR(J40/G40-1,"")</f>
        <v>-0.025569673422240924</v>
      </c>
      <c r="N40" s="6">
        <v>-0.1380891149997205</v>
      </c>
      <c r="O40" s="6">
        <v>0.235389505091782</v>
      </c>
      <c r="P40" s="6">
        <v>-0.02556967342224092</v>
      </c>
      <c r="Q40" s="6">
        <f>IFERROR(J40/F40-1,"")</f>
        <v>0.03756918432381062</v>
      </c>
      <c r="R40" s="6">
        <v>-0.1477050371778388</v>
      </c>
    </row>
    <row r="41" spans="1:18">
      <c r="A41" s="5" t="s">
        <v>127</v>
      </c>
      <c r="B41" s="5" t="s">
        <v>128</v>
      </c>
      <c r="C41" s="5" t="s">
        <v>26</v>
      </c>
      <c r="D41" s="5" t="s">
        <v>45</v>
      </c>
      <c r="E41" s="5" t="s">
        <v>49</v>
      </c>
      <c r="F41" s="8">
        <v>46.9</v>
      </c>
      <c r="G41" s="8">
        <v>31.69</v>
      </c>
      <c r="H41" s="8">
        <v>37.08</v>
      </c>
      <c r="I41" s="8">
        <v>37.87</v>
      </c>
      <c r="J41" s="8">
        <v>39.59</v>
      </c>
      <c r="K41" s="6">
        <f>IFERROR(J41/I41-1,"")</f>
        <v>0.0454185371006075</v>
      </c>
      <c r="L41" s="6">
        <f>IFERROR(J41/H41-1,"")</f>
        <v>0.06769147788565277</v>
      </c>
      <c r="M41" s="6">
        <f>IFERROR(J41/G41-1,"")</f>
        <v>0.24928999684443043</v>
      </c>
      <c r="N41" s="6">
        <v>-0.4196162046908316</v>
      </c>
      <c r="O41" s="6">
        <v>0.1642174871418076</v>
      </c>
      <c r="P41" s="6">
        <v>0.2492899968444304</v>
      </c>
      <c r="Q41" s="6">
        <f>IFERROR(J41/F41-1,"")</f>
        <v>-0.15586353944562892</v>
      </c>
      <c r="R41" s="6">
        <v>-0.4918976545842217</v>
      </c>
    </row>
    <row r="42" spans="1:18">
      <c r="A42" s="5" t="s">
        <v>129</v>
      </c>
      <c r="B42" s="5" t="s">
        <v>130</v>
      </c>
      <c r="C42" s="5" t="s">
        <v>26</v>
      </c>
      <c r="D42" s="5" t="s">
        <v>45</v>
      </c>
      <c r="E42" s="5" t="s">
        <v>46</v>
      </c>
      <c r="F42" s="8">
        <v>1759.68</v>
      </c>
      <c r="G42" s="8">
        <v>1427.62</v>
      </c>
      <c r="H42" s="8">
        <v>1484.98</v>
      </c>
      <c r="I42" s="8">
        <v>1554.99</v>
      </c>
      <c r="J42" s="8">
        <v>1740</v>
      </c>
      <c r="K42" s="6">
        <f>IFERROR(J42/I42-1,"")</f>
        <v>0.11897825709490095</v>
      </c>
      <c r="L42" s="6">
        <f>IFERROR(J42/H42-1,"")</f>
        <v>0.17173295263235877</v>
      </c>
      <c r="M42" s="6">
        <f>IFERROR(J42/G42-1,"")</f>
        <v>0.2188117286112552</v>
      </c>
      <c r="N42" s="6">
        <v>-0.0083424258956174</v>
      </c>
      <c r="O42" s="6">
        <v>-0.1818796561604585</v>
      </c>
      <c r="P42" s="6">
        <v>0.2188117286112552</v>
      </c>
      <c r="Q42" s="6">
        <f>IFERROR(J42/F42-1,"")</f>
        <v>-0.01118385160938351</v>
      </c>
      <c r="R42" s="6">
        <v>-0.5649293361884369</v>
      </c>
    </row>
    <row r="43" spans="1:18">
      <c r="A43" s="5" t="s">
        <v>131</v>
      </c>
      <c r="B43" s="5" t="s">
        <v>132</v>
      </c>
      <c r="C43" s="5" t="s">
        <v>26</v>
      </c>
      <c r="D43" s="5" t="s">
        <v>45</v>
      </c>
      <c r="E43" s="5" t="s">
        <v>46</v>
      </c>
      <c r="F43" s="8">
        <v>925.99</v>
      </c>
      <c r="G43" s="8">
        <v>845.35</v>
      </c>
      <c r="H43" s="8">
        <v>829.76</v>
      </c>
      <c r="I43" s="8">
        <v>798.61</v>
      </c>
      <c r="J43" s="8">
        <v>849.28</v>
      </c>
      <c r="K43" s="6">
        <f>IFERROR(J43/I43-1,"")</f>
        <v>0.06344774044903012</v>
      </c>
      <c r="L43" s="6">
        <f>IFERROR(J43/H43-1,"")</f>
        <v>0.02352487466255293</v>
      </c>
      <c r="M43" s="6">
        <f>IFERROR(J43/G43-1,"")</f>
        <v>0.004648961968415355</v>
      </c>
      <c r="N43" s="6">
        <v>-0.1142884912364065</v>
      </c>
      <c r="O43" s="6">
        <v>0.03071351931330479</v>
      </c>
      <c r="P43" s="6">
        <v>0.004648961968415355</v>
      </c>
      <c r="Q43" s="6">
        <f>IFERROR(J43/F43-1,"")</f>
        <v>-0.08284106739813613</v>
      </c>
      <c r="R43" s="6">
        <v>-0.3185898139007715</v>
      </c>
    </row>
    <row r="44" spans="1:18">
      <c r="A44" s="5" t="s">
        <v>133</v>
      </c>
      <c r="B44" s="5" t="s">
        <v>134</v>
      </c>
      <c r="C44" s="5" t="s">
        <v>26</v>
      </c>
      <c r="D44" s="5" t="s">
        <v>45</v>
      </c>
      <c r="E44" s="5" t="s">
        <v>46</v>
      </c>
      <c r="F44" s="8">
        <v>575.5</v>
      </c>
      <c r="G44" s="8">
        <v>548.5599999999999</v>
      </c>
      <c r="H44" s="8">
        <v>459.45</v>
      </c>
      <c r="I44" s="8">
        <v>441.57</v>
      </c>
      <c r="J44" s="8">
        <v>467.46</v>
      </c>
      <c r="K44" s="6">
        <f>IFERROR(J44/I44-1,"")</f>
        <v>0.05863170052313338</v>
      </c>
      <c r="L44" s="6">
        <f>IFERROR(J44/H44-1,"")</f>
        <v>0.017433888344760007</v>
      </c>
      <c r="M44" s="6">
        <f>IFERROR(J44/G44-1,"")</f>
        <v>-0.147841621700452</v>
      </c>
      <c r="N44" s="6">
        <v>-0.06342311033883574</v>
      </c>
      <c r="O44" s="6">
        <v>0.01773654916512046</v>
      </c>
      <c r="P44" s="6">
        <v>-0.147841621700452</v>
      </c>
      <c r="Q44" s="6">
        <f>IFERROR(J44/F44-1,"")</f>
        <v>-0.18773240660295398</v>
      </c>
      <c r="R44" s="6">
        <v>-0.4180078528067754</v>
      </c>
    </row>
    <row r="45" spans="1:18">
      <c r="A45" s="5" t="s">
        <v>135</v>
      </c>
      <c r="B45" s="5" t="s">
        <v>136</v>
      </c>
      <c r="C45" s="5" t="s">
        <v>27</v>
      </c>
      <c r="D45" s="5" t="s">
        <v>45</v>
      </c>
      <c r="E45" s="5" t="s">
        <v>46</v>
      </c>
      <c r="F45" s="8">
        <v>311.23</v>
      </c>
      <c r="G45" s="8">
        <v>309.38</v>
      </c>
      <c r="H45" s="8">
        <v>319.7</v>
      </c>
      <c r="I45" s="8">
        <v>328.21</v>
      </c>
      <c r="J45" s="8">
        <v>319.97</v>
      </c>
      <c r="K45" s="6">
        <f>IFERROR(J45/I45-1,"")</f>
        <v>-0.02510587733463321</v>
      </c>
      <c r="L45" s="6">
        <f>IFERROR(J45/H45-1,"")</f>
        <v>0.0008445417578981651</v>
      </c>
      <c r="M45" s="6">
        <f>IFERROR(J45/G45-1,"")</f>
        <v>0.034229749822225264</v>
      </c>
      <c r="N45" s="6">
        <v>-0.008353950454647707</v>
      </c>
      <c r="O45" s="6">
        <v>0.00243009428765828</v>
      </c>
      <c r="P45" s="6">
        <v>0.03422974982222526</v>
      </c>
      <c r="Q45" s="6">
        <f>IFERROR(J45/F45-1,"")</f>
        <v>0.028082125759084864</v>
      </c>
      <c r="R45" s="6">
        <v>-0.1159271278475726</v>
      </c>
    </row>
    <row r="46" spans="1:18">
      <c r="A46" s="5" t="s">
        <v>137</v>
      </c>
      <c r="B46" s="5" t="s">
        <v>138</v>
      </c>
      <c r="C46" s="5" t="s">
        <v>27</v>
      </c>
      <c r="D46" s="5" t="s">
        <v>45</v>
      </c>
      <c r="E46" s="5" t="s">
        <v>46</v>
      </c>
      <c r="F46" s="8">
        <v>428.76</v>
      </c>
      <c r="G46" s="8">
        <v>380.29</v>
      </c>
      <c r="H46" s="8">
        <v>361.78</v>
      </c>
      <c r="I46" s="8">
        <v>356.5</v>
      </c>
      <c r="J46" s="8">
        <v>362.25</v>
      </c>
      <c r="K46" s="6">
        <f>IFERROR(J46/I46-1,"")</f>
        <v>0.016129032258064502</v>
      </c>
      <c r="L46" s="6">
        <f>IFERROR(J46/H46-1,"")</f>
        <v>0.0012991320692135044</v>
      </c>
      <c r="M46" s="6">
        <f>IFERROR(J46/G46-1,"")</f>
        <v>-0.04743748192169139</v>
      </c>
      <c r="N46" s="6">
        <v>-0.1203470472991883</v>
      </c>
      <c r="O46" s="6">
        <v>0.008298865203096861</v>
      </c>
      <c r="P46" s="6">
        <v>-0.04743748192169139</v>
      </c>
      <c r="Q46" s="6">
        <f>IFERROR(J46/F46-1,"")</f>
        <v>-0.15512174643157006</v>
      </c>
      <c r="R46" s="6">
        <v>-0.2067657358355033</v>
      </c>
    </row>
    <row r="47" spans="1:18">
      <c r="A47" s="5" t="s">
        <v>139</v>
      </c>
      <c r="B47" s="5" t="s">
        <v>140</v>
      </c>
      <c r="C47" s="5" t="s">
        <v>27</v>
      </c>
      <c r="D47" s="5" t="s">
        <v>81</v>
      </c>
      <c r="E47" s="5" t="s">
        <v>49</v>
      </c>
      <c r="F47" s="8">
        <v>513.2</v>
      </c>
      <c r="G47" s="8">
        <v>607.2</v>
      </c>
      <c r="H47" s="8">
        <v>600.73</v>
      </c>
      <c r="I47" s="8">
        <v>538.15</v>
      </c>
      <c r="J47" s="8">
        <v>515.67</v>
      </c>
      <c r="K47" s="6">
        <f>IFERROR(J47/I47-1,"")</f>
        <v>-0.041772739942395276</v>
      </c>
      <c r="L47" s="6">
        <f>IFERROR(J47/H47-1,"")</f>
        <v>-0.14159439348792313</v>
      </c>
      <c r="M47" s="6">
        <f>IFERROR(J47/G47-1,"")</f>
        <v>-0.1507411067193677</v>
      </c>
      <c r="N47" s="6">
        <v>0.1633671083398283</v>
      </c>
      <c r="O47" s="6">
        <v>0.01701728527401869</v>
      </c>
      <c r="P47" s="6">
        <v>-0.1507411067193677</v>
      </c>
      <c r="Q47" s="6">
        <f>IFERROR(J47/F47-1,"")</f>
        <v>0.00481293842556485</v>
      </c>
      <c r="R47" s="6">
        <v>-0.2325984448677514</v>
      </c>
    </row>
    <row r="48" spans="1:18">
      <c r="A48" s="5" t="s">
        <v>141</v>
      </c>
      <c r="B48" s="5" t="s">
        <v>142</v>
      </c>
      <c r="C48" s="5" t="s">
        <v>27</v>
      </c>
      <c r="D48" s="5" t="s">
        <v>45</v>
      </c>
      <c r="E48" s="5" t="s">
        <v>46</v>
      </c>
      <c r="F48" s="8">
        <v>322.22</v>
      </c>
      <c r="G48" s="8">
        <v>237.6</v>
      </c>
      <c r="H48" s="8">
        <v>223.58</v>
      </c>
      <c r="I48" s="8">
        <v>224.99</v>
      </c>
      <c r="J48" s="8">
        <v>227.835</v>
      </c>
      <c r="K48" s="6">
        <f>IFERROR(J48/I48-1,"")</f>
        <v>0.012645006444730766</v>
      </c>
      <c r="L48" s="6">
        <f>IFERROR(J48/H48-1,"")</f>
        <v>0.019031219250380094</v>
      </c>
      <c r="M48" s="6">
        <f>IFERROR(J48/G48-1,"")</f>
        <v>-0.04109848484848477</v>
      </c>
      <c r="N48" s="6">
        <v>-0.1516355285208864</v>
      </c>
      <c r="O48" s="6">
        <v>-0.1308165057067604</v>
      </c>
      <c r="P48" s="6">
        <v>-0.04109848484848477</v>
      </c>
      <c r="Q48" s="6">
        <f>IFERROR(J48/F48-1,"")</f>
        <v>-0.2929209856619701</v>
      </c>
      <c r="R48" s="6">
        <v>-0.311966340799406</v>
      </c>
    </row>
    <row r="49" spans="1:18">
      <c r="A49" s="5" t="s">
        <v>143</v>
      </c>
      <c r="B49" s="5" t="s">
        <v>144</v>
      </c>
      <c r="C49" s="5" t="s">
        <v>27</v>
      </c>
      <c r="D49" s="5" t="s">
        <v>45</v>
      </c>
      <c r="E49" s="5" t="s">
        <v>46</v>
      </c>
      <c r="F49" s="8">
        <v>131.82</v>
      </c>
      <c r="G49" s="8">
        <v>80.78</v>
      </c>
      <c r="H49" s="8">
        <v>72.61</v>
      </c>
      <c r="I49" s="8">
        <v>73.65000000000001</v>
      </c>
      <c r="J49" s="8">
        <v>74.38</v>
      </c>
      <c r="K49" s="6">
        <f>IFERROR(J49/I49-1,"")</f>
        <v>0.009911744738628547</v>
      </c>
      <c r="L49" s="6">
        <f>IFERROR(J49/H49-1,"")</f>
        <v>0.024376807602258577</v>
      </c>
      <c r="M49" s="6">
        <f>IFERROR(J49/G49-1,"")</f>
        <v>-0.07922753156721973</v>
      </c>
      <c r="N49" s="6">
        <v>-0.307995751782734</v>
      </c>
      <c r="O49" s="6">
        <v>-0.1144485858364394</v>
      </c>
      <c r="P49" s="6">
        <v>-0.07922753156721973</v>
      </c>
      <c r="Q49" s="6">
        <f>IFERROR(J49/F49-1,"")</f>
        <v>-0.4357457138522227</v>
      </c>
      <c r="R49" s="6">
        <v>-0.4543316643908359</v>
      </c>
    </row>
    <row r="50" spans="1:18">
      <c r="A50" s="5" t="s">
        <v>145</v>
      </c>
      <c r="B50" s="5" t="s">
        <v>146</v>
      </c>
      <c r="C50" s="5" t="s">
        <v>27</v>
      </c>
      <c r="D50" s="5" t="s">
        <v>45</v>
      </c>
      <c r="E50" s="5" t="s">
        <v>49</v>
      </c>
      <c r="F50" s="8">
        <v>242.57</v>
      </c>
      <c r="G50" s="8">
        <v>162.67</v>
      </c>
      <c r="H50" s="8">
        <v>164.19</v>
      </c>
      <c r="I50" s="8">
        <v>168.57</v>
      </c>
      <c r="J50" s="8">
        <v>168.74</v>
      </c>
      <c r="K50" s="6">
        <f>IFERROR(J50/I50-1,"")</f>
        <v>0.0010084831227383795</v>
      </c>
      <c r="L50" s="6">
        <f>IFERROR(J50/H50-1,"")</f>
        <v>0.027711797307997</v>
      </c>
      <c r="M50" s="6">
        <f>IFERROR(J50/G50-1,"")</f>
        <v>0.03731480912276397</v>
      </c>
      <c r="N50" s="6">
        <v>-0.2734056148740569</v>
      </c>
      <c r="O50" s="6">
        <v>-0.07704964539007098</v>
      </c>
      <c r="P50" s="6">
        <v>0.03731480912276397</v>
      </c>
      <c r="Q50" s="6">
        <f>IFERROR(J50/F50-1,"")</f>
        <v>-0.3043657500927567</v>
      </c>
      <c r="R50" s="6">
        <v>-0.3914746258811889</v>
      </c>
    </row>
    <row r="51" spans="1:18">
      <c r="A51" s="5" t="s">
        <v>147</v>
      </c>
      <c r="B51" s="5" t="s">
        <v>148</v>
      </c>
      <c r="C51" s="5" t="s">
        <v>27</v>
      </c>
      <c r="D51" s="5" t="s">
        <v>81</v>
      </c>
      <c r="E51" s="5" t="s">
        <v>46</v>
      </c>
      <c r="F51" s="8">
        <v>462.24</v>
      </c>
      <c r="G51" s="8">
        <v>445.23</v>
      </c>
      <c r="H51" s="8">
        <v>430.86</v>
      </c>
      <c r="I51" s="8">
        <v>428.28</v>
      </c>
      <c r="J51" s="8">
        <v>433.81</v>
      </c>
      <c r="K51" s="6">
        <f>IFERROR(J51/I51-1,"")</f>
        <v>0.012912113570561434</v>
      </c>
      <c r="L51" s="6">
        <f>IFERROR(J51/H51-1,"")</f>
        <v>0.006846771573132848</v>
      </c>
      <c r="M51" s="6">
        <f>IFERROR(J51/G51-1,"")</f>
        <v>-0.025649664218493795</v>
      </c>
      <c r="N51" s="6">
        <v>0.0204655590169609</v>
      </c>
      <c r="O51" s="6">
        <v>-0.0561161755352978</v>
      </c>
      <c r="P51" s="6">
        <v>-0.0256496642184938</v>
      </c>
      <c r="Q51" s="6">
        <f>IFERROR(J51/F51-1,"")</f>
        <v>-0.06150484596746275</v>
      </c>
      <c r="R51" s="6">
        <v>-0.1566413508927851</v>
      </c>
    </row>
    <row r="52" spans="1:18">
      <c r="A52" s="5" t="s">
        <v>149</v>
      </c>
      <c r="B52" s="5" t="s">
        <v>150</v>
      </c>
      <c r="C52" s="5" t="s">
        <v>27</v>
      </c>
      <c r="D52" s="5" t="s">
        <v>151</v>
      </c>
      <c r="E52" s="5" t="s">
        <v>49</v>
      </c>
      <c r="F52" s="8">
        <v>418.45</v>
      </c>
      <c r="G52" s="8">
        <v>327.35</v>
      </c>
      <c r="H52" s="8">
        <v>348.75</v>
      </c>
      <c r="I52" s="8">
        <v>376.365</v>
      </c>
      <c r="J52" s="8">
        <v>354.08</v>
      </c>
      <c r="K52" s="6">
        <f>IFERROR(J52/I52-1,"")</f>
        <v>-0.05921113812389578</v>
      </c>
      <c r="L52" s="6">
        <f>IFERROR(J52/H52-1,"")</f>
        <v>0.015283154121863651</v>
      </c>
      <c r="M52" s="6">
        <f>IFERROR(J52/G52-1,"")</f>
        <v>0.08165572017718037</v>
      </c>
      <c r="N52" s="6">
        <v>-0.05974429441988294</v>
      </c>
      <c r="O52" s="6">
        <v>-0.1680010166476045</v>
      </c>
      <c r="P52" s="6">
        <v>0.08165572017718037</v>
      </c>
      <c r="Q52" s="6">
        <f>IFERROR(J52/F52-1,"")</f>
        <v>-0.15382960927231448</v>
      </c>
      <c r="R52" s="6">
        <v>-0.2985657183164825</v>
      </c>
    </row>
    <row r="53" spans="1:18">
      <c r="A53" s="5" t="s">
        <v>152</v>
      </c>
      <c r="B53" s="5" t="s">
        <v>153</v>
      </c>
      <c r="C53" s="5" t="s">
        <v>23</v>
      </c>
      <c r="D53" s="5" t="s">
        <v>154</v>
      </c>
      <c r="E53" s="5" t="s">
        <v>49</v>
      </c>
      <c r="F53" s="8">
        <v>264.59</v>
      </c>
      <c r="G53" s="8">
        <v>267.25</v>
      </c>
      <c r="H53" s="8">
        <v>276.75</v>
      </c>
      <c r="I53" s="8">
        <v>285.05</v>
      </c>
      <c r="J53" s="8">
        <v>298.96</v>
      </c>
      <c r="K53" s="6">
        <f>IFERROR(J53/I53-1,"")</f>
        <v>0.04879845641115588</v>
      </c>
      <c r="L53" s="6">
        <f>IFERROR(J53/H53-1,"")</f>
        <v>0.08025293586269178</v>
      </c>
      <c r="M53" s="6">
        <f>IFERROR(J53/G53-1,"")</f>
        <v>0.11865294667913928</v>
      </c>
      <c r="N53" s="6">
        <v>-0.09577081522355335</v>
      </c>
      <c r="O53" s="6">
        <v>0.1170323928944619</v>
      </c>
      <c r="P53" s="6">
        <v>0.1186529466791393</v>
      </c>
      <c r="Q53" s="6">
        <f>IFERROR(J53/F53-1,"")</f>
        <v>0.1298990891568086</v>
      </c>
      <c r="R53" s="6">
        <v>-0.1416542663230863</v>
      </c>
    </row>
    <row r="54" spans="1:18">
      <c r="A54" s="5" t="s">
        <v>155</v>
      </c>
      <c r="B54" s="5" t="s">
        <v>156</v>
      </c>
      <c r="C54" s="5" t="s">
        <v>23</v>
      </c>
      <c r="D54" s="5" t="s">
        <v>154</v>
      </c>
      <c r="E54" s="5" t="s">
        <v>46</v>
      </c>
      <c r="F54" s="8">
        <v>133.39</v>
      </c>
      <c r="G54" s="8">
        <v>117.04</v>
      </c>
      <c r="H54" s="8">
        <v>111.12</v>
      </c>
      <c r="I54" s="8">
        <v>111.84</v>
      </c>
      <c r="J54" s="8">
        <v>119.02</v>
      </c>
      <c r="K54" s="6">
        <f>IFERROR(J54/I54-1,"")</f>
        <v>0.0641988555078683</v>
      </c>
      <c r="L54" s="6">
        <f>IFERROR(J54/H54-1,"")</f>
        <v>0.07109431245500342</v>
      </c>
      <c r="M54" s="6">
        <f>IFERROR(J54/G54-1,"")</f>
        <v>0.016917293233082553</v>
      </c>
      <c r="N54" s="6">
        <v>0.02481445385711067</v>
      </c>
      <c r="O54" s="6">
        <v>-0.1438185808339428</v>
      </c>
      <c r="P54" s="6">
        <v>0.01691729323308255</v>
      </c>
      <c r="Q54" s="6">
        <f>IFERROR(J54/F54-1,"")</f>
        <v>-0.10772921508358946</v>
      </c>
      <c r="R54" s="6">
        <v>-0.2668050348152116</v>
      </c>
    </row>
    <row r="55" spans="1:18">
      <c r="A55" s="5" t="s">
        <v>157</v>
      </c>
      <c r="B55" s="5" t="s">
        <v>158</v>
      </c>
      <c r="C55" s="5" t="s">
        <v>23</v>
      </c>
      <c r="D55" s="5" t="s">
        <v>154</v>
      </c>
      <c r="E55" s="5" t="s">
        <v>49</v>
      </c>
      <c r="F55" s="8">
        <v>153.7</v>
      </c>
      <c r="G55" s="8">
        <v>143.23</v>
      </c>
      <c r="H55" s="8">
        <v>137.09</v>
      </c>
      <c r="I55" s="8">
        <v>144.22</v>
      </c>
      <c r="J55" s="8">
        <v>149.3</v>
      </c>
      <c r="K55" s="6">
        <f>IFERROR(J55/I55-1,"")</f>
        <v>0.03522396338926659</v>
      </c>
      <c r="L55" s="6">
        <f>IFERROR(J55/H55-1,"")</f>
        <v>0.08906557735794007</v>
      </c>
      <c r="M55" s="6">
        <f>IFERROR(J55/G55-1,"")</f>
        <v>0.04237938979264144</v>
      </c>
      <c r="N55" s="6">
        <v>-0.01724137931034464</v>
      </c>
      <c r="O55" s="6">
        <v>-0.05177093677590217</v>
      </c>
      <c r="P55" s="6">
        <v>0.04237938979264144</v>
      </c>
      <c r="Q55" s="6">
        <f>IFERROR(J55/F55-1,"")</f>
        <v>-0.028627195836044117</v>
      </c>
      <c r="R55" s="6">
        <v>-0.1971830985915493</v>
      </c>
    </row>
    <row r="56" spans="1:18">
      <c r="A56" s="5" t="s">
        <v>159</v>
      </c>
      <c r="B56" s="5" t="s">
        <v>160</v>
      </c>
      <c r="C56" s="5" t="s">
        <v>28</v>
      </c>
      <c r="D56" s="5" t="s">
        <v>81</v>
      </c>
      <c r="E56" s="5" t="s">
        <v>46</v>
      </c>
      <c r="F56" s="8">
        <v>68.54000000000001</v>
      </c>
      <c r="G56" s="8">
        <v>65.69</v>
      </c>
      <c r="H56" s="8">
        <v>58.79</v>
      </c>
      <c r="I56" s="8">
        <v>59.08</v>
      </c>
      <c r="J56" s="8">
        <v>59.71</v>
      </c>
      <c r="K56" s="6">
        <f>IFERROR(J56/I56-1,"")</f>
        <v>0.010663507109004877</v>
      </c>
      <c r="L56" s="6">
        <f>IFERROR(J56/H56-1,"")</f>
        <v>0.015648919884334145</v>
      </c>
      <c r="M56" s="6">
        <f>IFERROR(J56/G56-1,"")</f>
        <v>-0.0910336428680164</v>
      </c>
      <c r="N56" s="6">
        <v>0.02232273125182349</v>
      </c>
      <c r="O56" s="6">
        <v>-0.06250891965177674</v>
      </c>
      <c r="P56" s="6">
        <v>-0.09103364286801641</v>
      </c>
      <c r="Q56" s="6">
        <f>IFERROR(J56/F56-1,"")</f>
        <v>-0.12882988036183263</v>
      </c>
      <c r="R56" s="6">
        <v>-0.2467105263157895</v>
      </c>
    </row>
    <row r="57" spans="1:18">
      <c r="A57" s="5" t="s">
        <v>161</v>
      </c>
      <c r="B57" s="5" t="s">
        <v>162</v>
      </c>
      <c r="C57" s="5" t="s">
        <v>28</v>
      </c>
      <c r="D57" s="5" t="s">
        <v>81</v>
      </c>
      <c r="E57" s="5" t="s">
        <v>49</v>
      </c>
      <c r="F57" s="8">
        <v>418.61</v>
      </c>
      <c r="G57" s="8">
        <v>444.77</v>
      </c>
      <c r="H57" s="8">
        <v>402.78</v>
      </c>
      <c r="I57" s="8">
        <v>397.12</v>
      </c>
      <c r="J57" s="8">
        <v>410.85</v>
      </c>
      <c r="K57" s="6">
        <f>IFERROR(J57/I57-1,"")</f>
        <v>0.034573932312651046</v>
      </c>
      <c r="L57" s="6">
        <f>IFERROR(J57/H57-1,"")</f>
        <v>0.0200357515268883</v>
      </c>
      <c r="M57" s="6">
        <f>IFERROR(J57/G57-1,"")</f>
        <v>-0.07626413651999897</v>
      </c>
      <c r="N57" s="6">
        <v>-0.04799216454456423</v>
      </c>
      <c r="O57" s="6">
        <v>0.1160544012847535</v>
      </c>
      <c r="P57" s="6">
        <v>-0.07626413651999897</v>
      </c>
      <c r="Q57" s="6">
        <f>IFERROR(J57/F57-1,"")</f>
        <v>-0.018537540909199457</v>
      </c>
      <c r="R57" s="6">
        <v>-0.1695809812290605</v>
      </c>
    </row>
    <row r="58" spans="1:18">
      <c r="A58" s="5" t="s">
        <v>163</v>
      </c>
      <c r="B58" s="5" t="s">
        <v>164</v>
      </c>
      <c r="C58" s="5" t="s">
        <v>28</v>
      </c>
      <c r="D58" s="5" t="s">
        <v>81</v>
      </c>
      <c r="E58" s="5" t="s">
        <v>49</v>
      </c>
      <c r="F58" s="8">
        <v>963.33</v>
      </c>
      <c r="G58" s="8">
        <v>1018.53</v>
      </c>
      <c r="H58" s="8">
        <v>911.9299999999999</v>
      </c>
      <c r="I58" s="8">
        <v>941.84</v>
      </c>
      <c r="J58" s="8">
        <v>941.95</v>
      </c>
      <c r="K58" s="6">
        <f>IFERROR(J58/I58-1,"")</f>
        <v>0.0001167926611738146</v>
      </c>
      <c r="L58" s="6">
        <f>IFERROR(J58/H58-1,"")</f>
        <v>0.03291919335913951</v>
      </c>
      <c r="M58" s="6">
        <f>IFERROR(J58/G58-1,"")</f>
        <v>-0.07518678880347163</v>
      </c>
      <c r="N58" s="6">
        <v>0.155481506856425</v>
      </c>
      <c r="O58" s="6">
        <v>-0.08496914051621129</v>
      </c>
      <c r="P58" s="6">
        <v>-0.07518678880347163</v>
      </c>
      <c r="Q58" s="6">
        <f>IFERROR(J58/F58-1,"")</f>
        <v>-0.022193848421620865</v>
      </c>
      <c r="R58" s="6">
        <v>-0.235202492211838</v>
      </c>
    </row>
    <row r="59" spans="1:18">
      <c r="A59" s="5" t="s">
        <v>165</v>
      </c>
      <c r="B59" s="5" t="s">
        <v>166</v>
      </c>
      <c r="C59" s="5" t="s">
        <v>28</v>
      </c>
      <c r="D59" s="5" t="s">
        <v>81</v>
      </c>
      <c r="E59" s="5" t="s">
        <v>46</v>
      </c>
      <c r="F59" s="8">
        <v>485.27</v>
      </c>
      <c r="G59" s="8">
        <v>502.24</v>
      </c>
      <c r="H59" s="8">
        <v>459.66</v>
      </c>
      <c r="I59" s="8">
        <v>460.15</v>
      </c>
      <c r="J59" s="8">
        <v>460.72</v>
      </c>
      <c r="K59" s="6">
        <f>IFERROR(J59/I59-1,"")</f>
        <v>0.0012387265022275606</v>
      </c>
      <c r="L59" s="6">
        <f>IFERROR(J59/H59-1,"")</f>
        <v>0.0023060522995257404</v>
      </c>
      <c r="M59" s="6">
        <f>IFERROR(J59/G59-1,"")</f>
        <v>-0.0826696400127429</v>
      </c>
      <c r="N59" s="6">
        <v>0.0037710965029778</v>
      </c>
      <c r="O59" s="6">
        <v>0.03108191336481214</v>
      </c>
      <c r="P59" s="6">
        <v>-0.08266964001274291</v>
      </c>
      <c r="Q59" s="6">
        <f>IFERROR(J59/F59-1,"")</f>
        <v>-0.050590392977105436</v>
      </c>
      <c r="R59" s="6">
        <v>-0.1781271436252062</v>
      </c>
    </row>
    <row r="60" spans="1:18">
      <c r="A60" s="5" t="s">
        <v>167</v>
      </c>
      <c r="B60" s="5" t="s">
        <v>168</v>
      </c>
      <c r="C60" s="5" t="s">
        <v>28</v>
      </c>
      <c r="D60" s="5" t="s">
        <v>81</v>
      </c>
      <c r="E60" s="5" t="s">
        <v>46</v>
      </c>
      <c r="F60" s="8">
        <v>147.4</v>
      </c>
      <c r="G60" s="8">
        <v>153.62</v>
      </c>
      <c r="H60" s="8">
        <v>139.59</v>
      </c>
      <c r="I60" s="8">
        <v>142.23</v>
      </c>
      <c r="J60" s="8">
        <v>144.94</v>
      </c>
      <c r="K60" s="6">
        <f>IFERROR(J60/I60-1,"")</f>
        <v>0.01905364550376154</v>
      </c>
      <c r="L60" s="6">
        <f>IFERROR(J60/H60-1,"")</f>
        <v>0.03832652768822986</v>
      </c>
      <c r="M60" s="6">
        <f>IFERROR(J60/G60-1,"")</f>
        <v>-0.05650305949746126</v>
      </c>
      <c r="N60" s="6">
        <v>-0.04504748982360929</v>
      </c>
      <c r="O60" s="6">
        <v>0.09136118215402123</v>
      </c>
      <c r="P60" s="6">
        <v>-0.05650305949746126</v>
      </c>
      <c r="Q60" s="6">
        <f>IFERROR(J60/F60-1,"")</f>
        <v>-0.016689280868385392</v>
      </c>
      <c r="R60" s="6">
        <v>-0.1067459291806667</v>
      </c>
    </row>
    <row r="61" spans="1:18">
      <c r="A61" s="5" t="s">
        <v>169</v>
      </c>
      <c r="B61" s="5" t="s">
        <v>170</v>
      </c>
      <c r="C61" s="5" t="s">
        <v>28</v>
      </c>
      <c r="D61" s="5" t="s">
        <v>81</v>
      </c>
      <c r="E61" s="5" t="s">
        <v>46</v>
      </c>
      <c r="F61" s="8">
        <v>463.76</v>
      </c>
      <c r="G61" s="8">
        <v>472.24</v>
      </c>
      <c r="H61" s="8">
        <v>448.96</v>
      </c>
      <c r="I61" s="8">
        <v>445.19</v>
      </c>
      <c r="J61" s="8">
        <v>447.9</v>
      </c>
      <c r="K61" s="6">
        <f>IFERROR(J61/I61-1,"")</f>
        <v>0.006087288573418004</v>
      </c>
      <c r="L61" s="6">
        <f>IFERROR(J61/H61-1,"")</f>
        <v>-0.002361012116892325</v>
      </c>
      <c r="M61" s="6">
        <f>IFERROR(J61/G61-1,"")</f>
        <v>-0.05154158902253103</v>
      </c>
      <c r="N61" s="6">
        <v>0.03098585475245819</v>
      </c>
      <c r="O61" s="6">
        <v>-0.01231882542404783</v>
      </c>
      <c r="P61" s="6">
        <v>-0.05154158902253103</v>
      </c>
      <c r="Q61" s="6">
        <f>IFERROR(J61/F61-1,"")</f>
        <v>-0.03419872347766084</v>
      </c>
      <c r="R61" s="6">
        <v>-0.12799427958527</v>
      </c>
    </row>
    <row r="62" spans="1:18">
      <c r="A62" s="5" t="s">
        <v>171</v>
      </c>
      <c r="B62" s="5" t="s">
        <v>172</v>
      </c>
      <c r="C62" s="5" t="s">
        <v>28</v>
      </c>
      <c r="D62" s="5" t="s">
        <v>81</v>
      </c>
      <c r="E62" s="5" t="s">
        <v>49</v>
      </c>
      <c r="F62" s="8">
        <v>323.92</v>
      </c>
      <c r="G62" s="8">
        <v>269.93</v>
      </c>
      <c r="H62" s="8">
        <v>257.08</v>
      </c>
      <c r="I62" s="8">
        <v>268.83</v>
      </c>
      <c r="J62" s="8">
        <v>280.53</v>
      </c>
      <c r="K62" s="6">
        <f>IFERROR(J62/I62-1,"")</f>
        <v>0.04352192835621027</v>
      </c>
      <c r="L62" s="6">
        <f>IFERROR(J62/H62-1,"")</f>
        <v>0.09121674187023499</v>
      </c>
      <c r="M62" s="6">
        <f>IFERROR(J62/G62-1,"")</f>
        <v>0.03926944022524337</v>
      </c>
      <c r="N62" s="6">
        <v>-0.07220918745369242</v>
      </c>
      <c r="O62" s="6">
        <v>-0.1018201177919009</v>
      </c>
      <c r="P62" s="6">
        <v>0.03926944022524337</v>
      </c>
      <c r="Q62" s="6">
        <f>IFERROR(J62/F62-1,"")</f>
        <v>-0.13395282785873064</v>
      </c>
      <c r="R62" s="6">
        <v>-0.3769136216337021</v>
      </c>
    </row>
    <row r="63" spans="1:18">
      <c r="A63" s="5" t="s">
        <v>173</v>
      </c>
      <c r="B63" s="5" t="s">
        <v>174</v>
      </c>
      <c r="C63" s="5" t="s">
        <v>31</v>
      </c>
      <c r="D63" s="5" t="s">
        <v>45</v>
      </c>
      <c r="E63" s="5" t="s">
        <v>49</v>
      </c>
      <c r="F63" s="8">
        <v>501.7</v>
      </c>
      <c r="G63" s="8">
        <v>546.62</v>
      </c>
      <c r="H63" s="8">
        <v>461.67</v>
      </c>
      <c r="I63" s="8">
        <v>435.91</v>
      </c>
      <c r="J63" s="8">
        <v>454.71</v>
      </c>
      <c r="K63" s="6">
        <f>IFERROR(J63/I63-1,"")</f>
        <v>0.043128168658667976</v>
      </c>
      <c r="L63" s="6">
        <f>IFERROR(J63/H63-1,"")</f>
        <v>-0.015075703424524134</v>
      </c>
      <c r="M63" s="6">
        <f>IFERROR(J63/G63-1,"")</f>
        <v>-0.16814240240020495</v>
      </c>
      <c r="N63" s="6">
        <v>0.2019932230416583</v>
      </c>
      <c r="O63" s="6">
        <v>-0.09355929954895192</v>
      </c>
      <c r="P63" s="6">
        <v>-0.1681424024002049</v>
      </c>
      <c r="Q63" s="6">
        <f>IFERROR(J63/F63-1,"")</f>
        <v>-0.09366155072752647</v>
      </c>
      <c r="R63" s="6">
        <v>-0.3970816044260027</v>
      </c>
    </row>
    <row r="64" spans="1:18">
      <c r="A64" s="5" t="s">
        <v>175</v>
      </c>
      <c r="B64" s="5" t="s">
        <v>176</v>
      </c>
      <c r="C64" s="5" t="s">
        <v>31</v>
      </c>
      <c r="D64" s="5" t="s">
        <v>45</v>
      </c>
      <c r="E64" s="5" t="s">
        <v>49</v>
      </c>
      <c r="F64" s="8">
        <v>411.68</v>
      </c>
      <c r="G64" s="8">
        <v>340.62</v>
      </c>
      <c r="H64" s="8">
        <v>340.39</v>
      </c>
      <c r="I64" s="8">
        <v>304.875</v>
      </c>
      <c r="J64" s="8">
        <v>292.7</v>
      </c>
      <c r="K64" s="6">
        <f>IFERROR(J64/I64-1,"")</f>
        <v>-0.039934399343993454</v>
      </c>
      <c r="L64" s="6">
        <f>IFERROR(J64/H64-1,"")</f>
        <v>-0.14010399835482823</v>
      </c>
      <c r="M64" s="6">
        <f>IFERROR(J64/G64-1,"")</f>
        <v>-0.140684633902883</v>
      </c>
      <c r="N64" s="6">
        <v>-0.09361640108822389</v>
      </c>
      <c r="O64" s="6">
        <v>-0.08715227528541558</v>
      </c>
      <c r="P64" s="6">
        <v>-0.140684633902883</v>
      </c>
      <c r="Q64" s="6">
        <f>IFERROR(J64/F64-1,"")</f>
        <v>-0.289010882238632</v>
      </c>
      <c r="R64" s="6">
        <v>-0.289010882238632</v>
      </c>
    </row>
    <row r="65" spans="1:18">
      <c r="A65" s="5" t="s">
        <v>177</v>
      </c>
      <c r="B65" s="5" t="s">
        <v>178</v>
      </c>
      <c r="C65" s="5" t="s">
        <v>31</v>
      </c>
      <c r="D65" s="5" t="s">
        <v>45</v>
      </c>
      <c r="E65" s="5" t="s">
        <v>49</v>
      </c>
      <c r="F65" s="8">
        <v>213.11</v>
      </c>
      <c r="G65" s="8">
        <v>195.45</v>
      </c>
      <c r="H65" s="8">
        <v>175.54</v>
      </c>
      <c r="I65" s="8">
        <v>172.94</v>
      </c>
      <c r="J65" s="8">
        <v>185.6</v>
      </c>
      <c r="K65" s="6">
        <f>IFERROR(J65/I65-1,"")</f>
        <v>0.07320457962299054</v>
      </c>
      <c r="L65" s="6">
        <f>IFERROR(J65/H65-1,"")</f>
        <v>0.057308875469978426</v>
      </c>
      <c r="M65" s="6">
        <f>IFERROR(J65/G65-1,"")</f>
        <v>-0.050396520849322</v>
      </c>
      <c r="N65" s="6">
        <v>0.1052977335648257</v>
      </c>
      <c r="O65" s="6">
        <v>-0.1702398641477394</v>
      </c>
      <c r="P65" s="6">
        <v>-0.050396520849322</v>
      </c>
      <c r="Q65" s="6">
        <f>IFERROR(J65/F65-1,"")</f>
        <v>-0.12908826427666475</v>
      </c>
      <c r="R65" s="6">
        <v>-0.435915282887541</v>
      </c>
    </row>
    <row r="66" spans="1:18">
      <c r="A66" s="5" t="s">
        <v>179</v>
      </c>
      <c r="B66" s="5" t="s">
        <v>180</v>
      </c>
      <c r="C66" s="5" t="s">
        <v>31</v>
      </c>
      <c r="D66" s="5" t="s">
        <v>45</v>
      </c>
      <c r="E66" s="5" t="s">
        <v>49</v>
      </c>
      <c r="F66" s="8">
        <v>336.41</v>
      </c>
      <c r="G66" s="8">
        <v>317.74</v>
      </c>
      <c r="H66" s="8">
        <v>301.9</v>
      </c>
      <c r="I66" s="8">
        <v>292.66</v>
      </c>
      <c r="J66" s="8">
        <v>307.65</v>
      </c>
      <c r="K66" s="6">
        <f>IFERROR(J66/I66-1,"")</f>
        <v>0.051219845554568266</v>
      </c>
      <c r="L66" s="6">
        <f>IFERROR(J66/H66-1,"")</f>
        <v>0.019046041735674146</v>
      </c>
      <c r="M66" s="6">
        <f>IFERROR(J66/G66-1,"")</f>
        <v>-0.031755523383898865</v>
      </c>
      <c r="N66" s="6">
        <v>0.04458844861924427</v>
      </c>
      <c r="O66" s="6">
        <v>-0.09581400643123417</v>
      </c>
      <c r="P66" s="6">
        <v>-0.03175552338389886</v>
      </c>
      <c r="Q66" s="6">
        <f>IFERROR(J66/F66-1,"")</f>
        <v>-0.08549091881929805</v>
      </c>
      <c r="R66" s="6">
        <v>-0.4176493665335888</v>
      </c>
    </row>
    <row r="67" spans="1:18">
      <c r="A67" s="5" t="s">
        <v>181</v>
      </c>
      <c r="B67" s="5" t="s">
        <v>182</v>
      </c>
      <c r="C67" s="5" t="s">
        <v>31</v>
      </c>
      <c r="D67" s="5" t="s">
        <v>45</v>
      </c>
      <c r="E67" s="5" t="s">
        <v>49</v>
      </c>
      <c r="F67" s="8">
        <v>494.48</v>
      </c>
      <c r="G67" s="8">
        <v>403.86</v>
      </c>
      <c r="H67" s="8">
        <v>442.61</v>
      </c>
      <c r="I67" s="8">
        <v>416.31</v>
      </c>
      <c r="J67" s="8">
        <v>393.84</v>
      </c>
      <c r="K67" s="6">
        <f>IFERROR(J67/I67-1,"")</f>
        <v>-0.05397420191684088</v>
      </c>
      <c r="L67" s="6">
        <f>IFERROR(J67/H67-1,"")</f>
        <v>-0.11018729807279559</v>
      </c>
      <c r="M67" s="6">
        <f>IFERROR(J67/G67-1,"")</f>
        <v>-0.024810577923042754</v>
      </c>
      <c r="N67" s="6">
        <v>-0.1159197540850995</v>
      </c>
      <c r="O67" s="6">
        <v>-0.07617348339280816</v>
      </c>
      <c r="P67" s="6">
        <v>-0.02481057792304275</v>
      </c>
      <c r="Q67" s="6">
        <f>IFERROR(J67/F67-1,"")</f>
        <v>-0.20352693738877214</v>
      </c>
      <c r="R67" s="6">
        <v>-0.2470271800679502</v>
      </c>
    </row>
    <row r="68" spans="1:18">
      <c r="A68" s="5" t="s">
        <v>183</v>
      </c>
      <c r="B68" s="5" t="s">
        <v>184</v>
      </c>
      <c r="C68" s="5" t="s">
        <v>31</v>
      </c>
      <c r="D68" s="5" t="s">
        <v>45</v>
      </c>
      <c r="E68" s="5" t="s">
        <v>49</v>
      </c>
      <c r="F68" s="8">
        <v>406.86</v>
      </c>
      <c r="G68" s="8">
        <v>403.56</v>
      </c>
      <c r="H68" s="8">
        <v>354.97</v>
      </c>
      <c r="I68" s="8">
        <v>338.59</v>
      </c>
      <c r="J68" s="8">
        <v>357.03</v>
      </c>
      <c r="K68" s="6">
        <f>IFERROR(J68/I68-1,"")</f>
        <v>0.05446114770075905</v>
      </c>
      <c r="L68" s="6">
        <f>IFERROR(J68/H68-1,"")</f>
        <v>0.005803307321745388</v>
      </c>
      <c r="M68" s="6">
        <f>IFERROR(J68/G68-1,"")</f>
        <v>-0.1152988403211419</v>
      </c>
      <c r="N68" s="6">
        <v>-0.09283291549918904</v>
      </c>
      <c r="O68" s="6">
        <v>0.09339185564496466</v>
      </c>
      <c r="P68" s="6">
        <v>-0.1152988403211419</v>
      </c>
      <c r="Q68" s="6">
        <f>IFERROR(J68/F68-1,"")</f>
        <v>-0.12247456127414846</v>
      </c>
      <c r="R68" s="6">
        <v>-0.3398437499999999</v>
      </c>
    </row>
    <row r="69" spans="1:18">
      <c r="A69" s="5" t="s">
        <v>185</v>
      </c>
      <c r="B69" s="5" t="s">
        <v>186</v>
      </c>
      <c r="C69" s="5" t="s">
        <v>24</v>
      </c>
      <c r="D69" s="5" t="s">
        <v>151</v>
      </c>
      <c r="E69" s="5" t="s">
        <v>49</v>
      </c>
      <c r="F69" s="8">
        <v>253.79</v>
      </c>
      <c r="G69" s="8">
        <v>277.42</v>
      </c>
      <c r="H69" s="8">
        <v>266.43</v>
      </c>
      <c r="I69" s="8">
        <v>258.9</v>
      </c>
      <c r="J69" s="8">
        <v>258.51</v>
      </c>
      <c r="K69" s="6">
        <f>IFERROR(J69/I69-1,"")</f>
        <v>-0.0015063731170334993</v>
      </c>
      <c r="L69" s="6">
        <f>IFERROR(J69/H69-1,"")</f>
        <v>-0.029726382164170784</v>
      </c>
      <c r="M69" s="6">
        <f>IFERROR(J69/G69-1,"")</f>
        <v>-0.0681637949679188</v>
      </c>
      <c r="N69" s="6">
        <v>-0.04381575318176445</v>
      </c>
      <c r="O69" s="6">
        <v>0.1431985824370545</v>
      </c>
      <c r="P69" s="6">
        <v>-0.0681637949679188</v>
      </c>
      <c r="Q69" s="6">
        <f>IFERROR(J69/F69-1,"")</f>
        <v>0.01859805350880639</v>
      </c>
      <c r="R69" s="6">
        <v>-0.1110370254157514</v>
      </c>
    </row>
    <row r="70" spans="1:18">
      <c r="A70" s="5" t="s">
        <v>187</v>
      </c>
      <c r="B70" s="5" t="s">
        <v>188</v>
      </c>
      <c r="C70" s="5" t="s">
        <v>24</v>
      </c>
      <c r="D70" s="5" t="s">
        <v>52</v>
      </c>
      <c r="E70" s="5" t="s">
        <v>49</v>
      </c>
      <c r="F70" s="8">
        <v>372.19</v>
      </c>
      <c r="G70" s="8">
        <v>377.65</v>
      </c>
      <c r="H70" s="8">
        <v>346.59</v>
      </c>
      <c r="I70" s="8">
        <v>342.48</v>
      </c>
      <c r="J70" s="8">
        <v>338.46</v>
      </c>
      <c r="K70" s="6">
        <f>IFERROR(J70/I70-1,"")</f>
        <v>-0.011737911702873305</v>
      </c>
      <c r="L70" s="6">
        <f>IFERROR(J70/H70-1,"")</f>
        <v>-0.0234571107071756</v>
      </c>
      <c r="M70" s="6">
        <f>IFERROR(J70/G70-1,"")</f>
        <v>-0.10377333509863629</v>
      </c>
      <c r="N70" s="6">
        <v>-0.03299390096456101</v>
      </c>
      <c r="O70" s="6">
        <v>0.04929010030285341</v>
      </c>
      <c r="P70" s="6">
        <v>-0.1037733350986363</v>
      </c>
      <c r="Q70" s="6">
        <f>IFERROR(J70/F70-1,"")</f>
        <v>-0.09062575566243047</v>
      </c>
      <c r="R70" s="6">
        <v>-0.1488546550569324</v>
      </c>
    </row>
    <row r="71" spans="1:18">
      <c r="A71" s="5" t="s">
        <v>189</v>
      </c>
      <c r="B71" s="5" t="s">
        <v>190</v>
      </c>
      <c r="C71" s="5" t="s">
        <v>24</v>
      </c>
      <c r="D71" s="5" t="s">
        <v>45</v>
      </c>
      <c r="E71" s="5" t="s">
        <v>46</v>
      </c>
      <c r="F71" s="8">
        <v>301.77</v>
      </c>
      <c r="G71" s="8">
        <v>235.15</v>
      </c>
      <c r="H71" s="8">
        <v>235.59</v>
      </c>
      <c r="I71" s="8">
        <v>234.71</v>
      </c>
      <c r="J71" s="8">
        <v>234.89</v>
      </c>
      <c r="K71" s="6">
        <f>IFERROR(J71/I71-1,"")</f>
        <v>0.0007669038387796423</v>
      </c>
      <c r="L71" s="6">
        <f>IFERROR(J71/H71-1,"")</f>
        <v>-0.0029712636359778832</v>
      </c>
      <c r="M71" s="6">
        <f>IFERROR(J71/G71-1,"")</f>
        <v>-0.0011056772273018156</v>
      </c>
      <c r="N71" s="6">
        <v>-0.04059382973787984</v>
      </c>
      <c r="O71" s="6">
        <v>-0.187793589389334</v>
      </c>
      <c r="P71" s="6">
        <v>-0.001105677227301816</v>
      </c>
      <c r="Q71" s="6">
        <f>IFERROR(J71/F71-1,"")</f>
        <v>-0.22162574145872682</v>
      </c>
      <c r="R71" s="6">
        <v>-0.3278345800803579</v>
      </c>
    </row>
    <row r="72" spans="1:18">
      <c r="A72" s="5" t="s">
        <v>191</v>
      </c>
      <c r="B72" s="5" t="s">
        <v>192</v>
      </c>
      <c r="C72" s="5" t="s">
        <v>24</v>
      </c>
      <c r="D72" s="5" t="s">
        <v>52</v>
      </c>
      <c r="E72" s="5" t="s">
        <v>49</v>
      </c>
      <c r="F72" s="8">
        <v>627.5700000000001</v>
      </c>
      <c r="G72" s="8">
        <v>587.9400000000001</v>
      </c>
      <c r="H72" s="8">
        <v>578.02</v>
      </c>
      <c r="I72" s="8">
        <v>610.6799999999999</v>
      </c>
      <c r="J72" s="8">
        <v>616.77</v>
      </c>
      <c r="K72" s="6">
        <f>IFERROR(J72/I72-1,"")</f>
        <v>0.009972489683631514</v>
      </c>
      <c r="L72" s="6">
        <f>IFERROR(J72/H72-1,"")</f>
        <v>0.06703920279575093</v>
      </c>
      <c r="M72" s="6">
        <f>IFERROR(J72/G72-1,"")</f>
        <v>0.04903561587917116</v>
      </c>
      <c r="N72" s="6">
        <v>-0.07117931067450656</v>
      </c>
      <c r="O72" s="6">
        <v>0.008646423057128372</v>
      </c>
      <c r="P72" s="6">
        <v>0.04903561587917116</v>
      </c>
      <c r="Q72" s="6">
        <f>IFERROR(J72/F72-1,"")</f>
        <v>-0.017209235623117825</v>
      </c>
      <c r="R72" s="6">
        <v>-0.208832983517048</v>
      </c>
    </row>
    <row r="73" spans="1:18">
      <c r="A73" s="5" t="s">
        <v>193</v>
      </c>
      <c r="B73" s="5" t="s">
        <v>194</v>
      </c>
      <c r="C73" s="5" t="s">
        <v>24</v>
      </c>
      <c r="D73" s="5" t="s">
        <v>45</v>
      </c>
      <c r="E73" s="5" t="s">
        <v>49</v>
      </c>
      <c r="F73" s="8">
        <v>428.05</v>
      </c>
      <c r="G73" s="8">
        <v>492.81</v>
      </c>
      <c r="H73" s="8">
        <v>513.53</v>
      </c>
      <c r="I73" s="8">
        <v>510.12</v>
      </c>
      <c r="J73" s="8">
        <v>499.7</v>
      </c>
      <c r="K73" s="6">
        <f>IFERROR(J73/I73-1,"")</f>
        <v>-0.020426566298126003</v>
      </c>
      <c r="L73" s="6">
        <f>IFERROR(J73/H73-1,"")</f>
        <v>-0.026931240628590314</v>
      </c>
      <c r="M73" s="6">
        <f>IFERROR(J73/G73-1,"")</f>
        <v>0.013981047462510832</v>
      </c>
      <c r="N73" s="6">
        <v>-0.08774675855624348</v>
      </c>
      <c r="O73" s="6">
        <v>0.2620297574841866</v>
      </c>
      <c r="P73" s="6">
        <v>0.01398104746251083</v>
      </c>
      <c r="Q73" s="6">
        <f>IFERROR(J73/F73-1,"")</f>
        <v>0.16738698750145997</v>
      </c>
      <c r="R73" s="6">
        <v>-0.175727134680528</v>
      </c>
    </row>
    <row r="74" spans="1:18">
      <c r="A74" s="5" t="s">
        <v>195</v>
      </c>
      <c r="B74" s="5" t="s">
        <v>196</v>
      </c>
      <c r="C74" s="5" t="s">
        <v>24</v>
      </c>
      <c r="D74" s="5" t="s">
        <v>45</v>
      </c>
      <c r="E74" s="5" t="s">
        <v>49</v>
      </c>
      <c r="F74" s="8">
        <v>236.34</v>
      </c>
      <c r="G74" s="8">
        <v>145.74</v>
      </c>
      <c r="H74" s="8">
        <v>150.85</v>
      </c>
      <c r="I74" s="8">
        <v>154.04</v>
      </c>
      <c r="J74" s="8">
        <v>158.78</v>
      </c>
      <c r="K74" s="6">
        <f>IFERROR(J74/I74-1,"")</f>
        <v>0.030771228252401972</v>
      </c>
      <c r="L74" s="6">
        <f>IFERROR(J74/H74-1,"")</f>
        <v>0.052568776930725925</v>
      </c>
      <c r="M74" s="6">
        <f>IFERROR(J74/G74-1,"")</f>
        <v>0.08947440647728833</v>
      </c>
      <c r="N74" s="6">
        <v>-0.4064906490649065</v>
      </c>
      <c r="O74" s="6">
        <v>0.03899622157268134</v>
      </c>
      <c r="P74" s="6">
        <v>0.08947440647728833</v>
      </c>
      <c r="Q74" s="6">
        <f>IFERROR(J74/F74-1,"")</f>
        <v>-0.3281712786663282</v>
      </c>
      <c r="R74" s="6">
        <v>-0.5134551916730135</v>
      </c>
    </row>
  </sheetData>
  <autoFilter ref="A1:R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2.7109375" customWidth="1"/>
    <col min="3" max="3" width="14.7109375" customWidth="1"/>
    <col min="4" max="4" width="13.7109375" customWidth="1"/>
  </cols>
  <sheetData>
    <row r="1" spans="1:4">
      <c r="A1" s="4" t="s">
        <v>13</v>
      </c>
      <c r="B1" s="4" t="s">
        <v>197</v>
      </c>
      <c r="C1" s="4" t="s">
        <v>33</v>
      </c>
      <c r="D1" s="4" t="s">
        <v>198</v>
      </c>
    </row>
    <row r="2" spans="1:4">
      <c r="A2" s="5" t="s">
        <v>20</v>
      </c>
      <c r="B2" s="5" t="s">
        <v>199</v>
      </c>
      <c r="C2" s="5" t="s">
        <v>115</v>
      </c>
      <c r="D2" s="6">
        <v>0.001682438731083211</v>
      </c>
    </row>
    <row r="3" spans="1:4">
      <c r="A3" s="5" t="s">
        <v>20</v>
      </c>
      <c r="B3" s="5" t="s">
        <v>199</v>
      </c>
      <c r="C3" s="5" t="s">
        <v>111</v>
      </c>
      <c r="D3" s="6">
        <v>-8.032128002994248E-05</v>
      </c>
    </row>
    <row r="4" spans="1:4">
      <c r="A4" s="5" t="s">
        <v>20</v>
      </c>
      <c r="B4" s="5" t="s">
        <v>199</v>
      </c>
      <c r="C4" s="5" t="s">
        <v>107</v>
      </c>
      <c r="D4" s="6">
        <v>-0.0002876899221791928</v>
      </c>
    </row>
    <row r="5" spans="1:4">
      <c r="A5" s="5" t="s">
        <v>20</v>
      </c>
      <c r="B5" s="5" t="s">
        <v>200</v>
      </c>
      <c r="C5" s="5" t="s">
        <v>109</v>
      </c>
      <c r="D5" s="6">
        <v>-0.002994481576366921</v>
      </c>
    </row>
    <row r="6" spans="1:4">
      <c r="A6" s="5" t="s">
        <v>20</v>
      </c>
      <c r="B6" s="5" t="s">
        <v>200</v>
      </c>
      <c r="C6" s="5" t="s">
        <v>113</v>
      </c>
      <c r="D6" s="6">
        <v>-0.0006365667265862115</v>
      </c>
    </row>
    <row r="7" spans="1:4">
      <c r="A7" s="5" t="s">
        <v>20</v>
      </c>
      <c r="B7" s="5" t="s">
        <v>200</v>
      </c>
      <c r="C7" s="5" t="s">
        <v>107</v>
      </c>
      <c r="D7" s="6">
        <v>-0.0002876899221791928</v>
      </c>
    </row>
    <row r="8" spans="1:4">
      <c r="A8" s="5" t="s">
        <v>20</v>
      </c>
      <c r="B8" s="5" t="s">
        <v>201</v>
      </c>
      <c r="C8" s="5" t="s">
        <v>113</v>
      </c>
      <c r="D8" s="6">
        <v>-0.0003246121245253481</v>
      </c>
    </row>
    <row r="9" spans="1:4">
      <c r="A9" s="5" t="s">
        <v>20</v>
      </c>
      <c r="B9" s="5" t="s">
        <v>201</v>
      </c>
      <c r="C9" s="5" t="s">
        <v>107</v>
      </c>
      <c r="D9" s="6">
        <v>-0.0004739419909875651</v>
      </c>
    </row>
    <row r="10" spans="1:4">
      <c r="A10" s="5" t="s">
        <v>20</v>
      </c>
      <c r="B10" s="5" t="s">
        <v>201</v>
      </c>
      <c r="C10" s="5" t="s">
        <v>109</v>
      </c>
      <c r="D10" s="6">
        <v>-0.00795396910779788</v>
      </c>
    </row>
    <row r="11" spans="1:4">
      <c r="A11" s="5" t="s">
        <v>20</v>
      </c>
      <c r="B11" s="5" t="s">
        <v>202</v>
      </c>
      <c r="C11" s="5" t="s">
        <v>115</v>
      </c>
      <c r="D11" s="6">
        <v>-0.04578594023761796</v>
      </c>
    </row>
    <row r="12" spans="1:4">
      <c r="A12" s="5" t="s">
        <v>20</v>
      </c>
      <c r="B12" s="5" t="s">
        <v>202</v>
      </c>
      <c r="C12" s="5" t="s">
        <v>111</v>
      </c>
      <c r="D12" s="6">
        <v>-0.01044190655209359</v>
      </c>
    </row>
    <row r="13" spans="1:4">
      <c r="A13" s="5" t="s">
        <v>20</v>
      </c>
      <c r="B13" s="5" t="s">
        <v>202</v>
      </c>
      <c r="C13" s="5" t="s">
        <v>109</v>
      </c>
      <c r="D13" s="6">
        <v>-0.00795396910779788</v>
      </c>
    </row>
    <row r="14" spans="1:4">
      <c r="A14" s="5" t="s">
        <v>20</v>
      </c>
      <c r="B14" s="5" t="s">
        <v>203</v>
      </c>
      <c r="C14" s="5" t="s">
        <v>109</v>
      </c>
      <c r="D14" s="6">
        <v>0.00284880514515233</v>
      </c>
    </row>
    <row r="15" spans="1:4">
      <c r="A15" s="5" t="s">
        <v>20</v>
      </c>
      <c r="B15" s="5" t="s">
        <v>203</v>
      </c>
      <c r="C15" s="5" t="s">
        <v>113</v>
      </c>
      <c r="D15" s="6">
        <v>0.002120037527165237</v>
      </c>
    </row>
    <row r="16" spans="1:4">
      <c r="A16" s="5" t="s">
        <v>20</v>
      </c>
      <c r="B16" s="5" t="s">
        <v>203</v>
      </c>
      <c r="C16" s="5" t="s">
        <v>107</v>
      </c>
      <c r="D16" s="6">
        <v>-0.003922520943809184</v>
      </c>
    </row>
    <row r="17" spans="1:4">
      <c r="A17" s="5" t="s">
        <v>20</v>
      </c>
      <c r="B17" s="5" t="s">
        <v>204</v>
      </c>
      <c r="C17" s="5" t="s">
        <v>115</v>
      </c>
      <c r="D17" s="6">
        <v>-0.04012080410734898</v>
      </c>
    </row>
    <row r="18" spans="1:4">
      <c r="A18" s="5" t="s">
        <v>20</v>
      </c>
      <c r="B18" s="5" t="s">
        <v>204</v>
      </c>
      <c r="C18" s="5" t="s">
        <v>111</v>
      </c>
      <c r="D18" s="6">
        <v>-0.01310250595005991</v>
      </c>
    </row>
    <row r="19" spans="1:4">
      <c r="A19" s="5" t="s">
        <v>20</v>
      </c>
      <c r="B19" s="5" t="s">
        <v>204</v>
      </c>
      <c r="C19" s="5" t="s">
        <v>107</v>
      </c>
      <c r="D19" s="6">
        <v>-0.003922520943809184</v>
      </c>
    </row>
    <row r="20" spans="1:4">
      <c r="A20" s="5" t="s">
        <v>20</v>
      </c>
      <c r="B20" s="5" t="s">
        <v>205</v>
      </c>
      <c r="C20" s="5" t="s">
        <v>115</v>
      </c>
      <c r="D20" s="6">
        <v>0.07868967061966582</v>
      </c>
    </row>
    <row r="21" spans="1:4">
      <c r="A21" s="5" t="s">
        <v>20</v>
      </c>
      <c r="B21" s="5" t="s">
        <v>205</v>
      </c>
      <c r="C21" s="5" t="s">
        <v>109</v>
      </c>
      <c r="D21" s="6">
        <v>0.06066623670261171</v>
      </c>
    </row>
    <row r="22" spans="1:4">
      <c r="A22" s="5" t="s">
        <v>20</v>
      </c>
      <c r="B22" s="5" t="s">
        <v>205</v>
      </c>
      <c r="C22" s="5" t="s">
        <v>111</v>
      </c>
      <c r="D22" s="6">
        <v>0.008670407933067528</v>
      </c>
    </row>
    <row r="23" spans="1:4">
      <c r="A23" s="5" t="s">
        <v>20</v>
      </c>
      <c r="B23" s="5" t="s">
        <v>206</v>
      </c>
      <c r="C23" s="5" t="s">
        <v>107</v>
      </c>
      <c r="D23" s="6">
        <v>-0.01397224362295791</v>
      </c>
    </row>
    <row r="24" spans="1:4">
      <c r="A24" s="5" t="s">
        <v>20</v>
      </c>
      <c r="B24" s="5" t="s">
        <v>206</v>
      </c>
      <c r="C24" s="5" t="s">
        <v>113</v>
      </c>
      <c r="D24" s="6">
        <v>0.00444780114489057</v>
      </c>
    </row>
    <row r="25" spans="1:4">
      <c r="A25" s="5" t="s">
        <v>20</v>
      </c>
      <c r="B25" s="5" t="s">
        <v>206</v>
      </c>
      <c r="C25" s="5" t="s">
        <v>111</v>
      </c>
      <c r="D25" s="6">
        <v>0.008670407933067528</v>
      </c>
    </row>
    <row r="26" spans="1:4">
      <c r="A26" s="5" t="s">
        <v>22</v>
      </c>
      <c r="B26" s="5" t="s">
        <v>199</v>
      </c>
      <c r="C26" s="5" t="s">
        <v>50</v>
      </c>
      <c r="D26" s="6">
        <v>0.001711591829602848</v>
      </c>
    </row>
    <row r="27" spans="1:4">
      <c r="A27" s="5" t="s">
        <v>22</v>
      </c>
      <c r="B27" s="5" t="s">
        <v>199</v>
      </c>
      <c r="C27" s="5" t="s">
        <v>55</v>
      </c>
      <c r="D27" s="6">
        <v>-0.0004828273862632315</v>
      </c>
    </row>
    <row r="28" spans="1:4">
      <c r="A28" s="5" t="s">
        <v>22</v>
      </c>
      <c r="B28" s="5" t="s">
        <v>199</v>
      </c>
      <c r="C28" s="5" t="s">
        <v>63</v>
      </c>
      <c r="D28" s="6">
        <v>-0.001965462951442316</v>
      </c>
    </row>
    <row r="29" spans="1:4">
      <c r="A29" s="5" t="s">
        <v>22</v>
      </c>
      <c r="B29" s="5" t="s">
        <v>200</v>
      </c>
      <c r="C29" s="5" t="s">
        <v>61</v>
      </c>
      <c r="D29" s="6">
        <v>-0.01443215932963138</v>
      </c>
    </row>
    <row r="30" spans="1:4">
      <c r="A30" s="5" t="s">
        <v>22</v>
      </c>
      <c r="B30" s="5" t="s">
        <v>200</v>
      </c>
      <c r="C30" s="5" t="s">
        <v>47</v>
      </c>
      <c r="D30" s="6">
        <v>-0.005603957792790484</v>
      </c>
    </row>
    <row r="31" spans="1:4">
      <c r="A31" s="5" t="s">
        <v>22</v>
      </c>
      <c r="B31" s="5" t="s">
        <v>200</v>
      </c>
      <c r="C31" s="5" t="s">
        <v>59</v>
      </c>
      <c r="D31" s="6">
        <v>-0.003280658992538798</v>
      </c>
    </row>
    <row r="32" spans="1:4">
      <c r="A32" s="5" t="s">
        <v>22</v>
      </c>
      <c r="B32" s="5" t="s">
        <v>201</v>
      </c>
      <c r="C32" s="5" t="s">
        <v>53</v>
      </c>
      <c r="D32" s="6">
        <v>0.001928122759172751</v>
      </c>
    </row>
    <row r="33" spans="1:4">
      <c r="A33" s="5" t="s">
        <v>22</v>
      </c>
      <c r="B33" s="5" t="s">
        <v>201</v>
      </c>
      <c r="C33" s="5" t="s">
        <v>50</v>
      </c>
      <c r="D33" s="6">
        <v>0.0006796455565584545</v>
      </c>
    </row>
    <row r="34" spans="1:4">
      <c r="A34" s="5" t="s">
        <v>22</v>
      </c>
      <c r="B34" s="5" t="s">
        <v>201</v>
      </c>
      <c r="C34" s="5" t="s">
        <v>43</v>
      </c>
      <c r="D34" s="6">
        <v>-0.001283375782818219</v>
      </c>
    </row>
    <row r="35" spans="1:4">
      <c r="A35" s="5" t="s">
        <v>22</v>
      </c>
      <c r="B35" s="5" t="s">
        <v>202</v>
      </c>
      <c r="C35" s="5" t="s">
        <v>61</v>
      </c>
      <c r="D35" s="6">
        <v>-0.02083666985025353</v>
      </c>
    </row>
    <row r="36" spans="1:4">
      <c r="A36" s="5" t="s">
        <v>22</v>
      </c>
      <c r="B36" s="5" t="s">
        <v>202</v>
      </c>
      <c r="C36" s="5" t="s">
        <v>47</v>
      </c>
      <c r="D36" s="6">
        <v>-0.00721079498747195</v>
      </c>
    </row>
    <row r="37" spans="1:4">
      <c r="A37" s="5" t="s">
        <v>22</v>
      </c>
      <c r="B37" s="5" t="s">
        <v>202</v>
      </c>
      <c r="C37" s="5" t="s">
        <v>55</v>
      </c>
      <c r="D37" s="6">
        <v>-0.006281097790982835</v>
      </c>
    </row>
    <row r="38" spans="1:4">
      <c r="A38" s="5" t="s">
        <v>22</v>
      </c>
      <c r="B38" s="5" t="s">
        <v>203</v>
      </c>
      <c r="C38" s="5" t="s">
        <v>53</v>
      </c>
      <c r="D38" s="6">
        <v>0.0446975377975539</v>
      </c>
    </row>
    <row r="39" spans="1:4">
      <c r="A39" s="5" t="s">
        <v>22</v>
      </c>
      <c r="B39" s="5" t="s">
        <v>203</v>
      </c>
      <c r="C39" s="5" t="s">
        <v>61</v>
      </c>
      <c r="D39" s="6">
        <v>0.02241797310867671</v>
      </c>
    </row>
    <row r="40" spans="1:4">
      <c r="A40" s="5" t="s">
        <v>22</v>
      </c>
      <c r="B40" s="5" t="s">
        <v>203</v>
      </c>
      <c r="C40" s="5" t="s">
        <v>59</v>
      </c>
      <c r="D40" s="6">
        <v>0.01911917062080946</v>
      </c>
    </row>
    <row r="41" spans="1:4">
      <c r="A41" s="5" t="s">
        <v>22</v>
      </c>
      <c r="B41" s="5" t="s">
        <v>204</v>
      </c>
      <c r="C41" s="5" t="s">
        <v>50</v>
      </c>
      <c r="D41" s="6">
        <v>-0.02663614146870119</v>
      </c>
    </row>
    <row r="42" spans="1:4">
      <c r="A42" s="5" t="s">
        <v>22</v>
      </c>
      <c r="B42" s="5" t="s">
        <v>204</v>
      </c>
      <c r="C42" s="5" t="s">
        <v>55</v>
      </c>
      <c r="D42" s="6">
        <v>-0.02141580868447443</v>
      </c>
    </row>
    <row r="43" spans="1:4">
      <c r="A43" s="5" t="s">
        <v>22</v>
      </c>
      <c r="B43" s="5" t="s">
        <v>204</v>
      </c>
      <c r="C43" s="5" t="s">
        <v>57</v>
      </c>
      <c r="D43" s="6">
        <v>0.001990756544960507</v>
      </c>
    </row>
    <row r="44" spans="1:4">
      <c r="A44" s="5" t="s">
        <v>22</v>
      </c>
      <c r="B44" s="5" t="s">
        <v>205</v>
      </c>
      <c r="C44" s="5" t="s">
        <v>61</v>
      </c>
      <c r="D44" s="6">
        <v>0.06383905503709812</v>
      </c>
    </row>
    <row r="45" spans="1:4">
      <c r="A45" s="5" t="s">
        <v>22</v>
      </c>
      <c r="B45" s="5" t="s">
        <v>205</v>
      </c>
      <c r="C45" s="5" t="s">
        <v>53</v>
      </c>
      <c r="D45" s="6">
        <v>0.04710798100658022</v>
      </c>
    </row>
    <row r="46" spans="1:4">
      <c r="A46" s="5" t="s">
        <v>22</v>
      </c>
      <c r="B46" s="5" t="s">
        <v>205</v>
      </c>
      <c r="C46" s="5" t="s">
        <v>59</v>
      </c>
      <c r="D46" s="6">
        <v>0.01842669613751775</v>
      </c>
    </row>
    <row r="47" spans="1:4">
      <c r="A47" s="5" t="s">
        <v>22</v>
      </c>
      <c r="B47" s="5" t="s">
        <v>206</v>
      </c>
      <c r="C47" s="5" t="s">
        <v>50</v>
      </c>
      <c r="D47" s="6">
        <v>-0.0653354187067267</v>
      </c>
    </row>
    <row r="48" spans="1:4">
      <c r="A48" s="5" t="s">
        <v>22</v>
      </c>
      <c r="B48" s="5" t="s">
        <v>206</v>
      </c>
      <c r="C48" s="5" t="s">
        <v>55</v>
      </c>
      <c r="D48" s="6">
        <v>-0.008910435670027573</v>
      </c>
    </row>
    <row r="49" spans="1:4">
      <c r="A49" s="5" t="s">
        <v>22</v>
      </c>
      <c r="B49" s="5" t="s">
        <v>206</v>
      </c>
      <c r="C49" s="5" t="s">
        <v>47</v>
      </c>
      <c r="D49" s="6">
        <v>0.002668637133889066</v>
      </c>
    </row>
    <row r="50" spans="1:4">
      <c r="A50" s="5" t="s">
        <v>23</v>
      </c>
      <c r="B50" s="5" t="s">
        <v>199</v>
      </c>
      <c r="C50" s="5" t="s">
        <v>152</v>
      </c>
      <c r="D50" s="6">
        <v>0.02850268631969872</v>
      </c>
    </row>
    <row r="51" spans="1:4">
      <c r="A51" s="5" t="s">
        <v>23</v>
      </c>
      <c r="B51" s="5" t="s">
        <v>199</v>
      </c>
      <c r="C51" s="5" t="s">
        <v>157</v>
      </c>
      <c r="D51" s="6">
        <v>0.009860743758316184</v>
      </c>
    </row>
    <row r="52" spans="1:4">
      <c r="A52" s="5" t="s">
        <v>23</v>
      </c>
      <c r="B52" s="5" t="s">
        <v>199</v>
      </c>
      <c r="C52" s="5" t="s">
        <v>155</v>
      </c>
      <c r="D52" s="6">
        <v>0.008728855022540893</v>
      </c>
    </row>
    <row r="53" spans="1:4">
      <c r="A53" s="5" t="s">
        <v>23</v>
      </c>
      <c r="B53" s="5" t="s">
        <v>200</v>
      </c>
      <c r="C53" s="5" t="s">
        <v>155</v>
      </c>
      <c r="D53" s="6">
        <v>0.008728855022540893</v>
      </c>
    </row>
    <row r="54" spans="1:4">
      <c r="A54" s="5" t="s">
        <v>23</v>
      </c>
      <c r="B54" s="5" t="s">
        <v>200</v>
      </c>
      <c r="C54" s="5" t="s">
        <v>157</v>
      </c>
      <c r="D54" s="6">
        <v>0.009860743758316184</v>
      </c>
    </row>
    <row r="55" spans="1:4">
      <c r="A55" s="5" t="s">
        <v>23</v>
      </c>
      <c r="B55" s="5" t="s">
        <v>200</v>
      </c>
      <c r="C55" s="5" t="s">
        <v>152</v>
      </c>
      <c r="D55" s="6">
        <v>0.02850268631969872</v>
      </c>
    </row>
    <row r="56" spans="1:4">
      <c r="A56" s="5" t="s">
        <v>23</v>
      </c>
      <c r="B56" s="5" t="s">
        <v>201</v>
      </c>
      <c r="C56" s="5" t="s">
        <v>152</v>
      </c>
      <c r="D56" s="6">
        <v>0.04700103806049116</v>
      </c>
    </row>
    <row r="57" spans="1:4">
      <c r="A57" s="5" t="s">
        <v>23</v>
      </c>
      <c r="B57" s="5" t="s">
        <v>201</v>
      </c>
      <c r="C57" s="5" t="s">
        <v>157</v>
      </c>
      <c r="D57" s="6">
        <v>0.02447720656935874</v>
      </c>
    </row>
    <row r="58" spans="1:4">
      <c r="A58" s="5" t="s">
        <v>23</v>
      </c>
      <c r="B58" s="5" t="s">
        <v>201</v>
      </c>
      <c r="C58" s="5" t="s">
        <v>155</v>
      </c>
      <c r="D58" s="6">
        <v>0.00991882334195386</v>
      </c>
    </row>
    <row r="59" spans="1:4">
      <c r="A59" s="5" t="s">
        <v>23</v>
      </c>
      <c r="B59" s="5" t="s">
        <v>202</v>
      </c>
      <c r="C59" s="5" t="s">
        <v>155</v>
      </c>
      <c r="D59" s="6">
        <v>0.00991882334195386</v>
      </c>
    </row>
    <row r="60" spans="1:4">
      <c r="A60" s="5" t="s">
        <v>23</v>
      </c>
      <c r="B60" s="5" t="s">
        <v>202</v>
      </c>
      <c r="C60" s="5" t="s">
        <v>157</v>
      </c>
      <c r="D60" s="6">
        <v>0.02447720656935874</v>
      </c>
    </row>
    <row r="61" spans="1:4">
      <c r="A61" s="5" t="s">
        <v>23</v>
      </c>
      <c r="B61" s="5" t="s">
        <v>202</v>
      </c>
      <c r="C61" s="5" t="s">
        <v>152</v>
      </c>
      <c r="D61" s="6">
        <v>0.04700103806049116</v>
      </c>
    </row>
    <row r="62" spans="1:4">
      <c r="A62" s="5" t="s">
        <v>23</v>
      </c>
      <c r="B62" s="5" t="s">
        <v>203</v>
      </c>
      <c r="C62" s="5" t="s">
        <v>152</v>
      </c>
      <c r="D62" s="6">
        <v>0.06768973035473165</v>
      </c>
    </row>
    <row r="63" spans="1:4">
      <c r="A63" s="5" t="s">
        <v>23</v>
      </c>
      <c r="B63" s="5" t="s">
        <v>203</v>
      </c>
      <c r="C63" s="5" t="s">
        <v>157</v>
      </c>
      <c r="D63" s="6">
        <v>0.01205919369955365</v>
      </c>
    </row>
    <row r="64" spans="1:4">
      <c r="A64" s="5" t="s">
        <v>23</v>
      </c>
      <c r="B64" s="5" t="s">
        <v>203</v>
      </c>
      <c r="C64" s="5" t="s">
        <v>155</v>
      </c>
      <c r="D64" s="6">
        <v>0.002452359612327361</v>
      </c>
    </row>
    <row r="65" spans="1:4">
      <c r="A65" s="5" t="s">
        <v>23</v>
      </c>
      <c r="B65" s="5" t="s">
        <v>204</v>
      </c>
      <c r="C65" s="5" t="s">
        <v>155</v>
      </c>
      <c r="D65" s="6">
        <v>0.002452359612327361</v>
      </c>
    </row>
    <row r="66" spans="1:4">
      <c r="A66" s="5" t="s">
        <v>23</v>
      </c>
      <c r="B66" s="5" t="s">
        <v>204</v>
      </c>
      <c r="C66" s="5" t="s">
        <v>157</v>
      </c>
      <c r="D66" s="6">
        <v>0.01205919369955365</v>
      </c>
    </row>
    <row r="67" spans="1:4">
      <c r="A67" s="5" t="s">
        <v>23</v>
      </c>
      <c r="B67" s="5" t="s">
        <v>204</v>
      </c>
      <c r="C67" s="5" t="s">
        <v>152</v>
      </c>
      <c r="D67" s="6">
        <v>0.06768973035473165</v>
      </c>
    </row>
    <row r="68" spans="1:4">
      <c r="A68" s="5" t="s">
        <v>23</v>
      </c>
      <c r="B68" s="5" t="s">
        <v>205</v>
      </c>
      <c r="C68" s="5" t="s">
        <v>152</v>
      </c>
      <c r="D68" s="6">
        <v>0.0708196046520153</v>
      </c>
    </row>
    <row r="69" spans="1:4">
      <c r="A69" s="5" t="s">
        <v>23</v>
      </c>
      <c r="B69" s="5" t="s">
        <v>205</v>
      </c>
      <c r="C69" s="5" t="s">
        <v>157</v>
      </c>
      <c r="D69" s="6">
        <v>-0.008437808803327371</v>
      </c>
    </row>
    <row r="70" spans="1:4">
      <c r="A70" s="5" t="s">
        <v>23</v>
      </c>
      <c r="B70" s="5" t="s">
        <v>205</v>
      </c>
      <c r="C70" s="5" t="s">
        <v>155</v>
      </c>
      <c r="D70" s="6">
        <v>-0.01724341945649896</v>
      </c>
    </row>
    <row r="71" spans="1:4">
      <c r="A71" s="5" t="s">
        <v>23</v>
      </c>
      <c r="B71" s="5" t="s">
        <v>206</v>
      </c>
      <c r="C71" s="5" t="s">
        <v>155</v>
      </c>
      <c r="D71" s="6">
        <v>-0.01724341945649896</v>
      </c>
    </row>
    <row r="72" spans="1:4">
      <c r="A72" s="5" t="s">
        <v>23</v>
      </c>
      <c r="B72" s="5" t="s">
        <v>206</v>
      </c>
      <c r="C72" s="5" t="s">
        <v>157</v>
      </c>
      <c r="D72" s="6">
        <v>-0.008437808803327371</v>
      </c>
    </row>
    <row r="73" spans="1:4">
      <c r="A73" s="5" t="s">
        <v>23</v>
      </c>
      <c r="B73" s="5" t="s">
        <v>206</v>
      </c>
      <c r="C73" s="5" t="s">
        <v>152</v>
      </c>
      <c r="D73" s="6">
        <v>0.0708196046520153</v>
      </c>
    </row>
    <row r="74" spans="1:4">
      <c r="A74" s="5" t="s">
        <v>24</v>
      </c>
      <c r="B74" s="5" t="s">
        <v>199</v>
      </c>
      <c r="C74" s="5" t="s">
        <v>191</v>
      </c>
      <c r="D74" s="6">
        <v>0.001196227903183456</v>
      </c>
    </row>
    <row r="75" spans="1:4">
      <c r="A75" s="5" t="s">
        <v>24</v>
      </c>
      <c r="B75" s="5" t="s">
        <v>199</v>
      </c>
      <c r="C75" s="5" t="s">
        <v>195</v>
      </c>
      <c r="D75" s="6">
        <v>0.00105274510531435</v>
      </c>
    </row>
    <row r="76" spans="1:4">
      <c r="A76" s="5" t="s">
        <v>24</v>
      </c>
      <c r="B76" s="5" t="s">
        <v>199</v>
      </c>
      <c r="C76" s="5" t="s">
        <v>189</v>
      </c>
      <c r="D76" s="6">
        <v>1.307575407493286E-05</v>
      </c>
    </row>
    <row r="77" spans="1:4">
      <c r="A77" s="5" t="s">
        <v>24</v>
      </c>
      <c r="B77" s="5" t="s">
        <v>200</v>
      </c>
      <c r="C77" s="5" t="s">
        <v>193</v>
      </c>
      <c r="D77" s="6">
        <v>-0.005965920530396335</v>
      </c>
    </row>
    <row r="78" spans="1:4">
      <c r="A78" s="5" t="s">
        <v>24</v>
      </c>
      <c r="B78" s="5" t="s">
        <v>200</v>
      </c>
      <c r="C78" s="5" t="s">
        <v>187</v>
      </c>
      <c r="D78" s="6">
        <v>-0.003772534139803568</v>
      </c>
    </row>
    <row r="79" spans="1:4">
      <c r="A79" s="5" t="s">
        <v>24</v>
      </c>
      <c r="B79" s="5" t="s">
        <v>200</v>
      </c>
      <c r="C79" s="5" t="s">
        <v>185</v>
      </c>
      <c r="D79" s="6">
        <v>-0.0003243538301285111</v>
      </c>
    </row>
    <row r="80" spans="1:4">
      <c r="A80" s="5" t="s">
        <v>24</v>
      </c>
      <c r="B80" s="5" t="s">
        <v>201</v>
      </c>
      <c r="C80" s="5" t="s">
        <v>191</v>
      </c>
      <c r="D80" s="6">
        <v>0.007574437357483622</v>
      </c>
    </row>
    <row r="81" spans="1:4">
      <c r="A81" s="5" t="s">
        <v>24</v>
      </c>
      <c r="B81" s="5" t="s">
        <v>201</v>
      </c>
      <c r="C81" s="5" t="s">
        <v>195</v>
      </c>
      <c r="D81" s="6">
        <v>0.001752669834376177</v>
      </c>
    </row>
    <row r="82" spans="1:4">
      <c r="A82" s="5" t="s">
        <v>24</v>
      </c>
      <c r="B82" s="5" t="s">
        <v>201</v>
      </c>
      <c r="C82" s="5" t="s">
        <v>189</v>
      </c>
      <c r="D82" s="6">
        <v>-5.060277273463818E-05</v>
      </c>
    </row>
    <row r="83" spans="1:4">
      <c r="A83" s="5" t="s">
        <v>24</v>
      </c>
      <c r="B83" s="5" t="s">
        <v>202</v>
      </c>
      <c r="C83" s="5" t="s">
        <v>193</v>
      </c>
      <c r="D83" s="6">
        <v>-0.007879777609934527</v>
      </c>
    </row>
    <row r="84" spans="1:4">
      <c r="A84" s="5" t="s">
        <v>24</v>
      </c>
      <c r="B84" s="5" t="s">
        <v>202</v>
      </c>
      <c r="C84" s="5" t="s">
        <v>187</v>
      </c>
      <c r="D84" s="6">
        <v>-0.007589530733682439</v>
      </c>
    </row>
    <row r="85" spans="1:4">
      <c r="A85" s="5" t="s">
        <v>24</v>
      </c>
      <c r="B85" s="5" t="s">
        <v>202</v>
      </c>
      <c r="C85" s="5" t="s">
        <v>185</v>
      </c>
      <c r="D85" s="6">
        <v>-0.006554833139010336</v>
      </c>
    </row>
    <row r="86" spans="1:4">
      <c r="A86" s="5" t="s">
        <v>24</v>
      </c>
      <c r="B86" s="5" t="s">
        <v>203</v>
      </c>
      <c r="C86" s="5" t="s">
        <v>191</v>
      </c>
      <c r="D86" s="6">
        <v>0.005482645616045215</v>
      </c>
    </row>
    <row r="87" spans="1:4">
      <c r="A87" s="5" t="s">
        <v>24</v>
      </c>
      <c r="B87" s="5" t="s">
        <v>203</v>
      </c>
      <c r="C87" s="5" t="s">
        <v>193</v>
      </c>
      <c r="D87" s="6">
        <v>0.003819248034349359</v>
      </c>
    </row>
    <row r="88" spans="1:4">
      <c r="A88" s="5" t="s">
        <v>24</v>
      </c>
      <c r="B88" s="5" t="s">
        <v>203</v>
      </c>
      <c r="C88" s="5" t="s">
        <v>195</v>
      </c>
      <c r="D88" s="6">
        <v>0.002803957181974936</v>
      </c>
    </row>
    <row r="89" spans="1:4">
      <c r="A89" s="5" t="s">
        <v>24</v>
      </c>
      <c r="B89" s="5" t="s">
        <v>204</v>
      </c>
      <c r="C89" s="5" t="s">
        <v>187</v>
      </c>
      <c r="D89" s="6">
        <v>-0.0356733977328385</v>
      </c>
    </row>
    <row r="90" spans="1:4">
      <c r="A90" s="5" t="s">
        <v>24</v>
      </c>
      <c r="B90" s="5" t="s">
        <v>204</v>
      </c>
      <c r="C90" s="5" t="s">
        <v>185</v>
      </c>
      <c r="D90" s="6">
        <v>-0.01522631637195442</v>
      </c>
    </row>
    <row r="91" spans="1:4">
      <c r="A91" s="5" t="s">
        <v>24</v>
      </c>
      <c r="B91" s="5" t="s">
        <v>204</v>
      </c>
      <c r="C91" s="5" t="s">
        <v>189</v>
      </c>
      <c r="D91" s="6">
        <v>-1.828590602871899E-05</v>
      </c>
    </row>
    <row r="92" spans="1:4">
      <c r="A92" s="5" t="s">
        <v>24</v>
      </c>
      <c r="B92" s="5" t="s">
        <v>205</v>
      </c>
      <c r="C92" s="5" t="s">
        <v>193</v>
      </c>
      <c r="D92" s="6">
        <v>0.04100458388526734</v>
      </c>
    </row>
    <row r="93" spans="1:4">
      <c r="A93" s="5" t="s">
        <v>24</v>
      </c>
      <c r="B93" s="5" t="s">
        <v>205</v>
      </c>
      <c r="C93" s="5" t="s">
        <v>185</v>
      </c>
      <c r="D93" s="6">
        <v>0.003911618482911087</v>
      </c>
    </row>
    <row r="94" spans="1:4">
      <c r="A94" s="5" t="s">
        <v>24</v>
      </c>
      <c r="B94" s="5" t="s">
        <v>205</v>
      </c>
      <c r="C94" s="5" t="s">
        <v>191</v>
      </c>
      <c r="D94" s="6">
        <v>-0.002112062208295385</v>
      </c>
    </row>
    <row r="95" spans="1:4">
      <c r="A95" s="5" t="s">
        <v>24</v>
      </c>
      <c r="B95" s="5" t="s">
        <v>206</v>
      </c>
      <c r="C95" s="5" t="s">
        <v>187</v>
      </c>
      <c r="D95" s="6">
        <v>-0.03151614925249303</v>
      </c>
    </row>
    <row r="96" spans="1:4">
      <c r="A96" s="5" t="s">
        <v>24</v>
      </c>
      <c r="B96" s="5" t="s">
        <v>206</v>
      </c>
      <c r="C96" s="5" t="s">
        <v>195</v>
      </c>
      <c r="D96" s="6">
        <v>-0.01718511854897859</v>
      </c>
    </row>
    <row r="97" spans="1:4">
      <c r="A97" s="5" t="s">
        <v>24</v>
      </c>
      <c r="B97" s="5" t="s">
        <v>206</v>
      </c>
      <c r="C97" s="5" t="s">
        <v>189</v>
      </c>
      <c r="D97" s="6">
        <v>-0.004842727326294117</v>
      </c>
    </row>
    <row r="98" spans="1:4">
      <c r="A98" s="5" t="s">
        <v>25</v>
      </c>
      <c r="B98" s="5" t="s">
        <v>199</v>
      </c>
      <c r="C98" s="5" t="s">
        <v>75</v>
      </c>
      <c r="D98" s="6">
        <v>0.006762064539513106</v>
      </c>
    </row>
    <row r="99" spans="1:4">
      <c r="A99" s="5" t="s">
        <v>25</v>
      </c>
      <c r="B99" s="5" t="s">
        <v>199</v>
      </c>
      <c r="C99" s="5" t="s">
        <v>77</v>
      </c>
      <c r="D99" s="6">
        <v>0.004716813287910782</v>
      </c>
    </row>
    <row r="100" spans="1:4">
      <c r="A100" s="5" t="s">
        <v>25</v>
      </c>
      <c r="B100" s="5" t="s">
        <v>199</v>
      </c>
      <c r="C100" s="5" t="s">
        <v>65</v>
      </c>
      <c r="D100" s="6">
        <v>0.003581471446717871</v>
      </c>
    </row>
    <row r="101" spans="1:4">
      <c r="A101" s="5" t="s">
        <v>25</v>
      </c>
      <c r="B101" s="5" t="s">
        <v>200</v>
      </c>
      <c r="C101" s="5" t="s">
        <v>71</v>
      </c>
      <c r="D101" s="6">
        <v>5.141450780373137E-05</v>
      </c>
    </row>
    <row r="102" spans="1:4">
      <c r="A102" s="5" t="s">
        <v>25</v>
      </c>
      <c r="B102" s="5" t="s">
        <v>200</v>
      </c>
      <c r="C102" s="5" t="s">
        <v>67</v>
      </c>
      <c r="D102" s="6">
        <v>0.0003583205635273208</v>
      </c>
    </row>
    <row r="103" spans="1:4">
      <c r="A103" s="5" t="s">
        <v>25</v>
      </c>
      <c r="B103" s="5" t="s">
        <v>200</v>
      </c>
      <c r="C103" s="5" t="s">
        <v>73</v>
      </c>
      <c r="D103" s="6">
        <v>0.001322684168980173</v>
      </c>
    </row>
    <row r="104" spans="1:4">
      <c r="A104" s="5" t="s">
        <v>25</v>
      </c>
      <c r="B104" s="5" t="s">
        <v>201</v>
      </c>
      <c r="C104" s="5" t="s">
        <v>77</v>
      </c>
      <c r="D104" s="6">
        <v>0.03237695782952175</v>
      </c>
    </row>
    <row r="105" spans="1:4">
      <c r="A105" s="5" t="s">
        <v>25</v>
      </c>
      <c r="B105" s="5" t="s">
        <v>201</v>
      </c>
      <c r="C105" s="5" t="s">
        <v>75</v>
      </c>
      <c r="D105" s="6">
        <v>0.00991736068044464</v>
      </c>
    </row>
    <row r="106" spans="1:4">
      <c r="A106" s="5" t="s">
        <v>25</v>
      </c>
      <c r="B106" s="5" t="s">
        <v>201</v>
      </c>
      <c r="C106" s="5" t="s">
        <v>69</v>
      </c>
      <c r="D106" s="6">
        <v>0.003508522621033432</v>
      </c>
    </row>
    <row r="107" spans="1:4">
      <c r="A107" s="5" t="s">
        <v>25</v>
      </c>
      <c r="B107" s="5" t="s">
        <v>202</v>
      </c>
      <c r="C107" s="5" t="s">
        <v>67</v>
      </c>
      <c r="D107" s="6">
        <v>-0.005436047209752591</v>
      </c>
    </row>
    <row r="108" spans="1:4">
      <c r="A108" s="5" t="s">
        <v>25</v>
      </c>
      <c r="B108" s="5" t="s">
        <v>202</v>
      </c>
      <c r="C108" s="5" t="s">
        <v>71</v>
      </c>
      <c r="D108" s="6">
        <v>-0.0001669846468855848</v>
      </c>
    </row>
    <row r="109" spans="1:4">
      <c r="A109" s="5" t="s">
        <v>25</v>
      </c>
      <c r="B109" s="5" t="s">
        <v>202</v>
      </c>
      <c r="C109" s="5" t="s">
        <v>73</v>
      </c>
      <c r="D109" s="6">
        <v>0.0006357873405929981</v>
      </c>
    </row>
    <row r="110" spans="1:4">
      <c r="A110" s="5" t="s">
        <v>25</v>
      </c>
      <c r="B110" s="5" t="s">
        <v>203</v>
      </c>
      <c r="C110" s="5" t="s">
        <v>77</v>
      </c>
      <c r="D110" s="6">
        <v>0.04577705706218459</v>
      </c>
    </row>
    <row r="111" spans="1:4">
      <c r="A111" s="5" t="s">
        <v>25</v>
      </c>
      <c r="B111" s="5" t="s">
        <v>203</v>
      </c>
      <c r="C111" s="5" t="s">
        <v>75</v>
      </c>
      <c r="D111" s="6">
        <v>0.01437240450456844</v>
      </c>
    </row>
    <row r="112" spans="1:4">
      <c r="A112" s="5" t="s">
        <v>25</v>
      </c>
      <c r="B112" s="5" t="s">
        <v>203</v>
      </c>
      <c r="C112" s="5" t="s">
        <v>73</v>
      </c>
      <c r="D112" s="6">
        <v>0.0004455878375312398</v>
      </c>
    </row>
    <row r="113" spans="1:4">
      <c r="A113" s="5" t="s">
        <v>25</v>
      </c>
      <c r="B113" s="5" t="s">
        <v>204</v>
      </c>
      <c r="C113" s="5" t="s">
        <v>67</v>
      </c>
      <c r="D113" s="6">
        <v>-0.02944382013231081</v>
      </c>
    </row>
    <row r="114" spans="1:4">
      <c r="A114" s="5" t="s">
        <v>25</v>
      </c>
      <c r="B114" s="5" t="s">
        <v>204</v>
      </c>
      <c r="C114" s="5" t="s">
        <v>65</v>
      </c>
      <c r="D114" s="6">
        <v>-0.006867208835544405</v>
      </c>
    </row>
    <row r="115" spans="1:4">
      <c r="A115" s="5" t="s">
        <v>25</v>
      </c>
      <c r="B115" s="5" t="s">
        <v>204</v>
      </c>
      <c r="C115" s="5" t="s">
        <v>69</v>
      </c>
      <c r="D115" s="6">
        <v>-0.002621008757229374</v>
      </c>
    </row>
    <row r="116" spans="1:4">
      <c r="A116" s="5" t="s">
        <v>25</v>
      </c>
      <c r="B116" s="5" t="s">
        <v>205</v>
      </c>
      <c r="C116" s="5" t="s">
        <v>77</v>
      </c>
      <c r="D116" s="6">
        <v>0.02783759655867832</v>
      </c>
    </row>
    <row r="117" spans="1:4">
      <c r="A117" s="5" t="s">
        <v>25</v>
      </c>
      <c r="B117" s="5" t="s">
        <v>205</v>
      </c>
      <c r="C117" s="5" t="s">
        <v>75</v>
      </c>
      <c r="D117" s="6">
        <v>0.002282935014520732</v>
      </c>
    </row>
    <row r="118" spans="1:4">
      <c r="A118" s="5" t="s">
        <v>25</v>
      </c>
      <c r="B118" s="5" t="s">
        <v>205</v>
      </c>
      <c r="C118" s="5" t="s">
        <v>71</v>
      </c>
      <c r="D118" s="6">
        <v>-0.002070957929395819</v>
      </c>
    </row>
    <row r="119" spans="1:4">
      <c r="A119" s="5" t="s">
        <v>25</v>
      </c>
      <c r="B119" s="5" t="s">
        <v>206</v>
      </c>
      <c r="C119" s="5" t="s">
        <v>67</v>
      </c>
      <c r="D119" s="6">
        <v>-0.02840250679596914</v>
      </c>
    </row>
    <row r="120" spans="1:4">
      <c r="A120" s="5" t="s">
        <v>25</v>
      </c>
      <c r="B120" s="5" t="s">
        <v>206</v>
      </c>
      <c r="C120" s="5" t="s">
        <v>73</v>
      </c>
      <c r="D120" s="6">
        <v>-0.007988431027513277</v>
      </c>
    </row>
    <row r="121" spans="1:4">
      <c r="A121" s="5" t="s">
        <v>25</v>
      </c>
      <c r="B121" s="5" t="s">
        <v>206</v>
      </c>
      <c r="C121" s="5" t="s">
        <v>69</v>
      </c>
      <c r="D121" s="6">
        <v>-0.007896411420698574</v>
      </c>
    </row>
    <row r="122" spans="1:4">
      <c r="A122" s="5" t="s">
        <v>26</v>
      </c>
      <c r="B122" s="5" t="s">
        <v>199</v>
      </c>
      <c r="C122" s="5" t="s">
        <v>129</v>
      </c>
      <c r="D122" s="6">
        <v>0.02462600419933117</v>
      </c>
    </row>
    <row r="123" spans="1:4">
      <c r="A123" s="5" t="s">
        <v>26</v>
      </c>
      <c r="B123" s="5" t="s">
        <v>199</v>
      </c>
      <c r="C123" s="5" t="s">
        <v>131</v>
      </c>
      <c r="D123" s="6">
        <v>0.01044003060915942</v>
      </c>
    </row>
    <row r="124" spans="1:4">
      <c r="A124" s="5" t="s">
        <v>26</v>
      </c>
      <c r="B124" s="5" t="s">
        <v>199</v>
      </c>
      <c r="C124" s="5" t="s">
        <v>133</v>
      </c>
      <c r="D124" s="6">
        <v>0.008112451742924742</v>
      </c>
    </row>
    <row r="125" spans="1:4">
      <c r="A125" s="5" t="s">
        <v>26</v>
      </c>
      <c r="B125" s="5" t="s">
        <v>200</v>
      </c>
      <c r="C125" s="5" t="s">
        <v>121</v>
      </c>
      <c r="D125" s="6">
        <v>-0.002944517501296187</v>
      </c>
    </row>
    <row r="126" spans="1:4">
      <c r="A126" s="5" t="s">
        <v>26</v>
      </c>
      <c r="B126" s="5" t="s">
        <v>200</v>
      </c>
      <c r="C126" s="5" t="s">
        <v>125</v>
      </c>
      <c r="D126" s="6">
        <v>3.749765492266494E-05</v>
      </c>
    </row>
    <row r="127" spans="1:4">
      <c r="A127" s="5" t="s">
        <v>26</v>
      </c>
      <c r="B127" s="5" t="s">
        <v>200</v>
      </c>
      <c r="C127" s="5" t="s">
        <v>123</v>
      </c>
      <c r="D127" s="6">
        <v>0.0004429574754302298</v>
      </c>
    </row>
    <row r="128" spans="1:4">
      <c r="A128" s="5" t="s">
        <v>26</v>
      </c>
      <c r="B128" s="5" t="s">
        <v>201</v>
      </c>
      <c r="C128" s="5" t="s">
        <v>117</v>
      </c>
      <c r="D128" s="6">
        <v>0.0413501871831721</v>
      </c>
    </row>
    <row r="129" spans="1:4">
      <c r="A129" s="5" t="s">
        <v>26</v>
      </c>
      <c r="B129" s="5" t="s">
        <v>201</v>
      </c>
      <c r="C129" s="5" t="s">
        <v>129</v>
      </c>
      <c r="D129" s="6">
        <v>0.0351925816651878</v>
      </c>
    </row>
    <row r="130" spans="1:4">
      <c r="A130" s="5" t="s">
        <v>26</v>
      </c>
      <c r="B130" s="5" t="s">
        <v>201</v>
      </c>
      <c r="C130" s="5" t="s">
        <v>131</v>
      </c>
      <c r="D130" s="6">
        <v>0.004169738510063825</v>
      </c>
    </row>
    <row r="131" spans="1:4">
      <c r="A131" s="5" t="s">
        <v>26</v>
      </c>
      <c r="B131" s="5" t="s">
        <v>202</v>
      </c>
      <c r="C131" s="5" t="s">
        <v>121</v>
      </c>
      <c r="D131" s="6">
        <v>-0.0003868974598771721</v>
      </c>
    </row>
    <row r="132" spans="1:4">
      <c r="A132" s="5" t="s">
        <v>26</v>
      </c>
      <c r="B132" s="5" t="s">
        <v>202</v>
      </c>
      <c r="C132" s="5" t="s">
        <v>119</v>
      </c>
      <c r="D132" s="6">
        <v>-0.0003446791657529374</v>
      </c>
    </row>
    <row r="133" spans="1:4">
      <c r="A133" s="5" t="s">
        <v>26</v>
      </c>
      <c r="B133" s="5" t="s">
        <v>202</v>
      </c>
      <c r="C133" s="5" t="s">
        <v>125</v>
      </c>
      <c r="D133" s="6">
        <v>-0.0002644800580887439</v>
      </c>
    </row>
    <row r="134" spans="1:4">
      <c r="A134" s="5" t="s">
        <v>26</v>
      </c>
      <c r="B134" s="5" t="s">
        <v>203</v>
      </c>
      <c r="C134" s="5" t="s">
        <v>129</v>
      </c>
      <c r="D134" s="6">
        <v>0.04147516317929144</v>
      </c>
    </row>
    <row r="135" spans="1:4">
      <c r="A135" s="5" t="s">
        <v>26</v>
      </c>
      <c r="B135" s="5" t="s">
        <v>203</v>
      </c>
      <c r="C135" s="5" t="s">
        <v>117</v>
      </c>
      <c r="D135" s="6">
        <v>0.0329451392043851</v>
      </c>
    </row>
    <row r="136" spans="1:4">
      <c r="A136" s="5" t="s">
        <v>26</v>
      </c>
      <c r="B136" s="5" t="s">
        <v>203</v>
      </c>
      <c r="C136" s="5" t="s">
        <v>127</v>
      </c>
      <c r="D136" s="6">
        <v>0.00458140516319135</v>
      </c>
    </row>
    <row r="137" spans="1:4">
      <c r="A137" s="5" t="s">
        <v>26</v>
      </c>
      <c r="B137" s="5" t="s">
        <v>204</v>
      </c>
      <c r="C137" s="5" t="s">
        <v>133</v>
      </c>
      <c r="D137" s="6">
        <v>-0.02661023162900813</v>
      </c>
    </row>
    <row r="138" spans="1:4">
      <c r="A138" s="5" t="s">
        <v>26</v>
      </c>
      <c r="B138" s="5" t="s">
        <v>204</v>
      </c>
      <c r="C138" s="5" t="s">
        <v>119</v>
      </c>
      <c r="D138" s="6">
        <v>-0.005696507828428956</v>
      </c>
    </row>
    <row r="139" spans="1:4">
      <c r="A139" s="5" t="s">
        <v>26</v>
      </c>
      <c r="B139" s="5" t="s">
        <v>204</v>
      </c>
      <c r="C139" s="5" t="s">
        <v>123</v>
      </c>
      <c r="D139" s="6">
        <v>-0.002764890251413528</v>
      </c>
    </row>
    <row r="140" spans="1:4">
      <c r="A140" s="5" t="s">
        <v>26</v>
      </c>
      <c r="B140" s="5" t="s">
        <v>205</v>
      </c>
      <c r="C140" s="5" t="s">
        <v>117</v>
      </c>
      <c r="D140" s="6">
        <v>0.05652349998340938</v>
      </c>
    </row>
    <row r="141" spans="1:4">
      <c r="A141" s="5" t="s">
        <v>26</v>
      </c>
      <c r="B141" s="5" t="s">
        <v>205</v>
      </c>
      <c r="C141" s="5" t="s">
        <v>125</v>
      </c>
      <c r="D141" s="6">
        <v>0.001130275457594164</v>
      </c>
    </row>
    <row r="142" spans="1:4">
      <c r="A142" s="5" t="s">
        <v>26</v>
      </c>
      <c r="B142" s="5" t="s">
        <v>205</v>
      </c>
      <c r="C142" s="5" t="s">
        <v>121</v>
      </c>
      <c r="D142" s="6">
        <v>-0.001907490884525959</v>
      </c>
    </row>
    <row r="143" spans="1:4">
      <c r="A143" s="5" t="s">
        <v>26</v>
      </c>
      <c r="B143" s="5" t="s">
        <v>206</v>
      </c>
      <c r="C143" s="5" t="s">
        <v>133</v>
      </c>
      <c r="D143" s="6">
        <v>-0.03174127539434597</v>
      </c>
    </row>
    <row r="144" spans="1:4">
      <c r="A144" s="5" t="s">
        <v>26</v>
      </c>
      <c r="B144" s="5" t="s">
        <v>206</v>
      </c>
      <c r="C144" s="5" t="s">
        <v>119</v>
      </c>
      <c r="D144" s="6">
        <v>-0.01561422125067153</v>
      </c>
    </row>
    <row r="145" spans="1:4">
      <c r="A145" s="5" t="s">
        <v>26</v>
      </c>
      <c r="B145" s="5" t="s">
        <v>206</v>
      </c>
      <c r="C145" s="5" t="s">
        <v>131</v>
      </c>
      <c r="D145" s="6">
        <v>-0.01466103989895066</v>
      </c>
    </row>
    <row r="146" spans="1:4">
      <c r="A146" s="5" t="s">
        <v>27</v>
      </c>
      <c r="B146" s="5" t="s">
        <v>199</v>
      </c>
      <c r="C146" s="5" t="s">
        <v>137</v>
      </c>
      <c r="D146" s="6">
        <v>0.0004095665362829917</v>
      </c>
    </row>
    <row r="147" spans="1:4">
      <c r="A147" s="5" t="s">
        <v>27</v>
      </c>
      <c r="B147" s="5" t="s">
        <v>199</v>
      </c>
      <c r="C147" s="5" t="s">
        <v>141</v>
      </c>
      <c r="D147" s="6">
        <v>0.0001055839897211076</v>
      </c>
    </row>
    <row r="148" spans="1:4">
      <c r="A148" s="5" t="s">
        <v>27</v>
      </c>
      <c r="B148" s="5" t="s">
        <v>199</v>
      </c>
      <c r="C148" s="5" t="s">
        <v>147</v>
      </c>
      <c r="D148" s="6">
        <v>9.026984113438709E-05</v>
      </c>
    </row>
    <row r="149" spans="1:4">
      <c r="A149" s="5" t="s">
        <v>27</v>
      </c>
      <c r="B149" s="5" t="s">
        <v>200</v>
      </c>
      <c r="C149" s="5" t="s">
        <v>135</v>
      </c>
      <c r="D149" s="6">
        <v>-0.01767710216697974</v>
      </c>
    </row>
    <row r="150" spans="1:4">
      <c r="A150" s="5" t="s">
        <v>27</v>
      </c>
      <c r="B150" s="5" t="s">
        <v>200</v>
      </c>
      <c r="C150" s="5" t="s">
        <v>149</v>
      </c>
      <c r="D150" s="6">
        <v>-0.01293791012643795</v>
      </c>
    </row>
    <row r="151" spans="1:4">
      <c r="A151" s="5" t="s">
        <v>27</v>
      </c>
      <c r="B151" s="5" t="s">
        <v>200</v>
      </c>
      <c r="C151" s="5" t="s">
        <v>139</v>
      </c>
      <c r="D151" s="6">
        <v>-0.0002684457695916688</v>
      </c>
    </row>
    <row r="152" spans="1:4">
      <c r="A152" s="5" t="s">
        <v>27</v>
      </c>
      <c r="B152" s="5" t="s">
        <v>201</v>
      </c>
      <c r="C152" s="5" t="s">
        <v>149</v>
      </c>
      <c r="D152" s="6">
        <v>0.003203034191446542</v>
      </c>
    </row>
    <row r="153" spans="1:4">
      <c r="A153" s="5" t="s">
        <v>27</v>
      </c>
      <c r="B153" s="5" t="s">
        <v>201</v>
      </c>
      <c r="C153" s="5" t="s">
        <v>145</v>
      </c>
      <c r="D153" s="6">
        <v>0.0007269218642343299</v>
      </c>
    </row>
    <row r="154" spans="1:4">
      <c r="A154" s="5" t="s">
        <v>27</v>
      </c>
      <c r="B154" s="5" t="s">
        <v>201</v>
      </c>
      <c r="C154" s="5" t="s">
        <v>135</v>
      </c>
      <c r="D154" s="6">
        <v>0.0005995570285284507</v>
      </c>
    </row>
    <row r="155" spans="1:4">
      <c r="A155" s="5" t="s">
        <v>27</v>
      </c>
      <c r="B155" s="5" t="s">
        <v>202</v>
      </c>
      <c r="C155" s="5" t="s">
        <v>139</v>
      </c>
      <c r="D155" s="6">
        <v>-0.001051401300589546</v>
      </c>
    </row>
    <row r="156" spans="1:4">
      <c r="A156" s="5" t="s">
        <v>27</v>
      </c>
      <c r="B156" s="5" t="s">
        <v>202</v>
      </c>
      <c r="C156" s="5" t="s">
        <v>137</v>
      </c>
      <c r="D156" s="6">
        <v>3.465272185156576E-05</v>
      </c>
    </row>
    <row r="157" spans="1:4">
      <c r="A157" s="5" t="s">
        <v>27</v>
      </c>
      <c r="B157" s="5" t="s">
        <v>202</v>
      </c>
      <c r="C157" s="5" t="s">
        <v>147</v>
      </c>
      <c r="D157" s="6">
        <v>4.984509601404229E-05</v>
      </c>
    </row>
    <row r="158" spans="1:4">
      <c r="A158" s="5" t="s">
        <v>27</v>
      </c>
      <c r="B158" s="5" t="s">
        <v>203</v>
      </c>
      <c r="C158" s="5" t="s">
        <v>135</v>
      </c>
      <c r="D158" s="6">
        <v>0.02432405791091207</v>
      </c>
    </row>
    <row r="159" spans="1:4">
      <c r="A159" s="5" t="s">
        <v>27</v>
      </c>
      <c r="B159" s="5" t="s">
        <v>203</v>
      </c>
      <c r="C159" s="5" t="s">
        <v>149</v>
      </c>
      <c r="D159" s="6">
        <v>0.01661524152149618</v>
      </c>
    </row>
    <row r="160" spans="1:4">
      <c r="A160" s="5" t="s">
        <v>27</v>
      </c>
      <c r="B160" s="5" t="s">
        <v>203</v>
      </c>
      <c r="C160" s="5" t="s">
        <v>145</v>
      </c>
      <c r="D160" s="6">
        <v>0.0010030864418768</v>
      </c>
    </row>
    <row r="161" spans="1:4">
      <c r="A161" s="5" t="s">
        <v>27</v>
      </c>
      <c r="B161" s="5" t="s">
        <v>204</v>
      </c>
      <c r="C161" s="5" t="s">
        <v>137</v>
      </c>
      <c r="D161" s="6">
        <v>-0.001382940444232484</v>
      </c>
    </row>
    <row r="162" spans="1:4">
      <c r="A162" s="5" t="s">
        <v>27</v>
      </c>
      <c r="B162" s="5" t="s">
        <v>204</v>
      </c>
      <c r="C162" s="5" t="s">
        <v>139</v>
      </c>
      <c r="D162" s="6">
        <v>-0.001161101177968205</v>
      </c>
    </row>
    <row r="163" spans="1:4">
      <c r="A163" s="5" t="s">
        <v>27</v>
      </c>
      <c r="B163" s="5" t="s">
        <v>204</v>
      </c>
      <c r="C163" s="5" t="s">
        <v>143</v>
      </c>
      <c r="D163" s="6">
        <v>-0.0003921370012697046</v>
      </c>
    </row>
    <row r="164" spans="1:4">
      <c r="A164" s="5" t="s">
        <v>27</v>
      </c>
      <c r="B164" s="5" t="s">
        <v>205</v>
      </c>
      <c r="C164" s="5" t="s">
        <v>135</v>
      </c>
      <c r="D164" s="6">
        <v>0.01878625766309613</v>
      </c>
    </row>
    <row r="165" spans="1:4">
      <c r="A165" s="5" t="s">
        <v>27</v>
      </c>
      <c r="B165" s="5" t="s">
        <v>205</v>
      </c>
      <c r="C165" s="5" t="s">
        <v>139</v>
      </c>
      <c r="D165" s="6">
        <v>2.913589790686003E-05</v>
      </c>
    </row>
    <row r="166" spans="1:4">
      <c r="A166" s="5" t="s">
        <v>27</v>
      </c>
      <c r="B166" s="5" t="s">
        <v>205</v>
      </c>
      <c r="C166" s="5" t="s">
        <v>147</v>
      </c>
      <c r="D166" s="6">
        <v>-0.0004629729278944775</v>
      </c>
    </row>
    <row r="167" spans="1:4">
      <c r="A167" s="5" t="s">
        <v>27</v>
      </c>
      <c r="B167" s="5" t="s">
        <v>206</v>
      </c>
      <c r="C167" s="5" t="s">
        <v>149</v>
      </c>
      <c r="D167" s="6">
        <v>-0.03538037110668373</v>
      </c>
    </row>
    <row r="168" spans="1:4">
      <c r="A168" s="5" t="s">
        <v>27</v>
      </c>
      <c r="B168" s="5" t="s">
        <v>206</v>
      </c>
      <c r="C168" s="5" t="s">
        <v>145</v>
      </c>
      <c r="D168" s="6">
        <v>-0.01138829476718463</v>
      </c>
    </row>
    <row r="169" spans="1:4">
      <c r="A169" s="5" t="s">
        <v>27</v>
      </c>
      <c r="B169" s="5" t="s">
        <v>206</v>
      </c>
      <c r="C169" s="5" t="s">
        <v>137</v>
      </c>
      <c r="D169" s="6">
        <v>-0.004741095927111715</v>
      </c>
    </row>
    <row r="170" spans="1:4">
      <c r="A170" s="5" t="s">
        <v>28</v>
      </c>
      <c r="B170" s="5" t="s">
        <v>199</v>
      </c>
      <c r="C170" s="5" t="s">
        <v>161</v>
      </c>
      <c r="D170" s="6">
        <v>0.006964513386875494</v>
      </c>
    </row>
    <row r="171" spans="1:4">
      <c r="A171" s="5" t="s">
        <v>28</v>
      </c>
      <c r="B171" s="5" t="s">
        <v>199</v>
      </c>
      <c r="C171" s="5" t="s">
        <v>171</v>
      </c>
      <c r="D171" s="6">
        <v>0.005882667051404913</v>
      </c>
    </row>
    <row r="172" spans="1:4">
      <c r="A172" s="5" t="s">
        <v>28</v>
      </c>
      <c r="B172" s="5" t="s">
        <v>199</v>
      </c>
      <c r="C172" s="5" t="s">
        <v>167</v>
      </c>
      <c r="D172" s="6">
        <v>0.002143876623082633</v>
      </c>
    </row>
    <row r="173" spans="1:4">
      <c r="A173" s="5" t="s">
        <v>28</v>
      </c>
      <c r="B173" s="5" t="s">
        <v>200</v>
      </c>
      <c r="C173" s="5" t="s">
        <v>163</v>
      </c>
      <c r="D173" s="6">
        <v>3.826129213457826E-05</v>
      </c>
    </row>
    <row r="174" spans="1:4">
      <c r="A174" s="5" t="s">
        <v>28</v>
      </c>
      <c r="B174" s="5" t="s">
        <v>200</v>
      </c>
      <c r="C174" s="5" t="s">
        <v>165</v>
      </c>
      <c r="D174" s="6">
        <v>3.932942708461098E-05</v>
      </c>
    </row>
    <row r="175" spans="1:4">
      <c r="A175" s="5" t="s">
        <v>28</v>
      </c>
      <c r="B175" s="5" t="s">
        <v>200</v>
      </c>
      <c r="C175" s="5" t="s">
        <v>159</v>
      </c>
      <c r="D175" s="6">
        <v>0.0006782348003999554</v>
      </c>
    </row>
    <row r="176" spans="1:4">
      <c r="A176" s="5" t="s">
        <v>28</v>
      </c>
      <c r="B176" s="5" t="s">
        <v>201</v>
      </c>
      <c r="C176" s="5" t="s">
        <v>171</v>
      </c>
      <c r="D176" s="6">
        <v>0.01196749186984037</v>
      </c>
    </row>
    <row r="177" spans="1:4">
      <c r="A177" s="5" t="s">
        <v>28</v>
      </c>
      <c r="B177" s="5" t="s">
        <v>201</v>
      </c>
      <c r="C177" s="5" t="s">
        <v>163</v>
      </c>
      <c r="D177" s="6">
        <v>0.01059862490668872</v>
      </c>
    </row>
    <row r="178" spans="1:4">
      <c r="A178" s="5" t="s">
        <v>28</v>
      </c>
      <c r="B178" s="5" t="s">
        <v>201</v>
      </c>
      <c r="C178" s="5" t="s">
        <v>167</v>
      </c>
      <c r="D178" s="6">
        <v>0.004295919819155867</v>
      </c>
    </row>
    <row r="179" spans="1:4">
      <c r="A179" s="5" t="s">
        <v>28</v>
      </c>
      <c r="B179" s="5" t="s">
        <v>202</v>
      </c>
      <c r="C179" s="5" t="s">
        <v>169</v>
      </c>
      <c r="D179" s="6">
        <v>-0.0003091627791674388</v>
      </c>
    </row>
    <row r="180" spans="1:4">
      <c r="A180" s="5" t="s">
        <v>28</v>
      </c>
      <c r="B180" s="5" t="s">
        <v>202</v>
      </c>
      <c r="C180" s="5" t="s">
        <v>165</v>
      </c>
      <c r="D180" s="6">
        <v>7.423701767982847E-05</v>
      </c>
    </row>
    <row r="181" spans="1:4">
      <c r="A181" s="5" t="s">
        <v>28</v>
      </c>
      <c r="B181" s="5" t="s">
        <v>202</v>
      </c>
      <c r="C181" s="5" t="s">
        <v>159</v>
      </c>
      <c r="D181" s="6">
        <v>0.001005308222488534</v>
      </c>
    </row>
    <row r="182" spans="1:4">
      <c r="A182" s="5" t="s">
        <v>28</v>
      </c>
      <c r="B182" s="5" t="s">
        <v>203</v>
      </c>
      <c r="C182" s="5" t="s">
        <v>171</v>
      </c>
      <c r="D182" s="6">
        <v>0.004943042229606768</v>
      </c>
    </row>
    <row r="183" spans="1:4">
      <c r="A183" s="5" t="s">
        <v>28</v>
      </c>
      <c r="B183" s="5" t="s">
        <v>203</v>
      </c>
      <c r="C183" s="5" t="s">
        <v>165</v>
      </c>
      <c r="D183" s="6">
        <v>-0.002657052635035183</v>
      </c>
    </row>
    <row r="184" spans="1:4">
      <c r="A184" s="5" t="s">
        <v>28</v>
      </c>
      <c r="B184" s="5" t="s">
        <v>203</v>
      </c>
      <c r="C184" s="5" t="s">
        <v>159</v>
      </c>
      <c r="D184" s="6">
        <v>-0.005970913130453399</v>
      </c>
    </row>
    <row r="185" spans="1:4">
      <c r="A185" s="5" t="s">
        <v>28</v>
      </c>
      <c r="B185" s="5" t="s">
        <v>204</v>
      </c>
      <c r="C185" s="5" t="s">
        <v>163</v>
      </c>
      <c r="D185" s="6">
        <v>-0.02470485777154054</v>
      </c>
    </row>
    <row r="186" spans="1:4">
      <c r="A186" s="5" t="s">
        <v>28</v>
      </c>
      <c r="B186" s="5" t="s">
        <v>204</v>
      </c>
      <c r="C186" s="5" t="s">
        <v>161</v>
      </c>
      <c r="D186" s="6">
        <v>-0.01595791444308517</v>
      </c>
    </row>
    <row r="187" spans="1:4">
      <c r="A187" s="5" t="s">
        <v>28</v>
      </c>
      <c r="B187" s="5" t="s">
        <v>204</v>
      </c>
      <c r="C187" s="5" t="s">
        <v>169</v>
      </c>
      <c r="D187" s="6">
        <v>-0.006486793497957883</v>
      </c>
    </row>
    <row r="188" spans="1:4">
      <c r="A188" s="5" t="s">
        <v>28</v>
      </c>
      <c r="B188" s="5" t="s">
        <v>205</v>
      </c>
      <c r="C188" s="5" t="s">
        <v>165</v>
      </c>
      <c r="D188" s="6">
        <v>-0.001580390992152038</v>
      </c>
    </row>
    <row r="189" spans="1:4">
      <c r="A189" s="5" t="s">
        <v>28</v>
      </c>
      <c r="B189" s="5" t="s">
        <v>205</v>
      </c>
      <c r="C189" s="5" t="s">
        <v>167</v>
      </c>
      <c r="D189" s="6">
        <v>-0.001828449095855348</v>
      </c>
    </row>
    <row r="190" spans="1:4">
      <c r="A190" s="5" t="s">
        <v>28</v>
      </c>
      <c r="B190" s="5" t="s">
        <v>205</v>
      </c>
      <c r="C190" s="5" t="s">
        <v>161</v>
      </c>
      <c r="D190" s="6">
        <v>-0.003670834012421834</v>
      </c>
    </row>
    <row r="191" spans="1:4">
      <c r="A191" s="5" t="s">
        <v>28</v>
      </c>
      <c r="B191" s="5" t="s">
        <v>206</v>
      </c>
      <c r="C191" s="5" t="s">
        <v>171</v>
      </c>
      <c r="D191" s="6">
        <v>-0.02030390442807867</v>
      </c>
    </row>
    <row r="192" spans="1:4">
      <c r="A192" s="5" t="s">
        <v>28</v>
      </c>
      <c r="B192" s="5" t="s">
        <v>206</v>
      </c>
      <c r="C192" s="5" t="s">
        <v>159</v>
      </c>
      <c r="D192" s="6">
        <v>-0.00893465997496524</v>
      </c>
    </row>
    <row r="193" spans="1:4">
      <c r="A193" s="5" t="s">
        <v>28</v>
      </c>
      <c r="B193" s="5" t="s">
        <v>206</v>
      </c>
      <c r="C193" s="5" t="s">
        <v>163</v>
      </c>
      <c r="D193" s="6">
        <v>-0.006999118054836108</v>
      </c>
    </row>
    <row r="194" spans="1:4">
      <c r="A194" s="5" t="s">
        <v>29</v>
      </c>
      <c r="B194" s="5" t="s">
        <v>199</v>
      </c>
      <c r="C194" s="5" t="s">
        <v>105</v>
      </c>
      <c r="D194" s="6">
        <v>0.00269494592522448</v>
      </c>
    </row>
    <row r="195" spans="1:4">
      <c r="A195" s="5" t="s">
        <v>29</v>
      </c>
      <c r="B195" s="5" t="s">
        <v>199</v>
      </c>
      <c r="C195" s="5" t="s">
        <v>100</v>
      </c>
      <c r="D195" s="6">
        <v>0.001088424816504424</v>
      </c>
    </row>
    <row r="196" spans="1:4">
      <c r="A196" s="5" t="s">
        <v>29</v>
      </c>
      <c r="B196" s="5" t="s">
        <v>199</v>
      </c>
      <c r="C196" s="5" t="s">
        <v>103</v>
      </c>
      <c r="D196" s="6">
        <v>-0.00230433329189727</v>
      </c>
    </row>
    <row r="197" spans="1:4">
      <c r="A197" s="5" t="s">
        <v>29</v>
      </c>
      <c r="B197" s="5" t="s">
        <v>200</v>
      </c>
      <c r="C197" s="5" t="s">
        <v>103</v>
      </c>
      <c r="D197" s="6">
        <v>-0.00230433329189727</v>
      </c>
    </row>
    <row r="198" spans="1:4">
      <c r="A198" s="5" t="s">
        <v>29</v>
      </c>
      <c r="B198" s="5" t="s">
        <v>200</v>
      </c>
      <c r="C198" s="5" t="s">
        <v>100</v>
      </c>
      <c r="D198" s="6">
        <v>0.001088424816504424</v>
      </c>
    </row>
    <row r="199" spans="1:4">
      <c r="A199" s="5" t="s">
        <v>29</v>
      </c>
      <c r="B199" s="5" t="s">
        <v>200</v>
      </c>
      <c r="C199" s="5" t="s">
        <v>105</v>
      </c>
      <c r="D199" s="6">
        <v>0.00269494592522448</v>
      </c>
    </row>
    <row r="200" spans="1:4">
      <c r="A200" s="5" t="s">
        <v>29</v>
      </c>
      <c r="B200" s="5" t="s">
        <v>201</v>
      </c>
      <c r="C200" s="5" t="s">
        <v>100</v>
      </c>
      <c r="D200" s="6">
        <v>0.005291913230228055</v>
      </c>
    </row>
    <row r="201" spans="1:4">
      <c r="A201" s="5" t="s">
        <v>29</v>
      </c>
      <c r="B201" s="5" t="s">
        <v>201</v>
      </c>
      <c r="C201" s="5" t="s">
        <v>105</v>
      </c>
      <c r="D201" s="6">
        <v>-0.000773336741520108</v>
      </c>
    </row>
    <row r="202" spans="1:4">
      <c r="A202" s="5" t="s">
        <v>29</v>
      </c>
      <c r="B202" s="5" t="s">
        <v>201</v>
      </c>
      <c r="C202" s="5" t="s">
        <v>103</v>
      </c>
      <c r="D202" s="6">
        <v>-0.004001416960328678</v>
      </c>
    </row>
    <row r="203" spans="1:4">
      <c r="A203" s="5" t="s">
        <v>29</v>
      </c>
      <c r="B203" s="5" t="s">
        <v>202</v>
      </c>
      <c r="C203" s="5" t="s">
        <v>103</v>
      </c>
      <c r="D203" s="6">
        <v>-0.004001416960328678</v>
      </c>
    </row>
    <row r="204" spans="1:4">
      <c r="A204" s="5" t="s">
        <v>29</v>
      </c>
      <c r="B204" s="5" t="s">
        <v>202</v>
      </c>
      <c r="C204" s="5" t="s">
        <v>105</v>
      </c>
      <c r="D204" s="6">
        <v>-0.000773336741520108</v>
      </c>
    </row>
    <row r="205" spans="1:4">
      <c r="A205" s="5" t="s">
        <v>29</v>
      </c>
      <c r="B205" s="5" t="s">
        <v>202</v>
      </c>
      <c r="C205" s="5" t="s">
        <v>100</v>
      </c>
      <c r="D205" s="6">
        <v>0.005291913230228055</v>
      </c>
    </row>
    <row r="206" spans="1:4">
      <c r="A206" s="5" t="s">
        <v>29</v>
      </c>
      <c r="B206" s="5" t="s">
        <v>203</v>
      </c>
      <c r="C206" s="5" t="s">
        <v>103</v>
      </c>
      <c r="D206" s="6">
        <v>-0.007165022344027373</v>
      </c>
    </row>
    <row r="207" spans="1:4">
      <c r="A207" s="5" t="s">
        <v>29</v>
      </c>
      <c r="B207" s="5" t="s">
        <v>203</v>
      </c>
      <c r="C207" s="5" t="s">
        <v>100</v>
      </c>
      <c r="D207" s="6">
        <v>-0.009675946855788172</v>
      </c>
    </row>
    <row r="208" spans="1:4">
      <c r="A208" s="5" t="s">
        <v>29</v>
      </c>
      <c r="B208" s="5" t="s">
        <v>203</v>
      </c>
      <c r="C208" s="5" t="s">
        <v>105</v>
      </c>
      <c r="D208" s="6">
        <v>-0.01201804185977693</v>
      </c>
    </row>
    <row r="209" spans="1:4">
      <c r="A209" s="5" t="s">
        <v>29</v>
      </c>
      <c r="B209" s="5" t="s">
        <v>204</v>
      </c>
      <c r="C209" s="5" t="s">
        <v>105</v>
      </c>
      <c r="D209" s="6">
        <v>-0.01201804185977693</v>
      </c>
    </row>
    <row r="210" spans="1:4">
      <c r="A210" s="5" t="s">
        <v>29</v>
      </c>
      <c r="B210" s="5" t="s">
        <v>204</v>
      </c>
      <c r="C210" s="5" t="s">
        <v>100</v>
      </c>
      <c r="D210" s="6">
        <v>-0.009675946855788172</v>
      </c>
    </row>
    <row r="211" spans="1:4">
      <c r="A211" s="5" t="s">
        <v>29</v>
      </c>
      <c r="B211" s="5" t="s">
        <v>204</v>
      </c>
      <c r="C211" s="5" t="s">
        <v>103</v>
      </c>
      <c r="D211" s="6">
        <v>-0.007165022344027373</v>
      </c>
    </row>
    <row r="212" spans="1:4">
      <c r="A212" s="5" t="s">
        <v>29</v>
      </c>
      <c r="B212" s="5" t="s">
        <v>205</v>
      </c>
      <c r="C212" s="5" t="s">
        <v>100</v>
      </c>
      <c r="D212" s="6">
        <v>-0.0005188804158475393</v>
      </c>
    </row>
    <row r="213" spans="1:4">
      <c r="A213" s="5" t="s">
        <v>29</v>
      </c>
      <c r="B213" s="5" t="s">
        <v>205</v>
      </c>
      <c r="C213" s="5" t="s">
        <v>105</v>
      </c>
      <c r="D213" s="6">
        <v>-0.01864664211809572</v>
      </c>
    </row>
    <row r="214" spans="1:4">
      <c r="A214" s="5" t="s">
        <v>29</v>
      </c>
      <c r="B214" s="5" t="s">
        <v>205</v>
      </c>
      <c r="C214" s="5" t="s">
        <v>103</v>
      </c>
      <c r="D214" s="6">
        <v>-0.02454411772869229</v>
      </c>
    </row>
    <row r="215" spans="1:4">
      <c r="A215" s="5" t="s">
        <v>29</v>
      </c>
      <c r="B215" s="5" t="s">
        <v>206</v>
      </c>
      <c r="C215" s="5" t="s">
        <v>103</v>
      </c>
      <c r="D215" s="6">
        <v>-0.02454411772869229</v>
      </c>
    </row>
    <row r="216" spans="1:4">
      <c r="A216" s="5" t="s">
        <v>29</v>
      </c>
      <c r="B216" s="5" t="s">
        <v>206</v>
      </c>
      <c r="C216" s="5" t="s">
        <v>105</v>
      </c>
      <c r="D216" s="6">
        <v>-0.01864664211809572</v>
      </c>
    </row>
    <row r="217" spans="1:4">
      <c r="A217" s="5" t="s">
        <v>29</v>
      </c>
      <c r="B217" s="5" t="s">
        <v>206</v>
      </c>
      <c r="C217" s="5" t="s">
        <v>100</v>
      </c>
      <c r="D217" s="6">
        <v>-0.0005188804158475393</v>
      </c>
    </row>
    <row r="218" spans="1:4">
      <c r="A218" s="5" t="s">
        <v>30</v>
      </c>
      <c r="B218" s="5" t="s">
        <v>199</v>
      </c>
      <c r="C218" s="5" t="s">
        <v>96</v>
      </c>
      <c r="D218" s="6">
        <v>0.006107547321785702</v>
      </c>
    </row>
    <row r="219" spans="1:4">
      <c r="A219" s="5" t="s">
        <v>30</v>
      </c>
      <c r="B219" s="5" t="s">
        <v>199</v>
      </c>
      <c r="C219" s="5" t="s">
        <v>92</v>
      </c>
      <c r="D219" s="6">
        <v>0.002919237304657612</v>
      </c>
    </row>
    <row r="220" spans="1:4">
      <c r="A220" s="5" t="s">
        <v>30</v>
      </c>
      <c r="B220" s="5" t="s">
        <v>199</v>
      </c>
      <c r="C220" s="5" t="s">
        <v>98</v>
      </c>
      <c r="D220" s="6">
        <v>0.002596508191542074</v>
      </c>
    </row>
    <row r="221" spans="1:4">
      <c r="A221" s="5" t="s">
        <v>30</v>
      </c>
      <c r="B221" s="5" t="s">
        <v>200</v>
      </c>
      <c r="C221" s="5" t="s">
        <v>90</v>
      </c>
      <c r="D221" s="6">
        <v>0.0004288400775352612</v>
      </c>
    </row>
    <row r="222" spans="1:4">
      <c r="A222" s="5" t="s">
        <v>30</v>
      </c>
      <c r="B222" s="5" t="s">
        <v>200</v>
      </c>
      <c r="C222" s="5" t="s">
        <v>88</v>
      </c>
      <c r="D222" s="6">
        <v>0.001495662554957711</v>
      </c>
    </row>
    <row r="223" spans="1:4">
      <c r="A223" s="5" t="s">
        <v>30</v>
      </c>
      <c r="B223" s="5" t="s">
        <v>200</v>
      </c>
      <c r="C223" s="5" t="s">
        <v>94</v>
      </c>
      <c r="D223" s="6">
        <v>0.001987115208467219</v>
      </c>
    </row>
    <row r="224" spans="1:4">
      <c r="A224" s="5" t="s">
        <v>30</v>
      </c>
      <c r="B224" s="5" t="s">
        <v>201</v>
      </c>
      <c r="C224" s="5" t="s">
        <v>88</v>
      </c>
      <c r="D224" s="6">
        <v>0.008095309146543201</v>
      </c>
    </row>
    <row r="225" spans="1:4">
      <c r="A225" s="5" t="s">
        <v>30</v>
      </c>
      <c r="B225" s="5" t="s">
        <v>201</v>
      </c>
      <c r="C225" s="5" t="s">
        <v>96</v>
      </c>
      <c r="D225" s="6">
        <v>0.003847528002640029</v>
      </c>
    </row>
    <row r="226" spans="1:4">
      <c r="A226" s="5" t="s">
        <v>30</v>
      </c>
      <c r="B226" s="5" t="s">
        <v>201</v>
      </c>
      <c r="C226" s="5" t="s">
        <v>92</v>
      </c>
      <c r="D226" s="6">
        <v>0.0004373579390320849</v>
      </c>
    </row>
    <row r="227" spans="1:4">
      <c r="A227" s="5" t="s">
        <v>30</v>
      </c>
      <c r="B227" s="5" t="s">
        <v>202</v>
      </c>
      <c r="C227" s="5" t="s">
        <v>90</v>
      </c>
      <c r="D227" s="6">
        <v>-0.006826599785989229</v>
      </c>
    </row>
    <row r="228" spans="1:4">
      <c r="A228" s="5" t="s">
        <v>30</v>
      </c>
      <c r="B228" s="5" t="s">
        <v>202</v>
      </c>
      <c r="C228" s="5" t="s">
        <v>94</v>
      </c>
      <c r="D228" s="6">
        <v>-0.002415729845391963</v>
      </c>
    </row>
    <row r="229" spans="1:4">
      <c r="A229" s="5" t="s">
        <v>30</v>
      </c>
      <c r="B229" s="5" t="s">
        <v>202</v>
      </c>
      <c r="C229" s="5" t="s">
        <v>86</v>
      </c>
      <c r="D229" s="6">
        <v>-0.001694273839108053</v>
      </c>
    </row>
    <row r="230" spans="1:4">
      <c r="A230" s="5" t="s">
        <v>30</v>
      </c>
      <c r="B230" s="5" t="s">
        <v>203</v>
      </c>
      <c r="C230" s="5" t="s">
        <v>86</v>
      </c>
      <c r="D230" s="6">
        <v>0.003277515674535012</v>
      </c>
    </row>
    <row r="231" spans="1:4">
      <c r="A231" s="5" t="s">
        <v>30</v>
      </c>
      <c r="B231" s="5" t="s">
        <v>203</v>
      </c>
      <c r="C231" s="5" t="s">
        <v>98</v>
      </c>
      <c r="D231" s="6">
        <v>0.001968354095203278</v>
      </c>
    </row>
    <row r="232" spans="1:4">
      <c r="A232" s="5" t="s">
        <v>30</v>
      </c>
      <c r="B232" s="5" t="s">
        <v>203</v>
      </c>
      <c r="C232" s="5" t="s">
        <v>96</v>
      </c>
      <c r="D232" s="6">
        <v>-0.003832765136447548</v>
      </c>
    </row>
    <row r="233" spans="1:4">
      <c r="A233" s="5" t="s">
        <v>30</v>
      </c>
      <c r="B233" s="5" t="s">
        <v>204</v>
      </c>
      <c r="C233" s="5" t="s">
        <v>94</v>
      </c>
      <c r="D233" s="6">
        <v>-0.0393417146211773</v>
      </c>
    </row>
    <row r="234" spans="1:4">
      <c r="A234" s="5" t="s">
        <v>30</v>
      </c>
      <c r="B234" s="5" t="s">
        <v>204</v>
      </c>
      <c r="C234" s="5" t="s">
        <v>90</v>
      </c>
      <c r="D234" s="6">
        <v>-0.0101552267541374</v>
      </c>
    </row>
    <row r="235" spans="1:4">
      <c r="A235" s="5" t="s">
        <v>30</v>
      </c>
      <c r="B235" s="5" t="s">
        <v>204</v>
      </c>
      <c r="C235" s="5" t="s">
        <v>92</v>
      </c>
      <c r="D235" s="6">
        <v>-0.006520194079778594</v>
      </c>
    </row>
    <row r="236" spans="1:4">
      <c r="A236" s="5" t="s">
        <v>30</v>
      </c>
      <c r="B236" s="5" t="s">
        <v>205</v>
      </c>
      <c r="C236" s="5" t="s">
        <v>86</v>
      </c>
      <c r="D236" s="6">
        <v>0.02682210460404908</v>
      </c>
    </row>
    <row r="237" spans="1:4">
      <c r="A237" s="5" t="s">
        <v>30</v>
      </c>
      <c r="B237" s="5" t="s">
        <v>205</v>
      </c>
      <c r="C237" s="5" t="s">
        <v>88</v>
      </c>
      <c r="D237" s="6">
        <v>0.01773111413902119</v>
      </c>
    </row>
    <row r="238" spans="1:4">
      <c r="A238" s="5" t="s">
        <v>30</v>
      </c>
      <c r="B238" s="5" t="s">
        <v>205</v>
      </c>
      <c r="C238" s="5" t="s">
        <v>98</v>
      </c>
      <c r="D238" s="6">
        <v>-0.003808831702320309</v>
      </c>
    </row>
    <row r="239" spans="1:4">
      <c r="A239" s="5" t="s">
        <v>30</v>
      </c>
      <c r="B239" s="5" t="s">
        <v>206</v>
      </c>
      <c r="C239" s="5" t="s">
        <v>94</v>
      </c>
      <c r="D239" s="6">
        <v>-0.06288383647390293</v>
      </c>
    </row>
    <row r="240" spans="1:4">
      <c r="A240" s="5" t="s">
        <v>30</v>
      </c>
      <c r="B240" s="5" t="s">
        <v>206</v>
      </c>
      <c r="C240" s="5" t="s">
        <v>96</v>
      </c>
      <c r="D240" s="6">
        <v>-0.02859642595314012</v>
      </c>
    </row>
    <row r="241" spans="1:4">
      <c r="A241" s="5" t="s">
        <v>30</v>
      </c>
      <c r="B241" s="5" t="s">
        <v>206</v>
      </c>
      <c r="C241" s="5" t="s">
        <v>90</v>
      </c>
      <c r="D241" s="6">
        <v>-0.02330400834180424</v>
      </c>
    </row>
    <row r="242" spans="1:4">
      <c r="A242" s="5" t="s">
        <v>31</v>
      </c>
      <c r="B242" s="5" t="s">
        <v>199</v>
      </c>
      <c r="C242" s="5" t="s">
        <v>179</v>
      </c>
      <c r="D242" s="6">
        <v>0.01624318706214534</v>
      </c>
    </row>
    <row r="243" spans="1:4">
      <c r="A243" s="5" t="s">
        <v>31</v>
      </c>
      <c r="B243" s="5" t="s">
        <v>199</v>
      </c>
      <c r="C243" s="5" t="s">
        <v>177</v>
      </c>
      <c r="D243" s="6">
        <v>0.01432384294594698</v>
      </c>
    </row>
    <row r="244" spans="1:4">
      <c r="A244" s="5" t="s">
        <v>31</v>
      </c>
      <c r="B244" s="5" t="s">
        <v>199</v>
      </c>
      <c r="C244" s="5" t="s">
        <v>173</v>
      </c>
      <c r="D244" s="6">
        <v>0.01291989514401035</v>
      </c>
    </row>
    <row r="245" spans="1:4">
      <c r="A245" s="5" t="s">
        <v>31</v>
      </c>
      <c r="B245" s="5" t="s">
        <v>200</v>
      </c>
      <c r="C245" s="5" t="s">
        <v>181</v>
      </c>
      <c r="D245" s="6">
        <v>-0.003728915255912453</v>
      </c>
    </row>
    <row r="246" spans="1:4">
      <c r="A246" s="5" t="s">
        <v>31</v>
      </c>
      <c r="B246" s="5" t="s">
        <v>200</v>
      </c>
      <c r="C246" s="5" t="s">
        <v>175</v>
      </c>
      <c r="D246" s="6">
        <v>-0.002903529353774328</v>
      </c>
    </row>
    <row r="247" spans="1:4">
      <c r="A247" s="5" t="s">
        <v>31</v>
      </c>
      <c r="B247" s="5" t="s">
        <v>200</v>
      </c>
      <c r="C247" s="5" t="s">
        <v>183</v>
      </c>
      <c r="D247" s="6">
        <v>0.002496513895420553</v>
      </c>
    </row>
    <row r="248" spans="1:4">
      <c r="A248" s="5" t="s">
        <v>31</v>
      </c>
      <c r="B248" s="5" t="s">
        <v>201</v>
      </c>
      <c r="C248" s="5" t="s">
        <v>177</v>
      </c>
      <c r="D248" s="6">
        <v>0.01088461231366043</v>
      </c>
    </row>
    <row r="249" spans="1:4">
      <c r="A249" s="5" t="s">
        <v>31</v>
      </c>
      <c r="B249" s="5" t="s">
        <v>201</v>
      </c>
      <c r="C249" s="5" t="s">
        <v>179</v>
      </c>
      <c r="D249" s="6">
        <v>0.005958358047260155</v>
      </c>
    </row>
    <row r="250" spans="1:4">
      <c r="A250" s="5" t="s">
        <v>31</v>
      </c>
      <c r="B250" s="5" t="s">
        <v>201</v>
      </c>
      <c r="C250" s="5" t="s">
        <v>183</v>
      </c>
      <c r="D250" s="6">
        <v>0.000266703939514211</v>
      </c>
    </row>
    <row r="251" spans="1:4">
      <c r="A251" s="5" t="s">
        <v>31</v>
      </c>
      <c r="B251" s="5" t="s">
        <v>202</v>
      </c>
      <c r="C251" s="5" t="s">
        <v>175</v>
      </c>
      <c r="D251" s="6">
        <v>-0.01087611304564218</v>
      </c>
    </row>
    <row r="252" spans="1:4">
      <c r="A252" s="5" t="s">
        <v>31</v>
      </c>
      <c r="B252" s="5" t="s">
        <v>202</v>
      </c>
      <c r="C252" s="5" t="s">
        <v>181</v>
      </c>
      <c r="D252" s="6">
        <v>-0.007739650260725739</v>
      </c>
    </row>
    <row r="253" spans="1:4">
      <c r="A253" s="5" t="s">
        <v>31</v>
      </c>
      <c r="B253" s="5" t="s">
        <v>202</v>
      </c>
      <c r="C253" s="5" t="s">
        <v>173</v>
      </c>
      <c r="D253" s="6">
        <v>-0.004574035372226664</v>
      </c>
    </row>
    <row r="254" spans="1:4">
      <c r="A254" s="5" t="s">
        <v>31</v>
      </c>
      <c r="B254" s="5" t="s">
        <v>203</v>
      </c>
      <c r="C254" s="5" t="s">
        <v>181</v>
      </c>
      <c r="D254" s="6">
        <v>-0.001452522686532495</v>
      </c>
    </row>
    <row r="255" spans="1:4">
      <c r="A255" s="5" t="s">
        <v>31</v>
      </c>
      <c r="B255" s="5" t="s">
        <v>203</v>
      </c>
      <c r="C255" s="5" t="s">
        <v>183</v>
      </c>
      <c r="D255" s="6">
        <v>-0.005507297766960356</v>
      </c>
    </row>
    <row r="256" spans="1:4">
      <c r="A256" s="5" t="s">
        <v>31</v>
      </c>
      <c r="B256" s="5" t="s">
        <v>203</v>
      </c>
      <c r="C256" s="5" t="s">
        <v>179</v>
      </c>
      <c r="D256" s="6">
        <v>-0.009552847274041109</v>
      </c>
    </row>
    <row r="257" spans="1:4">
      <c r="A257" s="5" t="s">
        <v>31</v>
      </c>
      <c r="B257" s="5" t="s">
        <v>204</v>
      </c>
      <c r="C257" s="5" t="s">
        <v>173</v>
      </c>
      <c r="D257" s="6">
        <v>-0.05524517991134923</v>
      </c>
    </row>
    <row r="258" spans="1:4">
      <c r="A258" s="5" t="s">
        <v>31</v>
      </c>
      <c r="B258" s="5" t="s">
        <v>204</v>
      </c>
      <c r="C258" s="5" t="s">
        <v>175</v>
      </c>
      <c r="D258" s="6">
        <v>-0.009990863404262746</v>
      </c>
    </row>
    <row r="259" spans="1:4">
      <c r="A259" s="5" t="s">
        <v>31</v>
      </c>
      <c r="B259" s="5" t="s">
        <v>204</v>
      </c>
      <c r="C259" s="5" t="s">
        <v>177</v>
      </c>
      <c r="D259" s="6">
        <v>-0.009741015410452669</v>
      </c>
    </row>
    <row r="260" spans="1:4">
      <c r="A260" s="5" t="s">
        <v>31</v>
      </c>
      <c r="B260" s="5" t="s">
        <v>205</v>
      </c>
      <c r="C260" s="5" t="s">
        <v>183</v>
      </c>
      <c r="D260" s="6">
        <v>-0.005696554783269601</v>
      </c>
    </row>
    <row r="261" spans="1:4">
      <c r="A261" s="5" t="s">
        <v>31</v>
      </c>
      <c r="B261" s="5" t="s">
        <v>205</v>
      </c>
      <c r="C261" s="5" t="s">
        <v>181</v>
      </c>
      <c r="D261" s="6">
        <v>-0.01407286687929902</v>
      </c>
    </row>
    <row r="262" spans="1:4">
      <c r="A262" s="5" t="s">
        <v>31</v>
      </c>
      <c r="B262" s="5" t="s">
        <v>205</v>
      </c>
      <c r="C262" s="5" t="s">
        <v>175</v>
      </c>
      <c r="D262" s="6">
        <v>-0.02396533388873077</v>
      </c>
    </row>
    <row r="263" spans="1:4">
      <c r="A263" s="5" t="s">
        <v>31</v>
      </c>
      <c r="B263" s="5" t="s">
        <v>206</v>
      </c>
      <c r="C263" s="5" t="s">
        <v>173</v>
      </c>
      <c r="D263" s="6">
        <v>-0.02724543962007413</v>
      </c>
    </row>
    <row r="264" spans="1:4">
      <c r="A264" s="5" t="s">
        <v>31</v>
      </c>
      <c r="B264" s="5" t="s">
        <v>206</v>
      </c>
      <c r="C264" s="5" t="s">
        <v>179</v>
      </c>
      <c r="D264" s="6">
        <v>-0.0262655983449398</v>
      </c>
    </row>
    <row r="265" spans="1:4">
      <c r="A265" s="5" t="s">
        <v>31</v>
      </c>
      <c r="B265" s="5" t="s">
        <v>206</v>
      </c>
      <c r="C265" s="5" t="s">
        <v>177</v>
      </c>
      <c r="D265" s="6">
        <v>-0.02624311230846061</v>
      </c>
    </row>
    <row r="266" spans="1:4">
      <c r="A266" s="5" t="s">
        <v>32</v>
      </c>
      <c r="B266" s="5" t="s">
        <v>199</v>
      </c>
      <c r="C266" s="5" t="s">
        <v>82</v>
      </c>
      <c r="D266" s="6">
        <v>0.005845196980493972</v>
      </c>
    </row>
    <row r="267" spans="1:4">
      <c r="A267" s="5" t="s">
        <v>32</v>
      </c>
      <c r="B267" s="5" t="s">
        <v>199</v>
      </c>
      <c r="C267" s="5" t="s">
        <v>84</v>
      </c>
      <c r="D267" s="6">
        <v>0.003602572665837172</v>
      </c>
    </row>
    <row r="268" spans="1:4">
      <c r="A268" s="5" t="s">
        <v>32</v>
      </c>
      <c r="B268" s="5" t="s">
        <v>199</v>
      </c>
      <c r="C268" s="5" t="s">
        <v>79</v>
      </c>
      <c r="D268" s="6">
        <v>0.003119896967950057</v>
      </c>
    </row>
    <row r="269" spans="1:4">
      <c r="A269" s="5" t="s">
        <v>32</v>
      </c>
      <c r="B269" s="5" t="s">
        <v>200</v>
      </c>
      <c r="C269" s="5" t="s">
        <v>79</v>
      </c>
      <c r="D269" s="6">
        <v>0.003119896967950057</v>
      </c>
    </row>
    <row r="270" spans="1:4">
      <c r="A270" s="5" t="s">
        <v>32</v>
      </c>
      <c r="B270" s="5" t="s">
        <v>200</v>
      </c>
      <c r="C270" s="5" t="s">
        <v>84</v>
      </c>
      <c r="D270" s="6">
        <v>0.003602572665837172</v>
      </c>
    </row>
    <row r="271" spans="1:4">
      <c r="A271" s="5" t="s">
        <v>32</v>
      </c>
      <c r="B271" s="5" t="s">
        <v>200</v>
      </c>
      <c r="C271" s="5" t="s">
        <v>82</v>
      </c>
      <c r="D271" s="6">
        <v>0.005845196980493972</v>
      </c>
    </row>
    <row r="272" spans="1:4">
      <c r="A272" s="5" t="s">
        <v>32</v>
      </c>
      <c r="B272" s="5" t="s">
        <v>201</v>
      </c>
      <c r="C272" s="5" t="s">
        <v>84</v>
      </c>
      <c r="D272" s="6">
        <v>0.01847053296115952</v>
      </c>
    </row>
    <row r="273" spans="1:4">
      <c r="A273" s="5" t="s">
        <v>32</v>
      </c>
      <c r="B273" s="5" t="s">
        <v>201</v>
      </c>
      <c r="C273" s="5" t="s">
        <v>82</v>
      </c>
      <c r="D273" s="6">
        <v>0.0182452924492412</v>
      </c>
    </row>
    <row r="274" spans="1:4">
      <c r="A274" s="5" t="s">
        <v>32</v>
      </c>
      <c r="B274" s="5" t="s">
        <v>201</v>
      </c>
      <c r="C274" s="5" t="s">
        <v>79</v>
      </c>
      <c r="D274" s="6">
        <v>0.003492119154294814</v>
      </c>
    </row>
    <row r="275" spans="1:4">
      <c r="A275" s="5" t="s">
        <v>32</v>
      </c>
      <c r="B275" s="5" t="s">
        <v>202</v>
      </c>
      <c r="C275" s="5" t="s">
        <v>79</v>
      </c>
      <c r="D275" s="6">
        <v>0.003492119154294814</v>
      </c>
    </row>
    <row r="276" spans="1:4">
      <c r="A276" s="5" t="s">
        <v>32</v>
      </c>
      <c r="B276" s="5" t="s">
        <v>202</v>
      </c>
      <c r="C276" s="5" t="s">
        <v>82</v>
      </c>
      <c r="D276" s="6">
        <v>0.0182452924492412</v>
      </c>
    </row>
    <row r="277" spans="1:4">
      <c r="A277" s="5" t="s">
        <v>32</v>
      </c>
      <c r="B277" s="5" t="s">
        <v>202</v>
      </c>
      <c r="C277" s="5" t="s">
        <v>84</v>
      </c>
      <c r="D277" s="6">
        <v>0.01847053296115952</v>
      </c>
    </row>
    <row r="278" spans="1:4">
      <c r="A278" s="5" t="s">
        <v>32</v>
      </c>
      <c r="B278" s="5" t="s">
        <v>203</v>
      </c>
      <c r="C278" s="5" t="s">
        <v>79</v>
      </c>
      <c r="D278" s="6">
        <v>-0.01429065737837215</v>
      </c>
    </row>
    <row r="279" spans="1:4">
      <c r="A279" s="5" t="s">
        <v>32</v>
      </c>
      <c r="B279" s="5" t="s">
        <v>203</v>
      </c>
      <c r="C279" s="5" t="s">
        <v>82</v>
      </c>
      <c r="D279" s="6">
        <v>-0.02871717643441736</v>
      </c>
    </row>
    <row r="280" spans="1:4">
      <c r="A280" s="5" t="s">
        <v>32</v>
      </c>
      <c r="B280" s="5" t="s">
        <v>203</v>
      </c>
      <c r="C280" s="5" t="s">
        <v>84</v>
      </c>
      <c r="D280" s="6">
        <v>-0.05083510435405634</v>
      </c>
    </row>
    <row r="281" spans="1:4">
      <c r="A281" s="5" t="s">
        <v>32</v>
      </c>
      <c r="B281" s="5" t="s">
        <v>204</v>
      </c>
      <c r="C281" s="5" t="s">
        <v>84</v>
      </c>
      <c r="D281" s="6">
        <v>-0.05083510435405634</v>
      </c>
    </row>
    <row r="282" spans="1:4">
      <c r="A282" s="5" t="s">
        <v>32</v>
      </c>
      <c r="B282" s="5" t="s">
        <v>204</v>
      </c>
      <c r="C282" s="5" t="s">
        <v>82</v>
      </c>
      <c r="D282" s="6">
        <v>-0.02871717643441736</v>
      </c>
    </row>
    <row r="283" spans="1:4">
      <c r="A283" s="5" t="s">
        <v>32</v>
      </c>
      <c r="B283" s="5" t="s">
        <v>204</v>
      </c>
      <c r="C283" s="5" t="s">
        <v>79</v>
      </c>
      <c r="D283" s="6">
        <v>-0.01429065737837215</v>
      </c>
    </row>
    <row r="284" spans="1:4">
      <c r="A284" s="5" t="s">
        <v>32</v>
      </c>
      <c r="B284" s="5" t="s">
        <v>205</v>
      </c>
      <c r="C284" s="5" t="s">
        <v>79</v>
      </c>
      <c r="D284" s="6">
        <v>-0.01905237413755687</v>
      </c>
    </row>
    <row r="285" spans="1:4">
      <c r="A285" s="5" t="s">
        <v>32</v>
      </c>
      <c r="B285" s="5" t="s">
        <v>205</v>
      </c>
      <c r="C285" s="5" t="s">
        <v>82</v>
      </c>
      <c r="D285" s="6">
        <v>-0.05031912462538522</v>
      </c>
    </row>
    <row r="286" spans="1:4">
      <c r="A286" s="5" t="s">
        <v>32</v>
      </c>
      <c r="B286" s="5" t="s">
        <v>205</v>
      </c>
      <c r="C286" s="5" t="s">
        <v>84</v>
      </c>
      <c r="D286" s="6">
        <v>-0.06679357811301206</v>
      </c>
    </row>
    <row r="287" spans="1:4">
      <c r="A287" s="5" t="s">
        <v>32</v>
      </c>
      <c r="B287" s="5" t="s">
        <v>206</v>
      </c>
      <c r="C287" s="5" t="s">
        <v>84</v>
      </c>
      <c r="D287" s="6">
        <v>-0.06679357811301206</v>
      </c>
    </row>
    <row r="288" spans="1:4">
      <c r="A288" s="5" t="s">
        <v>32</v>
      </c>
      <c r="B288" s="5" t="s">
        <v>206</v>
      </c>
      <c r="C288" s="5" t="s">
        <v>82</v>
      </c>
      <c r="D288" s="6">
        <v>-0.05031912462538522</v>
      </c>
    </row>
    <row r="289" spans="1:4">
      <c r="A289" s="5" t="s">
        <v>32</v>
      </c>
      <c r="B289" s="5" t="s">
        <v>206</v>
      </c>
      <c r="C289" s="5" t="s">
        <v>79</v>
      </c>
      <c r="D289" s="6">
        <v>-0.01905237413755687</v>
      </c>
    </row>
  </sheetData>
  <autoFilter ref="A1:D2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.7109375" customWidth="1"/>
    <col min="2" max="2" width="100.7109375" customWidth="1"/>
  </cols>
  <sheetData>
    <row r="1" spans="1:2">
      <c r="A1" s="4" t="s">
        <v>207</v>
      </c>
      <c r="B1" s="4" t="s">
        <v>208</v>
      </c>
    </row>
    <row r="2" spans="1:2">
      <c r="A2" s="5" t="s">
        <v>209</v>
      </c>
      <c r="B2" s="5" t="s">
        <v>210</v>
      </c>
    </row>
    <row r="3" spans="1:2">
      <c r="A3" s="5" t="s">
        <v>4</v>
      </c>
      <c r="B3" s="5" t="s">
        <v>10</v>
      </c>
    </row>
    <row r="4" spans="1:2">
      <c r="A4" s="5" t="s">
        <v>211</v>
      </c>
      <c r="B4" s="5" t="s">
        <v>212</v>
      </c>
    </row>
    <row r="5" spans="1:2">
      <c r="A5" s="5" t="s">
        <v>213</v>
      </c>
      <c r="B5" s="5" t="s">
        <v>214</v>
      </c>
    </row>
    <row r="6" spans="1:2">
      <c r="A6" s="5" t="s">
        <v>215</v>
      </c>
      <c r="B6" s="5" t="s">
        <v>216</v>
      </c>
    </row>
    <row r="7" spans="1:2">
      <c r="A7" s="5" t="s">
        <v>217</v>
      </c>
      <c r="B7" s="5" t="s">
        <v>218</v>
      </c>
    </row>
    <row r="8" spans="1:2">
      <c r="A8" s="5" t="s">
        <v>219</v>
      </c>
      <c r="B8" s="5" t="s">
        <v>220</v>
      </c>
    </row>
    <row r="9" spans="1:2">
      <c r="A9" s="5" t="s">
        <v>221</v>
      </c>
      <c r="B9" s="5" t="s">
        <v>222</v>
      </c>
    </row>
    <row r="10" spans="1:2">
      <c r="A10" s="5" t="s">
        <v>223</v>
      </c>
      <c r="B10" s="5" t="s">
        <v>224</v>
      </c>
    </row>
    <row r="11" spans="1:2">
      <c r="A11" s="5" t="s">
        <v>225</v>
      </c>
      <c r="B11" s="5" t="s">
        <v>226</v>
      </c>
    </row>
    <row r="12" spans="1:2">
      <c r="A12" s="5" t="s">
        <v>3</v>
      </c>
      <c r="B12" s="5" t="s">
        <v>227</v>
      </c>
    </row>
    <row r="13" spans="1:2">
      <c r="A13" s="5" t="s">
        <v>228</v>
      </c>
      <c r="B13" s="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Stage_Performance</vt:lpstr>
      <vt:lpstr>Stock_Returns</vt:lpstr>
      <vt:lpstr>Contributors</vt:lpstr>
      <vt:lpstr>Methodology</vt:lpstr>
    </vt:vector>
  </TitlesOfParts>
  <Company>NPS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description>Calculated from BQuant_Master.xlsx</dc:description>
  <cp:lastModifiedBy>OpenAI Codex</cp:lastModifiedBy>
  <dcterms:created xsi:type="dcterms:W3CDTF">2026-09-08T09:36:36Z</dcterms:created>
  <dcterms:modified xsi:type="dcterms:W3CDTF">2026-09-08T09:36:36Z</dcterms:modified>
</cp:coreProperties>
</file>