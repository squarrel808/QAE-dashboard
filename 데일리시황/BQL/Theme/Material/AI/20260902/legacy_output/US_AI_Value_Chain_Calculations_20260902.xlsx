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tage_Performance" sheetId="1" r:id="rId1"/>
    <sheet name="Stock_Returns" sheetId="2" r:id="rId2"/>
    <sheet name="Contributors" sheetId="3" r:id="rId3"/>
    <sheet name="Methodology" sheetId="4" r:id="rId4"/>
  </sheets>
  <definedNames>
    <definedName name="_xlnm._FilterDatabase" localSheetId="2" hidden="1">Contributors!$A$1:$D$289</definedName>
    <definedName name="_xlnm._FilterDatabase" localSheetId="0" hidden="1">Stage_Performance!$A$5:$L$17</definedName>
    <definedName name="_xlnm._FilterDatabase" localSheetId="1" hidden="1">Stock_Returns!$A$1:$R$74</definedName>
  </definedNames>
  <calcPr calcId="125725"/>
</workbook>
</file>

<file path=xl/calcChain.xml><?xml version="1.0" encoding="utf-8"?>
<calcChain xmlns="http://schemas.openxmlformats.org/spreadsheetml/2006/main">
  <c r="Q74" i="2"/>
  <c r="M74"/>
  <c r="L74"/>
  <c r="K74"/>
  <c r="Q73"/>
  <c r="M73"/>
  <c r="L73"/>
  <c r="K73"/>
  <c r="Q72"/>
  <c r="M72"/>
  <c r="L72"/>
  <c r="K72"/>
  <c r="Q71"/>
  <c r="M71"/>
  <c r="L71"/>
  <c r="K71"/>
  <c r="Q70"/>
  <c r="M70"/>
  <c r="L70"/>
  <c r="K70"/>
  <c r="Q69"/>
  <c r="M69"/>
  <c r="L69"/>
  <c r="K69"/>
  <c r="Q68"/>
  <c r="M68"/>
  <c r="L68"/>
  <c r="K68"/>
  <c r="Q67"/>
  <c r="M67"/>
  <c r="L67"/>
  <c r="K67"/>
  <c r="Q66"/>
  <c r="M66"/>
  <c r="L66"/>
  <c r="K66"/>
  <c r="Q65"/>
  <c r="M65"/>
  <c r="L65"/>
  <c r="K65"/>
  <c r="Q64"/>
  <c r="M64"/>
  <c r="L64"/>
  <c r="K64"/>
  <c r="Q63"/>
  <c r="M63"/>
  <c r="L63"/>
  <c r="K63"/>
  <c r="Q62"/>
  <c r="M62"/>
  <c r="L62"/>
  <c r="K62"/>
  <c r="Q61"/>
  <c r="M61"/>
  <c r="L61"/>
  <c r="K61"/>
  <c r="Q60"/>
  <c r="M60"/>
  <c r="L60"/>
  <c r="K60"/>
  <c r="Q59"/>
  <c r="M59"/>
  <c r="L59"/>
  <c r="K59"/>
  <c r="Q58"/>
  <c r="M58"/>
  <c r="L58"/>
  <c r="K58"/>
  <c r="Q57"/>
  <c r="M57"/>
  <c r="L57"/>
  <c r="K57"/>
  <c r="Q56"/>
  <c r="M56"/>
  <c r="L56"/>
  <c r="K56"/>
  <c r="Q55"/>
  <c r="M55"/>
  <c r="L55"/>
  <c r="K55"/>
  <c r="Q54"/>
  <c r="M54"/>
  <c r="L54"/>
  <c r="K54"/>
  <c r="Q53"/>
  <c r="M53"/>
  <c r="L53"/>
  <c r="K53"/>
  <c r="Q52"/>
  <c r="M52"/>
  <c r="L52"/>
  <c r="K52"/>
  <c r="Q51"/>
  <c r="M51"/>
  <c r="L51"/>
  <c r="K51"/>
  <c r="Q50"/>
  <c r="M50"/>
  <c r="L50"/>
  <c r="K50"/>
  <c r="Q49"/>
  <c r="M49"/>
  <c r="L49"/>
  <c r="K49"/>
  <c r="Q48"/>
  <c r="M48"/>
  <c r="L48"/>
  <c r="K48"/>
  <c r="Q47"/>
  <c r="M47"/>
  <c r="L47"/>
  <c r="K47"/>
  <c r="Q46"/>
  <c r="M46"/>
  <c r="L46"/>
  <c r="K46"/>
  <c r="Q45"/>
  <c r="M45"/>
  <c r="L45"/>
  <c r="K45"/>
  <c r="Q44"/>
  <c r="M44"/>
  <c r="L44"/>
  <c r="K44"/>
  <c r="Q43"/>
  <c r="M43"/>
  <c r="L43"/>
  <c r="K43"/>
  <c r="Q42"/>
  <c r="M42"/>
  <c r="L42"/>
  <c r="K42"/>
  <c r="Q41"/>
  <c r="M41"/>
  <c r="L41"/>
  <c r="K41"/>
  <c r="Q40"/>
  <c r="M40"/>
  <c r="L40"/>
  <c r="K40"/>
  <c r="Q39"/>
  <c r="M39"/>
  <c r="L39"/>
  <c r="K39"/>
  <c r="Q38"/>
  <c r="M38"/>
  <c r="L38"/>
  <c r="K38"/>
  <c r="Q37"/>
  <c r="M37"/>
  <c r="L37"/>
  <c r="K37"/>
  <c r="Q36"/>
  <c r="M36"/>
  <c r="L36"/>
  <c r="K36"/>
  <c r="Q35"/>
  <c r="M35"/>
  <c r="L35"/>
  <c r="K35"/>
  <c r="Q34"/>
  <c r="M34"/>
  <c r="L34"/>
  <c r="K34"/>
  <c r="Q33"/>
  <c r="M33"/>
  <c r="L33"/>
  <c r="K33"/>
  <c r="Q32"/>
  <c r="M32"/>
  <c r="L32"/>
  <c r="K32"/>
  <c r="Q31"/>
  <c r="M31"/>
  <c r="L31"/>
  <c r="K31"/>
  <c r="Q30"/>
  <c r="M30"/>
  <c r="L30"/>
  <c r="K30"/>
  <c r="Q29"/>
  <c r="M29"/>
  <c r="L29"/>
  <c r="K29"/>
  <c r="Q28"/>
  <c r="M28"/>
  <c r="L28"/>
  <c r="K28"/>
  <c r="Q27"/>
  <c r="M27"/>
  <c r="L27"/>
  <c r="K27"/>
  <c r="Q26"/>
  <c r="M26"/>
  <c r="L26"/>
  <c r="K26"/>
  <c r="Q25"/>
  <c r="M25"/>
  <c r="L25"/>
  <c r="K25"/>
  <c r="Q24"/>
  <c r="M24"/>
  <c r="L24"/>
  <c r="K24"/>
  <c r="Q23"/>
  <c r="M23"/>
  <c r="L23"/>
  <c r="K23"/>
  <c r="Q22"/>
  <c r="M22"/>
  <c r="L22"/>
  <c r="K22"/>
  <c r="Q21"/>
  <c r="M21"/>
  <c r="L21"/>
  <c r="K21"/>
  <c r="Q20"/>
  <c r="M20"/>
  <c r="L20"/>
  <c r="K20"/>
  <c r="Q19"/>
  <c r="M19"/>
  <c r="L19"/>
  <c r="K19"/>
  <c r="Q18"/>
  <c r="M18"/>
  <c r="L18"/>
  <c r="K18"/>
  <c r="Q17"/>
  <c r="M17"/>
  <c r="L17"/>
  <c r="K17"/>
  <c r="Q16"/>
  <c r="M16"/>
  <c r="L16"/>
  <c r="K16"/>
  <c r="Q15"/>
  <c r="M15"/>
  <c r="L15"/>
  <c r="K15"/>
  <c r="Q14"/>
  <c r="M14"/>
  <c r="L14"/>
  <c r="K14"/>
  <c r="Q13"/>
  <c r="M13"/>
  <c r="L13"/>
  <c r="K13"/>
  <c r="Q12"/>
  <c r="M12"/>
  <c r="L12"/>
  <c r="K12"/>
  <c r="Q11"/>
  <c r="M11"/>
  <c r="L11"/>
  <c r="K11"/>
  <c r="Q10"/>
  <c r="M10"/>
  <c r="L10"/>
  <c r="K10"/>
  <c r="Q9"/>
  <c r="M9"/>
  <c r="L9"/>
  <c r="K9"/>
  <c r="Q8"/>
  <c r="M8"/>
  <c r="L8"/>
  <c r="K8"/>
  <c r="Q7"/>
  <c r="M7"/>
  <c r="L7"/>
  <c r="K7"/>
  <c r="Q6"/>
  <c r="M6"/>
  <c r="L6"/>
  <c r="K6"/>
  <c r="Q5"/>
  <c r="M5"/>
  <c r="L5"/>
  <c r="K5"/>
  <c r="Q4"/>
  <c r="M4"/>
  <c r="L4"/>
  <c r="K4"/>
  <c r="Q3"/>
  <c r="M3"/>
  <c r="L3"/>
  <c r="K3"/>
  <c r="Q2"/>
  <c r="M2"/>
  <c r="L2"/>
  <c r="K2"/>
</calcChain>
</file>

<file path=xl/sharedStrings.xml><?xml version="1.0" encoding="utf-8"?>
<sst xmlns="http://schemas.openxmlformats.org/spreadsheetml/2006/main" count="1324" uniqueCount="228">
  <si>
    <t>US AI Value Chain — Calculation &amp; Verification</t>
  </si>
  <si>
    <t>As of 2026-09-02 | Expanded classification | Equal-weight daily rebalanced</t>
  </si>
  <si>
    <t>Benchmark proxies</t>
  </si>
  <si>
    <t>Benchmark</t>
  </si>
  <si>
    <t>As of</t>
  </si>
  <si>
    <t>1D</t>
  </si>
  <si>
    <t>1W</t>
  </si>
  <si>
    <t>1M</t>
  </si>
  <si>
    <t>3M</t>
  </si>
  <si>
    <t>SPX_cap_weight_proxy</t>
  </si>
  <si>
    <t>2026-09-02</t>
  </si>
  <si>
    <t>NDX_cap_weight_proxy</t>
  </si>
  <si>
    <t>Rank</t>
  </si>
  <si>
    <t>Value Chain</t>
  </si>
  <si>
    <t>Members</t>
  </si>
  <si>
    <t>Month 1</t>
  </si>
  <si>
    <t>Month 2</t>
  </si>
  <si>
    <t>Month 3</t>
  </si>
  <si>
    <t>Max Drawdown</t>
  </si>
  <si>
    <t>Method</t>
  </si>
  <si>
    <t>AI 소프트웨어·데이터</t>
  </si>
  <si>
    <t>Daily equal-weight constituent return compounded; dividends excluded</t>
  </si>
  <si>
    <t>사이버보안</t>
  </si>
  <si>
    <t>데이터센터 REIT·운영사</t>
  </si>
  <si>
    <t>전력·냉각 장비</t>
  </si>
  <si>
    <t>전력 생산</t>
  </si>
  <si>
    <t>하이퍼스케일러·플랫폼</t>
  </si>
  <si>
    <t>서버·스토리지</t>
  </si>
  <si>
    <t>파운드리·반도체 장비·EDA</t>
  </si>
  <si>
    <t>E&amp;C·설계·전기공사</t>
  </si>
  <si>
    <t>AI 연산·메모리</t>
  </si>
  <si>
    <t>엣지·Physical AI</t>
  </si>
  <si>
    <t>네트워크·광통신</t>
  </si>
  <si>
    <t>Ticker</t>
  </si>
  <si>
    <t>Company</t>
  </si>
  <si>
    <t>GICS Sector</t>
  </si>
  <si>
    <t>Confidence</t>
  </si>
  <si>
    <t>3M Start Price</t>
  </si>
  <si>
    <t>1M Start Price</t>
  </si>
  <si>
    <t>1W Start Price</t>
  </si>
  <si>
    <t>Previous Price</t>
  </si>
  <si>
    <t>End Price</t>
  </si>
  <si>
    <t>3M Max Drawdown</t>
  </si>
  <si>
    <t>ACN</t>
  </si>
  <si>
    <t>Accenture PLC</t>
  </si>
  <si>
    <t>Information Technology</t>
  </si>
  <si>
    <t>Adjacent</t>
  </si>
  <si>
    <t>ADBE</t>
  </si>
  <si>
    <t>Adobe Inc</t>
  </si>
  <si>
    <t>Core</t>
  </si>
  <si>
    <t>APP</t>
  </si>
  <si>
    <t>AppLovin Corp</t>
  </si>
  <si>
    <t>Communication Services</t>
  </si>
  <si>
    <t>CRM</t>
  </si>
  <si>
    <t>Salesforce Inc</t>
  </si>
  <si>
    <t>DDOG</t>
  </si>
  <si>
    <t>Datadog Inc</t>
  </si>
  <si>
    <t>INTU</t>
  </si>
  <si>
    <t>Intuit Inc</t>
  </si>
  <si>
    <t>NOW</t>
  </si>
  <si>
    <t>ServiceNow Inc</t>
  </si>
  <si>
    <t>PLTR</t>
  </si>
  <si>
    <t>Palantir Technologies Inc</t>
  </si>
  <si>
    <t>WDAY</t>
  </si>
  <si>
    <t>Workday Inc</t>
  </si>
  <si>
    <t>AMD</t>
  </si>
  <si>
    <t>Advanced Micro Devices Inc</t>
  </si>
  <si>
    <t>AVGO</t>
  </si>
  <si>
    <t>Broadcom Inc</t>
  </si>
  <si>
    <t>INTC</t>
  </si>
  <si>
    <t>Intel Corp</t>
  </si>
  <si>
    <t>MPWR</t>
  </si>
  <si>
    <t>Monolithic Power Systems Inc</t>
  </si>
  <si>
    <t>MRVL</t>
  </si>
  <si>
    <t>Marvell Technology Inc</t>
  </si>
  <si>
    <t>MU</t>
  </si>
  <si>
    <t>Micron Technology Inc</t>
  </si>
  <si>
    <t>NVDA</t>
  </si>
  <si>
    <t>NVIDIA Corp</t>
  </si>
  <si>
    <t>EME</t>
  </si>
  <si>
    <t>EMCOR Group Inc</t>
  </si>
  <si>
    <t>Industrials</t>
  </si>
  <si>
    <t>FIX</t>
  </si>
  <si>
    <t>Comfort Systems USA Inc</t>
  </si>
  <si>
    <t>PWR</t>
  </si>
  <si>
    <t>Quanta Services Inc</t>
  </si>
  <si>
    <t>ANET</t>
  </si>
  <si>
    <t>Arista Networks Inc</t>
  </si>
  <si>
    <t>APH</t>
  </si>
  <si>
    <t>Amphenol Corp</t>
  </si>
  <si>
    <t>CIEN</t>
  </si>
  <si>
    <t>Ciena Corp</t>
  </si>
  <si>
    <t>COHR</t>
  </si>
  <si>
    <t>Coherent Corp</t>
  </si>
  <si>
    <t>CSCO</t>
  </si>
  <si>
    <t>Cisco Systems Inc</t>
  </si>
  <si>
    <t>GLW</t>
  </si>
  <si>
    <t>Corning Inc</t>
  </si>
  <si>
    <t>LITE</t>
  </si>
  <si>
    <t>Lumentum Holdings Inc</t>
  </si>
  <si>
    <t>DLR</t>
  </si>
  <si>
    <t>Digital Realty Trust Inc</t>
  </si>
  <si>
    <t>Real Estate</t>
  </si>
  <si>
    <t>EQIX</t>
  </si>
  <si>
    <t>Equinix Inc</t>
  </si>
  <si>
    <t>IRM</t>
  </si>
  <si>
    <t>Iron Mountain Inc</t>
  </si>
  <si>
    <t>AKAM</t>
  </si>
  <si>
    <t>Akamai Technologies Inc</t>
  </si>
  <si>
    <t>CRWD</t>
  </si>
  <si>
    <t>Crowdstrike Holdings Inc</t>
  </si>
  <si>
    <t>FTNT</t>
  </si>
  <si>
    <t>Fortinet Inc</t>
  </si>
  <si>
    <t>GEN</t>
  </si>
  <si>
    <t>Gen Digital Inc</t>
  </si>
  <si>
    <t>PANW</t>
  </si>
  <si>
    <t>Palo Alto Networks Inc</t>
  </si>
  <si>
    <t>DELL</t>
  </si>
  <si>
    <t>Dell Technologies Inc</t>
  </si>
  <si>
    <t>FLEX</t>
  </si>
  <si>
    <t>Flex Ltd</t>
  </si>
  <si>
    <t>HPE</t>
  </si>
  <si>
    <t>Hewlett Packard Enterprise Co</t>
  </si>
  <si>
    <t>JBL</t>
  </si>
  <si>
    <t>Jabil Inc</t>
  </si>
  <si>
    <t>NTAP</t>
  </si>
  <si>
    <t>NetApp Inc</t>
  </si>
  <si>
    <t>SMCI</t>
  </si>
  <si>
    <t>Super Micro Computer Inc</t>
  </si>
  <si>
    <t>SNDK</t>
  </si>
  <si>
    <t>Sandisk Corp</t>
  </si>
  <si>
    <t>STX</t>
  </si>
  <si>
    <t>Seagate Technology Holdings PL</t>
  </si>
  <si>
    <t>WDC</t>
  </si>
  <si>
    <t>Western Digital Corp</t>
  </si>
  <si>
    <t>AAPL</t>
  </si>
  <si>
    <t>Apple Inc</t>
  </si>
  <si>
    <t>ADI</t>
  </si>
  <si>
    <t>Analog Devices Inc</t>
  </si>
  <si>
    <t>AXON</t>
  </si>
  <si>
    <t>Axon Enterprise Inc</t>
  </si>
  <si>
    <t>NXPI</t>
  </si>
  <si>
    <t>NXP Semiconductors NV</t>
  </si>
  <si>
    <t>ON</t>
  </si>
  <si>
    <t>ON Semiconductor Corp</t>
  </si>
  <si>
    <t>QCOM</t>
  </si>
  <si>
    <t>QUALCOMM Inc</t>
  </si>
  <si>
    <t>ROK</t>
  </si>
  <si>
    <t>Rockwell Automation Inc</t>
  </si>
  <si>
    <t>TSLA</t>
  </si>
  <si>
    <t>Tesla Inc</t>
  </si>
  <si>
    <t>Consumer Discretionary</t>
  </si>
  <si>
    <t>CEG</t>
  </si>
  <si>
    <t>Constellation Energy Corp</t>
  </si>
  <si>
    <t>Utilities</t>
  </si>
  <si>
    <t>NRG</t>
  </si>
  <si>
    <t>NRG Energy Inc</t>
  </si>
  <si>
    <t>VST</t>
  </si>
  <si>
    <t>Vistra Corp</t>
  </si>
  <si>
    <t>CARR</t>
  </si>
  <si>
    <t>Carrier Global Corp</t>
  </si>
  <si>
    <t>ETN</t>
  </si>
  <si>
    <t>Eaton Corp PLC</t>
  </si>
  <si>
    <t>GEV</t>
  </si>
  <si>
    <t>GE Vernova Inc</t>
  </si>
  <si>
    <t>HUBB</t>
  </si>
  <si>
    <t>Hubbell Inc</t>
  </si>
  <si>
    <t>JCI</t>
  </si>
  <si>
    <t>Johnson Controls International</t>
  </si>
  <si>
    <t>TT</t>
  </si>
  <si>
    <t>Trane Technologies PLC</t>
  </si>
  <si>
    <t>VRT</t>
  </si>
  <si>
    <t>Vertiv Holdings Co</t>
  </si>
  <si>
    <t>AMAT</t>
  </si>
  <si>
    <t>Applied Materials Inc</t>
  </si>
  <si>
    <t>CDNS</t>
  </si>
  <si>
    <t>Cadence Design Systems Inc</t>
  </si>
  <si>
    <t>KLAC</t>
  </si>
  <si>
    <t>KLA Corp</t>
  </si>
  <si>
    <t>LRCX</t>
  </si>
  <si>
    <t>Lam Research Corp</t>
  </si>
  <si>
    <t>SNPS</t>
  </si>
  <si>
    <t>Synopsys Inc</t>
  </si>
  <si>
    <t>TER</t>
  </si>
  <si>
    <t>Teradyne Inc</t>
  </si>
  <si>
    <t>AMZN</t>
  </si>
  <si>
    <t>Amazon.com Inc</t>
  </si>
  <si>
    <t>GOOGL</t>
  </si>
  <si>
    <t>Alphabet Inc</t>
  </si>
  <si>
    <t>IBM</t>
  </si>
  <si>
    <t>International Business Machine</t>
  </si>
  <si>
    <t>META</t>
  </si>
  <si>
    <t>Meta Platforms Inc</t>
  </si>
  <si>
    <t>MSFT</t>
  </si>
  <si>
    <t>Microsoft Corp</t>
  </si>
  <si>
    <t>ORCL</t>
  </si>
  <si>
    <t>Oracle Corp</t>
  </si>
  <si>
    <t>Period</t>
  </si>
  <si>
    <t>Equal-weight contribution</t>
  </si>
  <si>
    <t>1D Top</t>
  </si>
  <si>
    <t>1D Bottom</t>
  </si>
  <si>
    <t>1W Top</t>
  </si>
  <si>
    <t>1W Bottom</t>
  </si>
  <si>
    <t>1M Top</t>
  </si>
  <si>
    <t>1M Bottom</t>
  </si>
  <si>
    <t>3M Top</t>
  </si>
  <si>
    <t>3M Bottom</t>
  </si>
  <si>
    <t>Item</t>
  </si>
  <si>
    <t>Definition</t>
  </si>
  <si>
    <t>Source</t>
  </si>
  <si>
    <t>C:\Users\infomax\Documents\python\BQL\Rawfile\BQuant_Master.xlsx</t>
  </si>
  <si>
    <t>Previous</t>
  </si>
  <si>
    <t>2026-09-01</t>
  </si>
  <si>
    <t>1W start</t>
  </si>
  <si>
    <t>2026-08-26</t>
  </si>
  <si>
    <t>1M start</t>
  </si>
  <si>
    <t>2026-07-31</t>
  </si>
  <si>
    <t>3M start</t>
  </si>
  <si>
    <t>2026-06-02</t>
  </si>
  <si>
    <t>Month boundaries</t>
  </si>
  <si>
    <t>2026-06-02 / 2026-07-02 / 2026-07-31 / 2026-09-02</t>
  </si>
  <si>
    <t>Basket</t>
  </si>
  <si>
    <t>Daily-rebalanced equal-weight price index; dividends excluded</t>
  </si>
  <si>
    <t>Contribution</t>
  </si>
  <si>
    <t>Simple constituent return divided by valid stage member count; attribution approximation</t>
  </si>
  <si>
    <t>SPX and NDX current-constituent start-date market-cap-weighted proxies; not SPY/QQQ ETF total returns</t>
  </si>
  <si>
    <t>Bias</t>
  </si>
  <si>
    <t>Current membership is backfilled; survivorship bias exists</t>
  </si>
</sst>
</file>

<file path=xl/styles.xml><?xml version="1.0" encoding="utf-8"?>
<styleSheet xmlns="http://schemas.openxmlformats.org/spreadsheetml/2006/main">
  <numFmts count="1">
    <numFmt numFmtId="164" formatCode="0.0%;\(0.0%\);\-"/>
  </numFmts>
  <fonts count="6">
    <font>
      <sz val="11"/>
      <color theme="1"/>
      <name val="Calibri"/>
      <family val="2"/>
      <scheme val="minor"/>
    </font>
    <font>
      <b/>
      <sz val="18"/>
      <color rgb="FF102A43"/>
      <name val="Arial"/>
      <family val="2"/>
    </font>
    <font>
      <b/>
      <sz val="11"/>
      <color rgb="FFFFFFFF"/>
      <name val="Arial"/>
      <family val="2"/>
    </font>
    <font>
      <sz val="9"/>
      <color rgb="FF666666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1" xfId="0" applyFont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4" fontId="5" fillId="0" borderId="1" xfId="0" applyNumberFormat="1" applyFont="1" applyBorder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.7109375" customWidth="1"/>
    <col min="2" max="2" width="29.7109375" customWidth="1"/>
    <col min="3" max="11" width="14.7109375" customWidth="1"/>
    <col min="12" max="12" width="42.7109375" customWidth="1"/>
    <col min="14" max="19" width="18.7109375" customWidth="1"/>
  </cols>
  <sheetData>
    <row r="1" spans="1:19" ht="23.25">
      <c r="A1" s="1" t="s">
        <v>0</v>
      </c>
      <c r="N1" s="2" t="s">
        <v>2</v>
      </c>
    </row>
    <row r="2" spans="1:19" ht="240.75">
      <c r="A2" s="3" t="s">
        <v>1</v>
      </c>
      <c r="N2" s="4" t="s">
        <v>3</v>
      </c>
      <c r="O2" s="4" t="s">
        <v>4</v>
      </c>
      <c r="P2" s="4" t="s">
        <v>5</v>
      </c>
      <c r="Q2" s="4" t="s">
        <v>6</v>
      </c>
      <c r="R2" s="4" t="s">
        <v>7</v>
      </c>
      <c r="S2" s="4" t="s">
        <v>8</v>
      </c>
    </row>
    <row r="3" spans="1:19">
      <c r="N3" s="5" t="s">
        <v>9</v>
      </c>
      <c r="O3" s="5" t="s">
        <v>10</v>
      </c>
      <c r="P3" s="6">
        <v>5.0535045143410709E-3</v>
      </c>
      <c r="Q3" s="6">
        <v>-2.21906169796742E-3</v>
      </c>
      <c r="R3" s="6">
        <v>1.8669839370447801E-2</v>
      </c>
      <c r="S3" s="6">
        <v>1.501460192925924E-3</v>
      </c>
    </row>
    <row r="4" spans="1:19">
      <c r="N4" s="5" t="s">
        <v>11</v>
      </c>
      <c r="O4" s="5" t="s">
        <v>10</v>
      </c>
      <c r="P4" s="6">
        <v>2.8155388507143382E-3</v>
      </c>
      <c r="Q4" s="6">
        <v>3.2439797803097258E-3</v>
      </c>
      <c r="R4" s="6">
        <v>2.715070140282113E-2</v>
      </c>
      <c r="S4" s="6">
        <v>-4.1163067234341252E-2</v>
      </c>
    </row>
    <row r="5" spans="1:19" ht="24.75">
      <c r="A5" s="4" t="s">
        <v>12</v>
      </c>
      <c r="B5" s="4" t="s">
        <v>13</v>
      </c>
      <c r="C5" s="4" t="s">
        <v>14</v>
      </c>
      <c r="D5" s="4" t="s">
        <v>5</v>
      </c>
      <c r="E5" s="4" t="s">
        <v>6</v>
      </c>
      <c r="F5" s="4" t="s">
        <v>7</v>
      </c>
      <c r="G5" s="4" t="s">
        <v>15</v>
      </c>
      <c r="H5" s="4" t="s">
        <v>16</v>
      </c>
      <c r="I5" s="4" t="s">
        <v>17</v>
      </c>
      <c r="J5" s="4" t="s">
        <v>8</v>
      </c>
      <c r="K5" s="4" t="s">
        <v>18</v>
      </c>
      <c r="L5" s="4" t="s">
        <v>19</v>
      </c>
    </row>
    <row r="6" spans="1:19">
      <c r="A6" s="7">
        <v>1</v>
      </c>
      <c r="B6" s="5" t="s">
        <v>20</v>
      </c>
      <c r="C6" s="7">
        <v>9</v>
      </c>
      <c r="D6" s="6">
        <v>-1.8493154264655479E-2</v>
      </c>
      <c r="E6" s="6">
        <v>3.7765277211331487E-2</v>
      </c>
      <c r="F6" s="6">
        <v>0.1243163503791458</v>
      </c>
      <c r="G6" s="6">
        <v>-0.1427416737782827</v>
      </c>
      <c r="H6" s="6">
        <v>5.9864616355143292E-2</v>
      </c>
      <c r="I6" s="6">
        <v>0.1243163503791458</v>
      </c>
      <c r="J6" s="6">
        <v>2.152883907205938E-2</v>
      </c>
      <c r="K6" s="6">
        <v>-0.25562469253483261</v>
      </c>
      <c r="L6" s="5" t="s">
        <v>21</v>
      </c>
    </row>
    <row r="7" spans="1:19">
      <c r="A7" s="7">
        <v>2</v>
      </c>
      <c r="B7" s="5" t="s">
        <v>22</v>
      </c>
      <c r="C7" s="7">
        <v>5</v>
      </c>
      <c r="D7" s="6">
        <v>-3.2114573095434751E-2</v>
      </c>
      <c r="E7" s="6">
        <v>1.343923374832867E-2</v>
      </c>
      <c r="F7" s="6">
        <v>1.6309591343505851E-2</v>
      </c>
      <c r="G7" s="6">
        <v>-2.8268513567617951E-2</v>
      </c>
      <c r="H7" s="6">
        <v>8.6110715205329758E-3</v>
      </c>
      <c r="I7" s="6">
        <v>1.6309591343505851E-2</v>
      </c>
      <c r="J7" s="6">
        <v>-3.9158478588129384E-3</v>
      </c>
      <c r="K7" s="6">
        <v>-0.1269004211691406</v>
      </c>
      <c r="L7" s="5" t="s">
        <v>21</v>
      </c>
    </row>
    <row r="8" spans="1:19">
      <c r="A8" s="7">
        <v>3</v>
      </c>
      <c r="B8" s="5" t="s">
        <v>23</v>
      </c>
      <c r="C8" s="7">
        <v>3</v>
      </c>
      <c r="D8" s="6">
        <v>-1.5050730538184729E-2</v>
      </c>
      <c r="E8" s="6">
        <v>-6.7536082130166486E-2</v>
      </c>
      <c r="F8" s="6">
        <v>-4.3185009627833337E-2</v>
      </c>
      <c r="G8" s="6">
        <v>-7.5323778984889289E-2</v>
      </c>
      <c r="H8" s="6">
        <v>5.0292113745403988E-2</v>
      </c>
      <c r="I8" s="6">
        <v>-4.3185009627833337E-2</v>
      </c>
      <c r="J8" s="6">
        <v>-7.0760281112790313E-2</v>
      </c>
      <c r="K8" s="6">
        <v>-0.11301617898291311</v>
      </c>
      <c r="L8" s="5" t="s">
        <v>21</v>
      </c>
    </row>
    <row r="9" spans="1:19">
      <c r="A9" s="7">
        <v>4</v>
      </c>
      <c r="B9" s="5" t="s">
        <v>24</v>
      </c>
      <c r="C9" s="7">
        <v>7</v>
      </c>
      <c r="D9" s="6">
        <v>1.846054884137915E-3</v>
      </c>
      <c r="E9" s="6">
        <v>-4.4937730067518888E-2</v>
      </c>
      <c r="F9" s="6">
        <v>-4.1947677522818923E-2</v>
      </c>
      <c r="G9" s="6">
        <v>1.5809631053266941E-2</v>
      </c>
      <c r="H9" s="6">
        <v>-5.905673326400418E-2</v>
      </c>
      <c r="I9" s="6">
        <v>-4.1947677522818923E-2</v>
      </c>
      <c r="J9" s="6">
        <v>-8.4275164315120277E-2</v>
      </c>
      <c r="K9" s="6">
        <v>-0.1744015509549541</v>
      </c>
      <c r="L9" s="5" t="s">
        <v>21</v>
      </c>
    </row>
    <row r="10" spans="1:19">
      <c r="A10" s="7">
        <v>5</v>
      </c>
      <c r="B10" s="5" t="s">
        <v>25</v>
      </c>
      <c r="C10" s="7">
        <v>3</v>
      </c>
      <c r="D10" s="6">
        <v>4.3784626657203951E-3</v>
      </c>
      <c r="E10" s="6">
        <v>-1.8652790344807931E-2</v>
      </c>
      <c r="F10" s="6">
        <v>-6.0732155592852832E-2</v>
      </c>
      <c r="G10" s="6">
        <v>-4.8257917107195847E-2</v>
      </c>
      <c r="H10" s="6">
        <v>2.0351661450575209E-2</v>
      </c>
      <c r="I10" s="6">
        <v>-6.0732155592852832E-2</v>
      </c>
      <c r="J10" s="6">
        <v>-8.7866086181633274E-2</v>
      </c>
      <c r="K10" s="6">
        <v>-0.14323440928350539</v>
      </c>
      <c r="L10" s="5" t="s">
        <v>21</v>
      </c>
    </row>
    <row r="11" spans="1:19">
      <c r="A11" s="7">
        <v>6</v>
      </c>
      <c r="B11" s="5" t="s">
        <v>26</v>
      </c>
      <c r="C11" s="7">
        <v>6</v>
      </c>
      <c r="D11" s="6">
        <v>8.5606903587767125E-3</v>
      </c>
      <c r="E11" s="6">
        <v>-3.1683662601680318E-3</v>
      </c>
      <c r="F11" s="6">
        <v>2.9629553764541239E-2</v>
      </c>
      <c r="G11" s="6">
        <v>-0.1338274404599045</v>
      </c>
      <c r="H11" s="6">
        <v>-4.7241450770905136E-3</v>
      </c>
      <c r="I11" s="6">
        <v>2.9629553764541239E-2</v>
      </c>
      <c r="J11" s="6">
        <v>-0.1123763007775449</v>
      </c>
      <c r="K11" s="6">
        <v>-0.21790349097061429</v>
      </c>
      <c r="L11" s="5" t="s">
        <v>21</v>
      </c>
    </row>
    <row r="12" spans="1:19">
      <c r="A12" s="7">
        <v>7</v>
      </c>
      <c r="B12" s="5" t="s">
        <v>27</v>
      </c>
      <c r="C12" s="7">
        <v>9</v>
      </c>
      <c r="D12" s="6">
        <v>-6.8803186161597862E-3</v>
      </c>
      <c r="E12" s="6">
        <v>-4.7323225498482002E-2</v>
      </c>
      <c r="F12" s="6">
        <v>3.2894612166291408E-2</v>
      </c>
      <c r="G12" s="6">
        <v>-0.14051035001403839</v>
      </c>
      <c r="H12" s="6">
        <v>-1.073264700499765E-2</v>
      </c>
      <c r="I12" s="6">
        <v>3.2894612166291408E-2</v>
      </c>
      <c r="J12" s="6">
        <v>-0.1217658099416354</v>
      </c>
      <c r="K12" s="6">
        <v>-0.2495668069003025</v>
      </c>
      <c r="L12" s="5" t="s">
        <v>21</v>
      </c>
    </row>
    <row r="13" spans="1:19">
      <c r="A13" s="7">
        <v>8</v>
      </c>
      <c r="B13" s="5" t="s">
        <v>28</v>
      </c>
      <c r="C13" s="7">
        <v>6</v>
      </c>
      <c r="D13" s="6">
        <v>-1.9550045808015559E-3</v>
      </c>
      <c r="E13" s="6">
        <v>-5.9781437846356138E-2</v>
      </c>
      <c r="F13" s="6">
        <v>-5.0706601342844222E-2</v>
      </c>
      <c r="G13" s="6">
        <v>2.4868590324509169E-2</v>
      </c>
      <c r="H13" s="6">
        <v>-0.121389603296435</v>
      </c>
      <c r="I13" s="6">
        <v>-5.0706601342844222E-2</v>
      </c>
      <c r="J13" s="6">
        <v>-0.1451990776072507</v>
      </c>
      <c r="K13" s="6">
        <v>-0.31645119996770382</v>
      </c>
      <c r="L13" s="5" t="s">
        <v>21</v>
      </c>
    </row>
    <row r="14" spans="1:19">
      <c r="A14" s="7">
        <v>9</v>
      </c>
      <c r="B14" s="5" t="s">
        <v>29</v>
      </c>
      <c r="C14" s="7">
        <v>3</v>
      </c>
      <c r="D14" s="6">
        <v>-1.1227343559955799E-2</v>
      </c>
      <c r="E14" s="6">
        <v>-3.8769644197247932E-2</v>
      </c>
      <c r="F14" s="6">
        <v>-9.7370277961441154E-2</v>
      </c>
      <c r="G14" s="6">
        <v>-6.3043749242402969E-2</v>
      </c>
      <c r="H14" s="6">
        <v>8.1851914754895727E-3</v>
      </c>
      <c r="I14" s="6">
        <v>-9.7370277961441154E-2</v>
      </c>
      <c r="J14" s="6">
        <v>-0.14735302235575279</v>
      </c>
      <c r="K14" s="6">
        <v>-0.2432064248257354</v>
      </c>
      <c r="L14" s="5" t="s">
        <v>21</v>
      </c>
    </row>
    <row r="15" spans="1:19">
      <c r="A15" s="7">
        <v>10</v>
      </c>
      <c r="B15" s="5" t="s">
        <v>30</v>
      </c>
      <c r="C15" s="7">
        <v>7</v>
      </c>
      <c r="D15" s="6">
        <v>4.1503109482698966E-3</v>
      </c>
      <c r="E15" s="6">
        <v>-2.030367798939936E-2</v>
      </c>
      <c r="F15" s="6">
        <v>2.0860188697138019E-2</v>
      </c>
      <c r="G15" s="6">
        <v>-0.1003264844998646</v>
      </c>
      <c r="H15" s="6">
        <v>-7.6098315684076323E-2</v>
      </c>
      <c r="I15" s="6">
        <v>2.0860188697138019E-2</v>
      </c>
      <c r="J15" s="6">
        <v>-0.15145092882834951</v>
      </c>
      <c r="K15" s="6">
        <v>-0.27175691084786019</v>
      </c>
      <c r="L15" s="5" t="s">
        <v>21</v>
      </c>
    </row>
    <row r="16" spans="1:19">
      <c r="A16" s="7">
        <v>11</v>
      </c>
      <c r="B16" s="5" t="s">
        <v>31</v>
      </c>
      <c r="C16" s="7">
        <v>8</v>
      </c>
      <c r="D16" s="6">
        <v>6.0952214737477473E-3</v>
      </c>
      <c r="E16" s="6">
        <v>-1.369021364233014E-2</v>
      </c>
      <c r="F16" s="6">
        <v>8.6664520954724544E-3</v>
      </c>
      <c r="G16" s="6">
        <v>-8.610938358407183E-2</v>
      </c>
      <c r="H16" s="6">
        <v>-9.3291586285543127E-2</v>
      </c>
      <c r="I16" s="6">
        <v>8.6664520954724544E-3</v>
      </c>
      <c r="J16" s="6">
        <v>-0.16418638665191301</v>
      </c>
      <c r="K16" s="6">
        <v>-0.17865630885978381</v>
      </c>
      <c r="L16" s="5" t="s">
        <v>21</v>
      </c>
    </row>
    <row r="17" spans="1:12">
      <c r="A17" s="7">
        <v>12</v>
      </c>
      <c r="B17" s="5" t="s">
        <v>32</v>
      </c>
      <c r="C17" s="7">
        <v>7</v>
      </c>
      <c r="D17" s="6">
        <v>-1.962761323957574E-2</v>
      </c>
      <c r="E17" s="6">
        <v>-7.325477538394054E-2</v>
      </c>
      <c r="F17" s="6">
        <v>2.4017524789368139E-2</v>
      </c>
      <c r="G17" s="6">
        <v>-0.1384022639739669</v>
      </c>
      <c r="H17" s="6">
        <v>-7.5131335526940179E-2</v>
      </c>
      <c r="I17" s="6">
        <v>2.4017524789368139E-2</v>
      </c>
      <c r="J17" s="6">
        <v>-0.1839965337433834</v>
      </c>
      <c r="K17" s="6">
        <v>-0.29082669480970419</v>
      </c>
      <c r="L17" s="5" t="s">
        <v>21</v>
      </c>
    </row>
  </sheetData>
  <autoFilter ref="A5:L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31.7109375" customWidth="1"/>
    <col min="3" max="5" width="24.7109375" customWidth="1"/>
    <col min="6" max="18" width="14.7109375" customWidth="1"/>
  </cols>
  <sheetData>
    <row r="1" spans="1:18" ht="24.75">
      <c r="A1" s="4" t="s">
        <v>33</v>
      </c>
      <c r="B1" s="4" t="s">
        <v>34</v>
      </c>
      <c r="C1" s="4" t="s">
        <v>13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5</v>
      </c>
      <c r="L1" s="4" t="s">
        <v>6</v>
      </c>
      <c r="M1" s="4" t="s">
        <v>7</v>
      </c>
      <c r="N1" s="4" t="s">
        <v>15</v>
      </c>
      <c r="O1" s="4" t="s">
        <v>16</v>
      </c>
      <c r="P1" s="4" t="s">
        <v>17</v>
      </c>
      <c r="Q1" s="4" t="s">
        <v>8</v>
      </c>
      <c r="R1" s="4" t="s">
        <v>42</v>
      </c>
    </row>
    <row r="2" spans="1:18">
      <c r="A2" s="5" t="s">
        <v>43</v>
      </c>
      <c r="B2" s="5" t="s">
        <v>44</v>
      </c>
      <c r="C2" s="5" t="s">
        <v>20</v>
      </c>
      <c r="D2" s="5" t="s">
        <v>45</v>
      </c>
      <c r="E2" s="5" t="s">
        <v>46</v>
      </c>
      <c r="F2" s="8">
        <v>186.22</v>
      </c>
      <c r="G2" s="8">
        <v>165.92</v>
      </c>
      <c r="H2" s="8">
        <v>181.38</v>
      </c>
      <c r="I2" s="8">
        <v>188.09</v>
      </c>
      <c r="J2" s="8">
        <v>186.16999816894531</v>
      </c>
      <c r="K2" s="6">
        <f t="shared" ref="K2:K33" si="0">IFERROR(J2/I2-1,"")</f>
        <v>-1.020788894175495E-2</v>
      </c>
      <c r="L2" s="6">
        <f t="shared" ref="L2:L33" si="1">IFERROR(J2/H2-1,"")</f>
        <v>2.6408634738920078E-2</v>
      </c>
      <c r="M2" s="6">
        <f t="shared" ref="M2:M33" si="2">IFERROR(J2/G2-1,"")</f>
        <v>0.12204675849171487</v>
      </c>
      <c r="N2" s="6">
        <v>-0.26243153259585439</v>
      </c>
      <c r="O2" s="6">
        <v>0.20800873680378601</v>
      </c>
      <c r="P2" s="6">
        <v>0.1220467584917149</v>
      </c>
      <c r="Q2" s="6">
        <f t="shared" ref="Q2:Q33" si="3">IFERROR(J2/F2-1,"")</f>
        <v>-2.6850945685041872E-4</v>
      </c>
      <c r="R2" s="6">
        <v>-0.33175813553861022</v>
      </c>
    </row>
    <row r="3" spans="1:18">
      <c r="A3" s="5" t="s">
        <v>47</v>
      </c>
      <c r="B3" s="5" t="s">
        <v>48</v>
      </c>
      <c r="C3" s="5" t="s">
        <v>20</v>
      </c>
      <c r="D3" s="5" t="s">
        <v>45</v>
      </c>
      <c r="E3" s="5" t="s">
        <v>49</v>
      </c>
      <c r="F3" s="8">
        <v>262.11</v>
      </c>
      <c r="G3" s="8">
        <v>250.41</v>
      </c>
      <c r="H3" s="8">
        <v>273.47000000000003</v>
      </c>
      <c r="I3" s="8">
        <v>286.08</v>
      </c>
      <c r="J3" s="8">
        <v>282.260009765625</v>
      </c>
      <c r="K3" s="6">
        <f t="shared" si="0"/>
        <v>-1.3352874141411397E-2</v>
      </c>
      <c r="L3" s="6">
        <f t="shared" si="1"/>
        <v>3.2142501062730755E-2</v>
      </c>
      <c r="M3" s="6">
        <f t="shared" si="2"/>
        <v>0.12719144509254821</v>
      </c>
      <c r="N3" s="6">
        <v>-0.16172599290374279</v>
      </c>
      <c r="O3" s="6">
        <v>0.1396777717094484</v>
      </c>
      <c r="P3" s="6">
        <v>0.12719144509254821</v>
      </c>
      <c r="Q3" s="6">
        <f t="shared" si="3"/>
        <v>7.6876157970413139E-2</v>
      </c>
      <c r="R3" s="6">
        <v>-0.26210369692113999</v>
      </c>
    </row>
    <row r="4" spans="1:18">
      <c r="A4" s="5" t="s">
        <v>50</v>
      </c>
      <c r="B4" s="5" t="s">
        <v>51</v>
      </c>
      <c r="C4" s="5" t="s">
        <v>20</v>
      </c>
      <c r="D4" s="5" t="s">
        <v>52</v>
      </c>
      <c r="E4" s="5" t="s">
        <v>49</v>
      </c>
      <c r="F4" s="8">
        <v>605.63</v>
      </c>
      <c r="G4" s="8">
        <v>395.9</v>
      </c>
      <c r="H4" s="8">
        <v>308.11</v>
      </c>
      <c r="I4" s="8">
        <v>311.74</v>
      </c>
      <c r="J4" s="8">
        <v>311.32998657226562</v>
      </c>
      <c r="K4" s="6">
        <f t="shared" si="0"/>
        <v>-1.3152416364097252E-3</v>
      </c>
      <c r="L4" s="6">
        <f t="shared" si="1"/>
        <v>1.0450769440347951E-2</v>
      </c>
      <c r="M4" s="6">
        <f t="shared" si="2"/>
        <v>-0.21361458304555281</v>
      </c>
      <c r="N4" s="6">
        <v>-0.12973267506563421</v>
      </c>
      <c r="O4" s="6">
        <v>-0.2488521230979395</v>
      </c>
      <c r="P4" s="6">
        <v>-0.21361458304555281</v>
      </c>
      <c r="Q4" s="6">
        <f t="shared" si="3"/>
        <v>-0.48594028272663903</v>
      </c>
      <c r="R4" s="6">
        <v>-0.50697620659478559</v>
      </c>
    </row>
    <row r="5" spans="1:18">
      <c r="A5" s="5" t="s">
        <v>53</v>
      </c>
      <c r="B5" s="5" t="s">
        <v>54</v>
      </c>
      <c r="C5" s="5" t="s">
        <v>20</v>
      </c>
      <c r="D5" s="5" t="s">
        <v>45</v>
      </c>
      <c r="E5" s="5" t="s">
        <v>49</v>
      </c>
      <c r="F5" s="8">
        <v>200.84</v>
      </c>
      <c r="G5" s="8">
        <v>184.02</v>
      </c>
      <c r="H5" s="8">
        <v>205.62</v>
      </c>
      <c r="I5" s="8">
        <v>258.11</v>
      </c>
      <c r="J5" s="8">
        <v>255.55499267578119</v>
      </c>
      <c r="K5" s="6">
        <f t="shared" si="0"/>
        <v>-9.8989086986898123E-3</v>
      </c>
      <c r="L5" s="6">
        <f t="shared" si="1"/>
        <v>0.24285085437107856</v>
      </c>
      <c r="M5" s="6">
        <f t="shared" si="2"/>
        <v>0.38873488031616765</v>
      </c>
      <c r="N5" s="6">
        <v>-0.17292372037442741</v>
      </c>
      <c r="O5" s="6">
        <v>0.10782011919812159</v>
      </c>
      <c r="P5" s="6">
        <v>0.38873488031616771</v>
      </c>
      <c r="Q5" s="6">
        <f t="shared" si="3"/>
        <v>0.27243075421121876</v>
      </c>
      <c r="R5" s="6">
        <v>-0.2525393347938657</v>
      </c>
    </row>
    <row r="6" spans="1:18">
      <c r="A6" s="5" t="s">
        <v>55</v>
      </c>
      <c r="B6" s="5" t="s">
        <v>56</v>
      </c>
      <c r="C6" s="5" t="s">
        <v>20</v>
      </c>
      <c r="D6" s="5" t="s">
        <v>45</v>
      </c>
      <c r="E6" s="5" t="s">
        <v>46</v>
      </c>
      <c r="F6" s="8">
        <v>269.13</v>
      </c>
      <c r="G6" s="8">
        <v>267.97000000000003</v>
      </c>
      <c r="H6" s="8">
        <v>227.67</v>
      </c>
      <c r="I6" s="8">
        <v>223.84</v>
      </c>
      <c r="J6" s="8">
        <v>213.44999694824219</v>
      </c>
      <c r="K6" s="6">
        <f t="shared" si="0"/>
        <v>-4.6417097264822238E-2</v>
      </c>
      <c r="L6" s="6">
        <f t="shared" si="1"/>
        <v>-6.2458835383483957E-2</v>
      </c>
      <c r="M6" s="6">
        <f t="shared" si="2"/>
        <v>-0.20345562209112156</v>
      </c>
      <c r="N6" s="6">
        <v>-3.2586482369115211E-2</v>
      </c>
      <c r="O6" s="6">
        <v>2.9228760178214849E-2</v>
      </c>
      <c r="P6" s="6">
        <v>-0.20345562209112161</v>
      </c>
      <c r="Q6" s="6">
        <f t="shared" si="3"/>
        <v>-0.20688887545705725</v>
      </c>
      <c r="R6" s="6">
        <v>-0.25923998976837692</v>
      </c>
    </row>
    <row r="7" spans="1:18">
      <c r="A7" s="5" t="s">
        <v>57</v>
      </c>
      <c r="B7" s="5" t="s">
        <v>58</v>
      </c>
      <c r="C7" s="5" t="s">
        <v>20</v>
      </c>
      <c r="D7" s="5" t="s">
        <v>45</v>
      </c>
      <c r="E7" s="5" t="s">
        <v>46</v>
      </c>
      <c r="F7" s="8">
        <v>322.14</v>
      </c>
      <c r="G7" s="8">
        <v>316.07</v>
      </c>
      <c r="H7" s="8">
        <v>345.88</v>
      </c>
      <c r="I7" s="8">
        <v>344.93</v>
      </c>
      <c r="J7" s="8">
        <v>343.52999877929687</v>
      </c>
      <c r="K7" s="6">
        <f t="shared" si="0"/>
        <v>-4.0587980770102616E-3</v>
      </c>
      <c r="L7" s="6">
        <f t="shared" si="1"/>
        <v>-6.7942674358248967E-3</v>
      </c>
      <c r="M7" s="6">
        <f t="shared" si="2"/>
        <v>8.6879484858723988E-2</v>
      </c>
      <c r="N7" s="6">
        <v>-0.1452474079592723</v>
      </c>
      <c r="O7" s="6">
        <v>0.1478845106228435</v>
      </c>
      <c r="P7" s="6">
        <v>8.6879484858723988E-2</v>
      </c>
      <c r="Q7" s="6">
        <f t="shared" si="3"/>
        <v>6.6399698203566393E-2</v>
      </c>
      <c r="R7" s="6">
        <v>-0.20820140311665741</v>
      </c>
    </row>
    <row r="8" spans="1:18">
      <c r="A8" s="5" t="s">
        <v>59</v>
      </c>
      <c r="B8" s="5" t="s">
        <v>60</v>
      </c>
      <c r="C8" s="5" t="s">
        <v>20</v>
      </c>
      <c r="D8" s="5" t="s">
        <v>45</v>
      </c>
      <c r="E8" s="5" t="s">
        <v>49</v>
      </c>
      <c r="F8" s="8">
        <v>127.65</v>
      </c>
      <c r="G8" s="8">
        <v>111.23</v>
      </c>
      <c r="H8" s="8">
        <v>125.8</v>
      </c>
      <c r="I8" s="8">
        <v>142.9</v>
      </c>
      <c r="J8" s="8">
        <v>138.22999572753909</v>
      </c>
      <c r="K8" s="6">
        <f t="shared" si="0"/>
        <v>-3.2680225839474608E-2</v>
      </c>
      <c r="L8" s="6">
        <f t="shared" si="1"/>
        <v>9.8807597198244057E-2</v>
      </c>
      <c r="M8" s="6">
        <f t="shared" si="2"/>
        <v>0.24274022950228424</v>
      </c>
      <c r="N8" s="6">
        <v>-0.16709753231492369</v>
      </c>
      <c r="O8" s="6">
        <v>4.6181339352896922E-2</v>
      </c>
      <c r="P8" s="6">
        <v>0.24274022950228419</v>
      </c>
      <c r="Q8" s="6">
        <f t="shared" si="3"/>
        <v>8.2882849412762027E-2</v>
      </c>
      <c r="R8" s="6">
        <v>-0.29870740305522919</v>
      </c>
    </row>
    <row r="9" spans="1:18">
      <c r="A9" s="5" t="s">
        <v>61</v>
      </c>
      <c r="B9" s="5" t="s">
        <v>62</v>
      </c>
      <c r="C9" s="5" t="s">
        <v>20</v>
      </c>
      <c r="D9" s="5" t="s">
        <v>45</v>
      </c>
      <c r="E9" s="5" t="s">
        <v>49</v>
      </c>
      <c r="F9" s="8">
        <v>152.16999999999999</v>
      </c>
      <c r="G9" s="8">
        <v>123.06</v>
      </c>
      <c r="H9" s="8">
        <v>177.5</v>
      </c>
      <c r="I9" s="8">
        <v>179.92</v>
      </c>
      <c r="J9" s="8">
        <v>171.1199951171875</v>
      </c>
      <c r="K9" s="6">
        <f t="shared" si="0"/>
        <v>-4.8910654084106775E-2</v>
      </c>
      <c r="L9" s="6">
        <f t="shared" si="1"/>
        <v>-3.5943689480633756E-2</v>
      </c>
      <c r="M9" s="6">
        <f t="shared" si="2"/>
        <v>0.39054115973661219</v>
      </c>
      <c r="N9" s="6">
        <v>-0.1502924360912137</v>
      </c>
      <c r="O9" s="6">
        <v>-4.8259860788863129E-2</v>
      </c>
      <c r="P9" s="6">
        <v>0.39054115973661219</v>
      </c>
      <c r="Q9" s="6">
        <f t="shared" si="3"/>
        <v>0.12453174158630165</v>
      </c>
      <c r="R9" s="6">
        <v>-0.29506473023592028</v>
      </c>
    </row>
    <row r="10" spans="1:18">
      <c r="A10" s="5" t="s">
        <v>63</v>
      </c>
      <c r="B10" s="5" t="s">
        <v>64</v>
      </c>
      <c r="C10" s="5" t="s">
        <v>20</v>
      </c>
      <c r="D10" s="5" t="s">
        <v>45</v>
      </c>
      <c r="E10" s="5" t="s">
        <v>46</v>
      </c>
      <c r="F10" s="8">
        <v>148.88</v>
      </c>
      <c r="G10" s="8">
        <v>160.34</v>
      </c>
      <c r="H10" s="8">
        <v>190.75</v>
      </c>
      <c r="I10" s="8">
        <v>198.38</v>
      </c>
      <c r="J10" s="8">
        <v>198.46000671386719</v>
      </c>
      <c r="K10" s="6">
        <f t="shared" si="0"/>
        <v>4.0330030178048482E-4</v>
      </c>
      <c r="L10" s="6">
        <f t="shared" si="1"/>
        <v>4.0419432313851589E-2</v>
      </c>
      <c r="M10" s="6">
        <f t="shared" si="2"/>
        <v>0.23774483418901826</v>
      </c>
      <c r="N10" s="6">
        <v>-9.0542718968296576E-2</v>
      </c>
      <c r="O10" s="6">
        <v>0.18419497784342689</v>
      </c>
      <c r="P10" s="6">
        <v>0.23774483418901829</v>
      </c>
      <c r="Q10" s="6">
        <f t="shared" si="3"/>
        <v>0.3330199268798173</v>
      </c>
      <c r="R10" s="6">
        <v>-0.24073078989790431</v>
      </c>
    </row>
    <row r="11" spans="1:18">
      <c r="A11" s="5" t="s">
        <v>65</v>
      </c>
      <c r="B11" s="5" t="s">
        <v>66</v>
      </c>
      <c r="C11" s="5" t="s">
        <v>30</v>
      </c>
      <c r="D11" s="5" t="s">
        <v>45</v>
      </c>
      <c r="E11" s="5" t="s">
        <v>49</v>
      </c>
      <c r="F11" s="8">
        <v>521.54</v>
      </c>
      <c r="G11" s="8">
        <v>476.15</v>
      </c>
      <c r="H11" s="8">
        <v>480.93</v>
      </c>
      <c r="I11" s="8">
        <v>459.61</v>
      </c>
      <c r="J11" s="8">
        <v>456.70001220703119</v>
      </c>
      <c r="K11" s="6">
        <f t="shared" si="0"/>
        <v>-6.33142836963696E-3</v>
      </c>
      <c r="L11" s="6">
        <f t="shared" si="1"/>
        <v>-5.0381527026737372E-2</v>
      </c>
      <c r="M11" s="6">
        <f t="shared" si="2"/>
        <v>-4.084844648318553E-2</v>
      </c>
      <c r="N11" s="6">
        <v>-7.1327223223528469E-3</v>
      </c>
      <c r="O11" s="6">
        <v>-8.0471978679850231E-2</v>
      </c>
      <c r="P11" s="6">
        <v>-4.084844648318553E-2</v>
      </c>
      <c r="Q11" s="6">
        <f t="shared" si="3"/>
        <v>-0.12432409363225982</v>
      </c>
      <c r="R11" s="6">
        <v>-0.26053949837324197</v>
      </c>
    </row>
    <row r="12" spans="1:18">
      <c r="A12" s="5" t="s">
        <v>67</v>
      </c>
      <c r="B12" s="5" t="s">
        <v>68</v>
      </c>
      <c r="C12" s="5" t="s">
        <v>30</v>
      </c>
      <c r="D12" s="5" t="s">
        <v>45</v>
      </c>
      <c r="E12" s="5" t="s">
        <v>49</v>
      </c>
      <c r="F12" s="8">
        <v>481.57</v>
      </c>
      <c r="G12" s="8">
        <v>389.28</v>
      </c>
      <c r="H12" s="8">
        <v>355.59</v>
      </c>
      <c r="I12" s="8">
        <v>369.68</v>
      </c>
      <c r="J12" s="8">
        <v>369.60000610351562</v>
      </c>
      <c r="K12" s="6">
        <f t="shared" si="0"/>
        <v>-2.1638686562530651E-4</v>
      </c>
      <c r="L12" s="6">
        <f t="shared" si="1"/>
        <v>3.9399325356493931E-2</v>
      </c>
      <c r="M12" s="6">
        <f t="shared" si="2"/>
        <v>-5.0554854851223685E-2</v>
      </c>
      <c r="N12" s="6">
        <v>-0.25151068380505442</v>
      </c>
      <c r="O12" s="6">
        <v>7.9983354140657381E-2</v>
      </c>
      <c r="P12" s="6">
        <v>-5.0554854851223692E-2</v>
      </c>
      <c r="Q12" s="6">
        <f t="shared" si="3"/>
        <v>-0.23251031811882872</v>
      </c>
      <c r="R12" s="6">
        <v>-0.26160267458521091</v>
      </c>
    </row>
    <row r="13" spans="1:18">
      <c r="A13" s="5" t="s">
        <v>69</v>
      </c>
      <c r="B13" s="5" t="s">
        <v>70</v>
      </c>
      <c r="C13" s="5" t="s">
        <v>30</v>
      </c>
      <c r="D13" s="5" t="s">
        <v>45</v>
      </c>
      <c r="E13" s="5" t="s">
        <v>46</v>
      </c>
      <c r="F13" s="8">
        <v>107.93</v>
      </c>
      <c r="G13" s="8">
        <v>90.2</v>
      </c>
      <c r="H13" s="8">
        <v>88.24</v>
      </c>
      <c r="I13" s="8">
        <v>88.97</v>
      </c>
      <c r="J13" s="8">
        <v>89.30999755859375</v>
      </c>
      <c r="K13" s="6">
        <f t="shared" si="0"/>
        <v>3.821485428725957E-3</v>
      </c>
      <c r="L13" s="6">
        <f t="shared" si="1"/>
        <v>1.212599227780764E-2</v>
      </c>
      <c r="M13" s="6">
        <f t="shared" si="2"/>
        <v>-9.866989372574908E-3</v>
      </c>
      <c r="N13" s="6">
        <v>0.1150745853794124</v>
      </c>
      <c r="O13" s="6">
        <v>-0.25051931865392602</v>
      </c>
      <c r="P13" s="6">
        <v>-9.866989372574908E-3</v>
      </c>
      <c r="Q13" s="6">
        <f t="shared" si="3"/>
        <v>-0.17251924804416063</v>
      </c>
      <c r="R13" s="6">
        <v>-0.41904356463743442</v>
      </c>
    </row>
    <row r="14" spans="1:18">
      <c r="A14" s="5" t="s">
        <v>71</v>
      </c>
      <c r="B14" s="5" t="s">
        <v>72</v>
      </c>
      <c r="C14" s="5" t="s">
        <v>30</v>
      </c>
      <c r="D14" s="5" t="s">
        <v>45</v>
      </c>
      <c r="E14" s="5" t="s">
        <v>46</v>
      </c>
      <c r="F14" s="8">
        <v>1624.99</v>
      </c>
      <c r="G14" s="8">
        <v>1426.03</v>
      </c>
      <c r="H14" s="8">
        <v>1303.8800000000001</v>
      </c>
      <c r="I14" s="8">
        <v>1225.96</v>
      </c>
      <c r="J14" s="8">
        <v>1236.650024414062</v>
      </c>
      <c r="K14" s="6">
        <f t="shared" si="0"/>
        <v>8.719717131115301E-3</v>
      </c>
      <c r="L14" s="6">
        <f t="shared" si="1"/>
        <v>-5.156147466479899E-2</v>
      </c>
      <c r="M14" s="6">
        <f t="shared" si="2"/>
        <v>-0.13280223809172176</v>
      </c>
      <c r="N14" s="6">
        <v>-0.2072812755770804</v>
      </c>
      <c r="O14" s="6">
        <v>0.1070286299838528</v>
      </c>
      <c r="P14" s="6">
        <v>-0.13280223809172181</v>
      </c>
      <c r="Q14" s="6">
        <f t="shared" si="3"/>
        <v>-0.23897991716006739</v>
      </c>
      <c r="R14" s="6">
        <v>-0.27453266188923542</v>
      </c>
    </row>
    <row r="15" spans="1:18">
      <c r="A15" s="5" t="s">
        <v>73</v>
      </c>
      <c r="B15" s="5" t="s">
        <v>74</v>
      </c>
      <c r="C15" s="5" t="s">
        <v>30</v>
      </c>
      <c r="D15" s="5" t="s">
        <v>45</v>
      </c>
      <c r="E15" s="5" t="s">
        <v>49</v>
      </c>
      <c r="F15" s="8">
        <v>290.79000000000002</v>
      </c>
      <c r="G15" s="8">
        <v>187.56</v>
      </c>
      <c r="H15" s="8">
        <v>245.11</v>
      </c>
      <c r="I15" s="8">
        <v>210.39</v>
      </c>
      <c r="J15" s="8">
        <v>204.97999572753909</v>
      </c>
      <c r="K15" s="6">
        <f t="shared" si="0"/>
        <v>-2.5714170219406363E-2</v>
      </c>
      <c r="L15" s="6">
        <f t="shared" si="1"/>
        <v>-0.16372242777716506</v>
      </c>
      <c r="M15" s="6">
        <f t="shared" si="2"/>
        <v>9.2876923264763711E-2</v>
      </c>
      <c r="N15" s="6">
        <v>-0.15647030503112219</v>
      </c>
      <c r="O15" s="6">
        <v>-0.23535407069183409</v>
      </c>
      <c r="P15" s="6">
        <v>9.2876923264763711E-2</v>
      </c>
      <c r="Q15" s="6">
        <f t="shared" si="3"/>
        <v>-0.2950926932578869</v>
      </c>
      <c r="R15" s="6">
        <v>-0.48361406946244029</v>
      </c>
    </row>
    <row r="16" spans="1:18">
      <c r="A16" s="5" t="s">
        <v>75</v>
      </c>
      <c r="B16" s="5" t="s">
        <v>76</v>
      </c>
      <c r="C16" s="5" t="s">
        <v>30</v>
      </c>
      <c r="D16" s="5" t="s">
        <v>45</v>
      </c>
      <c r="E16" s="5" t="s">
        <v>49</v>
      </c>
      <c r="F16" s="8">
        <v>1064.0999999999999</v>
      </c>
      <c r="G16" s="8">
        <v>823.03</v>
      </c>
      <c r="H16" s="8">
        <v>938.4</v>
      </c>
      <c r="I16" s="8">
        <v>933.44</v>
      </c>
      <c r="J16" s="8">
        <v>942.3699951171875</v>
      </c>
      <c r="K16" s="6">
        <f t="shared" si="0"/>
        <v>9.5667585674359401E-3</v>
      </c>
      <c r="L16" s="6">
        <f t="shared" si="1"/>
        <v>4.2306000822542877E-3</v>
      </c>
      <c r="M16" s="6">
        <f t="shared" si="2"/>
        <v>0.14500078383192294</v>
      </c>
      <c r="N16" s="6">
        <v>-8.3206465557748355E-2</v>
      </c>
      <c r="O16" s="6">
        <v>-0.15635122391241951</v>
      </c>
      <c r="P16" s="6">
        <v>0.14500078383192291</v>
      </c>
      <c r="Q16" s="6">
        <f t="shared" si="3"/>
        <v>-0.11439714771432419</v>
      </c>
      <c r="R16" s="6">
        <v>-0.39104782623026468</v>
      </c>
    </row>
    <row r="17" spans="1:18">
      <c r="A17" s="5" t="s">
        <v>77</v>
      </c>
      <c r="B17" s="5" t="s">
        <v>78</v>
      </c>
      <c r="C17" s="5" t="s">
        <v>30</v>
      </c>
      <c r="D17" s="5" t="s">
        <v>45</v>
      </c>
      <c r="E17" s="5" t="s">
        <v>49</v>
      </c>
      <c r="F17" s="8">
        <v>222.82</v>
      </c>
      <c r="G17" s="8">
        <v>200.75</v>
      </c>
      <c r="H17" s="8">
        <v>209.66</v>
      </c>
      <c r="I17" s="8">
        <v>217.44</v>
      </c>
      <c r="J17" s="8">
        <v>225.9649963378906</v>
      </c>
      <c r="K17" s="6">
        <f t="shared" si="0"/>
        <v>3.9206200965280491E-2</v>
      </c>
      <c r="L17" s="6">
        <f t="shared" si="1"/>
        <v>7.776875101540881E-2</v>
      </c>
      <c r="M17" s="6">
        <f t="shared" si="2"/>
        <v>0.12560396681390085</v>
      </c>
      <c r="N17" s="6">
        <v>-0.12561709002782509</v>
      </c>
      <c r="O17" s="6">
        <v>3.03854642508854E-2</v>
      </c>
      <c r="P17" s="6">
        <v>0.12560396681390079</v>
      </c>
      <c r="Q17" s="6">
        <f t="shared" si="3"/>
        <v>1.4114515473882872E-2</v>
      </c>
      <c r="R17" s="6">
        <v>-0.14724890045776859</v>
      </c>
    </row>
    <row r="18" spans="1:18">
      <c r="A18" s="5" t="s">
        <v>79</v>
      </c>
      <c r="B18" s="5" t="s">
        <v>80</v>
      </c>
      <c r="C18" s="5" t="s">
        <v>29</v>
      </c>
      <c r="D18" s="5" t="s">
        <v>81</v>
      </c>
      <c r="E18" s="5" t="s">
        <v>46</v>
      </c>
      <c r="F18" s="8">
        <v>827.28</v>
      </c>
      <c r="G18" s="8">
        <v>797.43</v>
      </c>
      <c r="H18" s="8">
        <v>763.59</v>
      </c>
      <c r="I18" s="8">
        <v>735.25</v>
      </c>
      <c r="J18" s="8">
        <v>727.03997802734375</v>
      </c>
      <c r="K18" s="6">
        <f t="shared" si="0"/>
        <v>-1.1166299860804196E-2</v>
      </c>
      <c r="L18" s="6">
        <f t="shared" si="1"/>
        <v>-4.7866030163643214E-2</v>
      </c>
      <c r="M18" s="6">
        <f t="shared" si="2"/>
        <v>-8.827109836933178E-2</v>
      </c>
      <c r="N18" s="6">
        <v>-6.3606034232666087E-2</v>
      </c>
      <c r="O18" s="6">
        <v>2.9393540391913889E-2</v>
      </c>
      <c r="P18" s="6">
        <v>-8.827109836933178E-2</v>
      </c>
      <c r="Q18" s="6">
        <f t="shared" si="3"/>
        <v>-0.12116819211470875</v>
      </c>
      <c r="R18" s="6">
        <v>-0.2260381180370131</v>
      </c>
    </row>
    <row r="19" spans="1:18">
      <c r="A19" s="5" t="s">
        <v>82</v>
      </c>
      <c r="B19" s="5" t="s">
        <v>83</v>
      </c>
      <c r="C19" s="5" t="s">
        <v>29</v>
      </c>
      <c r="D19" s="5" t="s">
        <v>81</v>
      </c>
      <c r="E19" s="5" t="s">
        <v>46</v>
      </c>
      <c r="F19" s="8">
        <v>1883.26</v>
      </c>
      <c r="G19" s="8">
        <v>1729.69</v>
      </c>
      <c r="H19" s="8">
        <v>1615.69</v>
      </c>
      <c r="I19" s="8">
        <v>1554.37</v>
      </c>
      <c r="J19" s="8">
        <v>1536.93994140625</v>
      </c>
      <c r="K19" s="6">
        <f t="shared" si="0"/>
        <v>-1.1213584020374756E-2</v>
      </c>
      <c r="L19" s="6">
        <f t="shared" si="1"/>
        <v>-4.8740821935984058E-2</v>
      </c>
      <c r="M19" s="6">
        <f t="shared" si="2"/>
        <v>-0.11143618717443593</v>
      </c>
      <c r="N19" s="6">
        <v>-7.5379926298015154E-2</v>
      </c>
      <c r="O19" s="6">
        <v>-6.6674323781082956E-3</v>
      </c>
      <c r="P19" s="6">
        <v>-0.1114361871744359</v>
      </c>
      <c r="Q19" s="6">
        <f t="shared" si="3"/>
        <v>-0.18389391724655646</v>
      </c>
      <c r="R19" s="6">
        <v>-0.26507493309976732</v>
      </c>
    </row>
    <row r="20" spans="1:18">
      <c r="A20" s="5" t="s">
        <v>84</v>
      </c>
      <c r="B20" s="5" t="s">
        <v>85</v>
      </c>
      <c r="C20" s="5" t="s">
        <v>29</v>
      </c>
      <c r="D20" s="5" t="s">
        <v>81</v>
      </c>
      <c r="E20" s="5" t="s">
        <v>49</v>
      </c>
      <c r="F20" s="8">
        <v>706.06</v>
      </c>
      <c r="G20" s="8">
        <v>667.36</v>
      </c>
      <c r="H20" s="8">
        <v>616.73</v>
      </c>
      <c r="I20" s="8">
        <v>611.39</v>
      </c>
      <c r="J20" s="8">
        <v>604.47998046875</v>
      </c>
      <c r="K20" s="6">
        <f t="shared" si="0"/>
        <v>-1.130214679868824E-2</v>
      </c>
      <c r="L20" s="6">
        <f t="shared" si="1"/>
        <v>-1.9862856568109266E-2</v>
      </c>
      <c r="M20" s="6">
        <f t="shared" si="2"/>
        <v>-9.4222038376962969E-2</v>
      </c>
      <c r="N20" s="6">
        <v>-5.3465711129365823E-2</v>
      </c>
      <c r="O20" s="6">
        <v>-1.4214960123295479E-3</v>
      </c>
      <c r="P20" s="6">
        <v>-9.4222038376962969E-2</v>
      </c>
      <c r="Q20" s="6">
        <f t="shared" si="3"/>
        <v>-0.14386882068273232</v>
      </c>
      <c r="R20" s="6">
        <v>-0.24184613721728321</v>
      </c>
    </row>
    <row r="21" spans="1:18">
      <c r="A21" s="5" t="s">
        <v>86</v>
      </c>
      <c r="B21" s="5" t="s">
        <v>87</v>
      </c>
      <c r="C21" s="5" t="s">
        <v>32</v>
      </c>
      <c r="D21" s="5" t="s">
        <v>45</v>
      </c>
      <c r="E21" s="5" t="s">
        <v>49</v>
      </c>
      <c r="F21" s="8">
        <v>175.33</v>
      </c>
      <c r="G21" s="8">
        <v>180.35</v>
      </c>
      <c r="H21" s="8">
        <v>202.25</v>
      </c>
      <c r="I21" s="8">
        <v>189.26</v>
      </c>
      <c r="J21" s="8">
        <v>185.8399963378906</v>
      </c>
      <c r="K21" s="6">
        <f t="shared" si="0"/>
        <v>-1.8070398721913739E-2</v>
      </c>
      <c r="L21" s="6">
        <f t="shared" si="1"/>
        <v>-8.1137224534533536E-2</v>
      </c>
      <c r="M21" s="6">
        <f t="shared" si="2"/>
        <v>3.0440789231442222E-2</v>
      </c>
      <c r="N21" s="6">
        <v>-8.7492157645582602E-2</v>
      </c>
      <c r="O21" s="6">
        <v>0.12725795362210121</v>
      </c>
      <c r="P21" s="6">
        <v>3.0440789231442219E-2</v>
      </c>
      <c r="Q21" s="6">
        <f t="shared" si="3"/>
        <v>5.9944084514290674E-2</v>
      </c>
      <c r="R21" s="6">
        <v>-0.15505990586221649</v>
      </c>
    </row>
    <row r="22" spans="1:18">
      <c r="A22" s="5" t="s">
        <v>88</v>
      </c>
      <c r="B22" s="5" t="s">
        <v>89</v>
      </c>
      <c r="C22" s="5" t="s">
        <v>32</v>
      </c>
      <c r="D22" s="5" t="s">
        <v>45</v>
      </c>
      <c r="E22" s="5" t="s">
        <v>46</v>
      </c>
      <c r="F22" s="8">
        <v>74.2</v>
      </c>
      <c r="G22" s="8">
        <v>80.349999999999994</v>
      </c>
      <c r="H22" s="8">
        <v>80.67</v>
      </c>
      <c r="I22" s="8">
        <v>81.59</v>
      </c>
      <c r="J22" s="8">
        <v>78.867500305175795</v>
      </c>
      <c r="K22" s="6">
        <f t="shared" si="0"/>
        <v>-3.3368056070893548E-2</v>
      </c>
      <c r="L22" s="6">
        <f t="shared" si="1"/>
        <v>-2.234411422863769E-2</v>
      </c>
      <c r="M22" s="6">
        <f t="shared" si="2"/>
        <v>-1.8450525137824525E-2</v>
      </c>
      <c r="N22" s="6">
        <v>0.1090970350404312</v>
      </c>
      <c r="O22" s="6">
        <v>-2.3634485691718891E-2</v>
      </c>
      <c r="P22" s="6">
        <v>-1.8450525137824521E-2</v>
      </c>
      <c r="Q22" s="6">
        <f t="shared" si="3"/>
        <v>6.2904316781345004E-2</v>
      </c>
      <c r="R22" s="6">
        <v>-0.1841538112522686</v>
      </c>
    </row>
    <row r="23" spans="1:18">
      <c r="A23" s="5" t="s">
        <v>90</v>
      </c>
      <c r="B23" s="5" t="s">
        <v>91</v>
      </c>
      <c r="C23" s="5" t="s">
        <v>32</v>
      </c>
      <c r="D23" s="5" t="s">
        <v>45</v>
      </c>
      <c r="E23" s="5" t="s">
        <v>49</v>
      </c>
      <c r="F23" s="8">
        <v>627</v>
      </c>
      <c r="G23" s="8">
        <v>377.05</v>
      </c>
      <c r="H23" s="8">
        <v>404.03</v>
      </c>
      <c r="I23" s="8">
        <v>360.33</v>
      </c>
      <c r="J23" s="8">
        <v>351.05999755859381</v>
      </c>
      <c r="K23" s="6">
        <f t="shared" si="0"/>
        <v>-2.5726424226143241E-2</v>
      </c>
      <c r="L23" s="6">
        <f t="shared" si="1"/>
        <v>-0.1311041319738786</v>
      </c>
      <c r="M23" s="6">
        <f t="shared" si="2"/>
        <v>-6.8929856627519492E-2</v>
      </c>
      <c r="N23" s="6">
        <v>-0.32622009569378002</v>
      </c>
      <c r="O23" s="6">
        <v>-0.1074894664583629</v>
      </c>
      <c r="P23" s="6">
        <v>-6.8929856627519492E-2</v>
      </c>
      <c r="Q23" s="6">
        <f t="shared" si="3"/>
        <v>-0.44009569767369405</v>
      </c>
      <c r="R23" s="6">
        <v>-0.47309409888357262</v>
      </c>
    </row>
    <row r="24" spans="1:18">
      <c r="A24" s="5" t="s">
        <v>92</v>
      </c>
      <c r="B24" s="5" t="s">
        <v>93</v>
      </c>
      <c r="C24" s="5" t="s">
        <v>32</v>
      </c>
      <c r="D24" s="5" t="s">
        <v>45</v>
      </c>
      <c r="E24" s="5" t="s">
        <v>49</v>
      </c>
      <c r="F24" s="8">
        <v>426.89</v>
      </c>
      <c r="G24" s="8">
        <v>262.89</v>
      </c>
      <c r="H24" s="8">
        <v>294.37</v>
      </c>
      <c r="I24" s="8">
        <v>272.02999999999997</v>
      </c>
      <c r="J24" s="8">
        <v>266.19000244140619</v>
      </c>
      <c r="K24" s="6">
        <f t="shared" si="0"/>
        <v>-2.146821144209754E-2</v>
      </c>
      <c r="L24" s="6">
        <f t="shared" si="1"/>
        <v>-9.5729855483214332E-2</v>
      </c>
      <c r="M24" s="6">
        <f t="shared" si="2"/>
        <v>1.2552788015543381E-2</v>
      </c>
      <c r="N24" s="6">
        <v>-0.21909625430438751</v>
      </c>
      <c r="O24" s="6">
        <v>-0.2113930885529158</v>
      </c>
      <c r="P24" s="6">
        <v>1.255278801554338E-2</v>
      </c>
      <c r="Q24" s="6">
        <f t="shared" si="3"/>
        <v>-0.37644357459437749</v>
      </c>
      <c r="R24" s="6">
        <v>-0.47984258239827582</v>
      </c>
    </row>
    <row r="25" spans="1:18">
      <c r="A25" s="5" t="s">
        <v>94</v>
      </c>
      <c r="B25" s="5" t="s">
        <v>95</v>
      </c>
      <c r="C25" s="5" t="s">
        <v>32</v>
      </c>
      <c r="D25" s="5" t="s">
        <v>45</v>
      </c>
      <c r="E25" s="5" t="s">
        <v>49</v>
      </c>
      <c r="F25" s="8">
        <v>128</v>
      </c>
      <c r="G25" s="8">
        <v>115.99</v>
      </c>
      <c r="H25" s="8">
        <v>112.36</v>
      </c>
      <c r="I25" s="8">
        <v>109.74</v>
      </c>
      <c r="J25" s="8">
        <v>109.09999847412109</v>
      </c>
      <c r="K25" s="6">
        <f t="shared" si="0"/>
        <v>-5.8319803706843309E-3</v>
      </c>
      <c r="L25" s="6">
        <f t="shared" si="1"/>
        <v>-2.9013897524732157E-2</v>
      </c>
      <c r="M25" s="6">
        <f t="shared" si="2"/>
        <v>-5.940168571324167E-2</v>
      </c>
      <c r="N25" s="6">
        <v>-0.119609375</v>
      </c>
      <c r="O25" s="6">
        <v>2.928387612033001E-2</v>
      </c>
      <c r="P25" s="6">
        <v>-5.940168571324167E-2</v>
      </c>
      <c r="Q25" s="6">
        <f t="shared" si="3"/>
        <v>-0.14765626192092896</v>
      </c>
      <c r="R25" s="6">
        <v>-0.16076924250676081</v>
      </c>
    </row>
    <row r="26" spans="1:18">
      <c r="A26" s="5" t="s">
        <v>96</v>
      </c>
      <c r="B26" s="5" t="s">
        <v>97</v>
      </c>
      <c r="C26" s="5" t="s">
        <v>32</v>
      </c>
      <c r="D26" s="5" t="s">
        <v>45</v>
      </c>
      <c r="E26" s="5" t="s">
        <v>46</v>
      </c>
      <c r="F26" s="8">
        <v>200.4</v>
      </c>
      <c r="G26" s="8">
        <v>138.25</v>
      </c>
      <c r="H26" s="8">
        <v>152.78</v>
      </c>
      <c r="I26" s="8">
        <v>145.56</v>
      </c>
      <c r="J26" s="8">
        <v>143.3500061035156</v>
      </c>
      <c r="K26" s="6">
        <f t="shared" si="0"/>
        <v>-1.5182700580409492E-2</v>
      </c>
      <c r="L26" s="6">
        <f t="shared" si="1"/>
        <v>-6.1722698628645101E-2</v>
      </c>
      <c r="M26" s="6">
        <f t="shared" si="2"/>
        <v>3.6889736734289968E-2</v>
      </c>
      <c r="N26" s="6">
        <v>-1.801397205588828E-2</v>
      </c>
      <c r="O26" s="6">
        <v>-0.29747446516591292</v>
      </c>
      <c r="P26" s="6">
        <v>3.6889736734289968E-2</v>
      </c>
      <c r="Q26" s="6">
        <f t="shared" si="3"/>
        <v>-0.28468060826589026</v>
      </c>
      <c r="R26" s="6">
        <v>-0.51484219171653178</v>
      </c>
    </row>
    <row r="27" spans="1:18">
      <c r="A27" s="5" t="s">
        <v>98</v>
      </c>
      <c r="B27" s="5" t="s">
        <v>99</v>
      </c>
      <c r="C27" s="5" t="s">
        <v>32</v>
      </c>
      <c r="D27" s="5" t="s">
        <v>45</v>
      </c>
      <c r="E27" s="5" t="s">
        <v>46</v>
      </c>
      <c r="F27" s="8">
        <v>1029.1500000000001</v>
      </c>
      <c r="G27" s="8">
        <v>713.94</v>
      </c>
      <c r="H27" s="8">
        <v>939.03</v>
      </c>
      <c r="I27" s="8">
        <v>868.95</v>
      </c>
      <c r="J27" s="8">
        <v>853.530029296875</v>
      </c>
      <c r="K27" s="6">
        <f t="shared" si="0"/>
        <v>-1.7745521264888708E-2</v>
      </c>
      <c r="L27" s="6">
        <f t="shared" si="1"/>
        <v>-9.1051372909411787E-2</v>
      </c>
      <c r="M27" s="6">
        <f t="shared" si="2"/>
        <v>0.19552067302136722</v>
      </c>
      <c r="N27" s="6">
        <v>-0.29230918719331489</v>
      </c>
      <c r="O27" s="6">
        <v>-1.9744068541300511E-2</v>
      </c>
      <c r="P27" s="6">
        <v>0.19552067302136719</v>
      </c>
      <c r="Q27" s="6">
        <f t="shared" si="3"/>
        <v>-0.17064565000546572</v>
      </c>
      <c r="R27" s="6">
        <v>-0.41471116941165043</v>
      </c>
    </row>
    <row r="28" spans="1:18">
      <c r="A28" s="5" t="s">
        <v>100</v>
      </c>
      <c r="B28" s="5" t="s">
        <v>101</v>
      </c>
      <c r="C28" s="5" t="s">
        <v>23</v>
      </c>
      <c r="D28" s="5" t="s">
        <v>102</v>
      </c>
      <c r="E28" s="5" t="s">
        <v>49</v>
      </c>
      <c r="F28" s="8">
        <v>187.26</v>
      </c>
      <c r="G28" s="8">
        <v>188.52</v>
      </c>
      <c r="H28" s="8">
        <v>193.43</v>
      </c>
      <c r="I28" s="8">
        <v>183.27</v>
      </c>
      <c r="J28" s="8">
        <v>181.71000671386719</v>
      </c>
      <c r="K28" s="6">
        <f t="shared" si="0"/>
        <v>-8.5119947952900787E-3</v>
      </c>
      <c r="L28" s="6">
        <f t="shared" si="1"/>
        <v>-6.0590359748398992E-2</v>
      </c>
      <c r="M28" s="6">
        <f t="shared" si="2"/>
        <v>-3.6123452610507201E-2</v>
      </c>
      <c r="N28" s="6">
        <v>-7.4548755740681316E-2</v>
      </c>
      <c r="O28" s="6">
        <v>8.7824581650317368E-2</v>
      </c>
      <c r="P28" s="6">
        <v>-3.6123452610507201E-2</v>
      </c>
      <c r="Q28" s="6">
        <f t="shared" si="3"/>
        <v>-2.9637900705611453E-2</v>
      </c>
      <c r="R28" s="6">
        <v>-0.1147079881354197</v>
      </c>
    </row>
    <row r="29" spans="1:18">
      <c r="A29" s="5" t="s">
        <v>103</v>
      </c>
      <c r="B29" s="5" t="s">
        <v>104</v>
      </c>
      <c r="C29" s="5" t="s">
        <v>23</v>
      </c>
      <c r="D29" s="5" t="s">
        <v>102</v>
      </c>
      <c r="E29" s="5" t="s">
        <v>49</v>
      </c>
      <c r="F29" s="8">
        <v>1071.8</v>
      </c>
      <c r="G29" s="8">
        <v>1019.28</v>
      </c>
      <c r="H29" s="8">
        <v>1079.6099999999999</v>
      </c>
      <c r="I29" s="8">
        <v>1027.5899999999999</v>
      </c>
      <c r="J29" s="8">
        <v>1013.419982910156</v>
      </c>
      <c r="K29" s="6">
        <f t="shared" si="0"/>
        <v>-1.3789563045420783E-2</v>
      </c>
      <c r="L29" s="6">
        <f t="shared" si="1"/>
        <v>-6.1309192291516323E-2</v>
      </c>
      <c r="M29" s="6">
        <f t="shared" si="2"/>
        <v>-5.7491730337532188E-3</v>
      </c>
      <c r="N29" s="6">
        <v>-6.5105430117559204E-2</v>
      </c>
      <c r="O29" s="6">
        <v>1.7225205085726891E-2</v>
      </c>
      <c r="P29" s="6">
        <v>-5.7491730337532188E-3</v>
      </c>
      <c r="Q29" s="6">
        <f t="shared" si="3"/>
        <v>-5.4469133317637586E-2</v>
      </c>
      <c r="R29" s="6">
        <v>-0.104933957022779</v>
      </c>
    </row>
    <row r="30" spans="1:18">
      <c r="A30" s="5" t="s">
        <v>105</v>
      </c>
      <c r="B30" s="5" t="s">
        <v>106</v>
      </c>
      <c r="C30" s="5" t="s">
        <v>23</v>
      </c>
      <c r="D30" s="5" t="s">
        <v>102</v>
      </c>
      <c r="E30" s="5" t="s">
        <v>46</v>
      </c>
      <c r="F30" s="8">
        <v>128.46</v>
      </c>
      <c r="G30" s="8">
        <v>122.32</v>
      </c>
      <c r="H30" s="8">
        <v>121.43</v>
      </c>
      <c r="I30" s="8">
        <v>114.22</v>
      </c>
      <c r="J30" s="8">
        <v>111.61000061035161</v>
      </c>
      <c r="K30" s="6">
        <f t="shared" si="0"/>
        <v>-2.2850633773843443E-2</v>
      </c>
      <c r="L30" s="6">
        <f t="shared" si="1"/>
        <v>-8.0869631801436248E-2</v>
      </c>
      <c r="M30" s="6">
        <f t="shared" si="2"/>
        <v>-8.7557221955922082E-2</v>
      </c>
      <c r="N30" s="6">
        <v>-8.7965125330842331E-2</v>
      </c>
      <c r="O30" s="6">
        <v>4.4042335268009492E-2</v>
      </c>
      <c r="P30" s="6">
        <v>-8.7557221955922082E-2</v>
      </c>
      <c r="Q30" s="6">
        <f t="shared" si="3"/>
        <v>-0.13116923080841036</v>
      </c>
      <c r="R30" s="6">
        <v>-0.1612054666289523</v>
      </c>
    </row>
    <row r="31" spans="1:18">
      <c r="A31" s="5" t="s">
        <v>107</v>
      </c>
      <c r="B31" s="5" t="s">
        <v>108</v>
      </c>
      <c r="C31" s="5" t="s">
        <v>22</v>
      </c>
      <c r="D31" s="5" t="s">
        <v>45</v>
      </c>
      <c r="E31" s="5" t="s">
        <v>46</v>
      </c>
      <c r="F31" s="8">
        <v>160.32</v>
      </c>
      <c r="G31" s="8">
        <v>115.18</v>
      </c>
      <c r="H31" s="8">
        <v>108.06</v>
      </c>
      <c r="I31" s="8">
        <v>106.46</v>
      </c>
      <c r="J31" s="8">
        <v>105.2600021362305</v>
      </c>
      <c r="K31" s="6">
        <f t="shared" si="0"/>
        <v>-1.1271819122388615E-2</v>
      </c>
      <c r="L31" s="6">
        <f t="shared" si="1"/>
        <v>-2.5911510862201559E-2</v>
      </c>
      <c r="M31" s="6">
        <f t="shared" si="2"/>
        <v>-8.6126045005812668E-2</v>
      </c>
      <c r="N31" s="6">
        <v>-0.29409930139720553</v>
      </c>
      <c r="O31" s="6">
        <v>1.7760890695414089E-2</v>
      </c>
      <c r="P31" s="6">
        <v>-8.6126045005812668E-2</v>
      </c>
      <c r="Q31" s="6">
        <f t="shared" si="3"/>
        <v>-0.343438110427704</v>
      </c>
      <c r="R31" s="6">
        <v>-0.34360188241312989</v>
      </c>
    </row>
    <row r="32" spans="1:18">
      <c r="A32" s="5" t="s">
        <v>109</v>
      </c>
      <c r="B32" s="5" t="s">
        <v>110</v>
      </c>
      <c r="C32" s="5" t="s">
        <v>22</v>
      </c>
      <c r="D32" s="5" t="s">
        <v>45</v>
      </c>
      <c r="E32" s="5" t="s">
        <v>49</v>
      </c>
      <c r="F32" s="8">
        <v>192.23750000000001</v>
      </c>
      <c r="G32" s="8">
        <v>190.86</v>
      </c>
      <c r="H32" s="8">
        <v>189.18</v>
      </c>
      <c r="I32" s="8">
        <v>215.07</v>
      </c>
      <c r="J32" s="8">
        <v>205.6000061035156</v>
      </c>
      <c r="K32" s="6">
        <f t="shared" si="0"/>
        <v>-4.4032147191539472E-2</v>
      </c>
      <c r="L32" s="6">
        <f t="shared" si="1"/>
        <v>8.6795676622875462E-2</v>
      </c>
      <c r="M32" s="6">
        <f t="shared" si="2"/>
        <v>7.7229414772689742E-2</v>
      </c>
      <c r="N32" s="6">
        <v>9.0643084725923195E-3</v>
      </c>
      <c r="O32" s="6">
        <v>-1.6084132384781791E-2</v>
      </c>
      <c r="P32" s="6">
        <v>7.7229414772689742E-2</v>
      </c>
      <c r="Q32" s="6">
        <f t="shared" si="3"/>
        <v>6.9510403035389023E-2</v>
      </c>
      <c r="R32" s="6">
        <v>-0.17802509643949799</v>
      </c>
    </row>
    <row r="33" spans="1:18">
      <c r="A33" s="5" t="s">
        <v>111</v>
      </c>
      <c r="B33" s="5" t="s">
        <v>112</v>
      </c>
      <c r="C33" s="5" t="s">
        <v>22</v>
      </c>
      <c r="D33" s="5" t="s">
        <v>45</v>
      </c>
      <c r="E33" s="5" t="s">
        <v>49</v>
      </c>
      <c r="F33" s="8">
        <v>148.86000000000001</v>
      </c>
      <c r="G33" s="8">
        <v>161.94999999999999</v>
      </c>
      <c r="H33" s="8">
        <v>157.54</v>
      </c>
      <c r="I33" s="8">
        <v>161.85</v>
      </c>
      <c r="J33" s="8">
        <v>154.9049987792969</v>
      </c>
      <c r="K33" s="6">
        <f t="shared" si="0"/>
        <v>-4.2910109488434323E-2</v>
      </c>
      <c r="L33" s="6">
        <f t="shared" si="1"/>
        <v>-1.6725918628304526E-2</v>
      </c>
      <c r="M33" s="6">
        <f t="shared" si="2"/>
        <v>-4.3501088117956721E-2</v>
      </c>
      <c r="N33" s="6">
        <v>4.96439607685073E-2</v>
      </c>
      <c r="O33" s="6">
        <v>3.6479999999999853E-2</v>
      </c>
      <c r="P33" s="6">
        <v>-4.3501088117956721E-2</v>
      </c>
      <c r="Q33" s="6">
        <f t="shared" si="3"/>
        <v>4.060861735386867E-2</v>
      </c>
      <c r="R33" s="6">
        <v>-0.10398716501277561</v>
      </c>
    </row>
    <row r="34" spans="1:18">
      <c r="A34" s="5" t="s">
        <v>113</v>
      </c>
      <c r="B34" s="5" t="s">
        <v>114</v>
      </c>
      <c r="C34" s="5" t="s">
        <v>22</v>
      </c>
      <c r="D34" s="5" t="s">
        <v>45</v>
      </c>
      <c r="E34" s="5" t="s">
        <v>46</v>
      </c>
      <c r="F34" s="8">
        <v>27.53</v>
      </c>
      <c r="G34" s="8">
        <v>27.45</v>
      </c>
      <c r="H34" s="8">
        <v>29.64</v>
      </c>
      <c r="I34" s="8">
        <v>30.02</v>
      </c>
      <c r="J34" s="8">
        <v>30.514999389648441</v>
      </c>
      <c r="K34" s="6">
        <f t="shared" ref="K34:K65" si="4">IFERROR(J34/I34-1,"")</f>
        <v>1.6488986996950006E-2</v>
      </c>
      <c r="L34" s="6">
        <f t="shared" ref="L34:L65" si="5">IFERROR(J34/H34-1,"")</f>
        <v>2.9520897086654507E-2</v>
      </c>
      <c r="M34" s="6">
        <f t="shared" ref="M34:M65" si="6">IFERROR(J34/G34-1,"")</f>
        <v>0.11165753696351333</v>
      </c>
      <c r="N34" s="6">
        <v>-3.1238648746821581E-2</v>
      </c>
      <c r="O34" s="6">
        <v>2.924634420697414E-2</v>
      </c>
      <c r="P34" s="6">
        <v>0.1116575369635133</v>
      </c>
      <c r="Q34" s="6">
        <f t="shared" ref="Q34:Q65" si="7">IFERROR(J34/F34-1,"")</f>
        <v>0.10842714818919141</v>
      </c>
      <c r="R34" s="6">
        <v>-0.16418452597166719</v>
      </c>
    </row>
    <row r="35" spans="1:18">
      <c r="A35" s="5" t="s">
        <v>115</v>
      </c>
      <c r="B35" s="5" t="s">
        <v>116</v>
      </c>
      <c r="C35" s="5" t="s">
        <v>22</v>
      </c>
      <c r="D35" s="5" t="s">
        <v>45</v>
      </c>
      <c r="E35" s="5" t="s">
        <v>49</v>
      </c>
      <c r="F35" s="8">
        <v>297.18</v>
      </c>
      <c r="G35" s="8">
        <v>331.83</v>
      </c>
      <c r="H35" s="8">
        <v>339.31</v>
      </c>
      <c r="I35" s="8">
        <v>362.09</v>
      </c>
      <c r="J35" s="8">
        <v>333.54000854492187</v>
      </c>
      <c r="K35" s="6">
        <f t="shared" si="4"/>
        <v>-7.884777667176146E-2</v>
      </c>
      <c r="L35" s="6">
        <f t="shared" si="5"/>
        <v>-1.7005073399186998E-2</v>
      </c>
      <c r="M35" s="6">
        <f t="shared" si="6"/>
        <v>5.1532668683418326E-3</v>
      </c>
      <c r="N35" s="6">
        <v>0.1712093680597617</v>
      </c>
      <c r="O35" s="6">
        <v>-4.6629891398034862E-2</v>
      </c>
      <c r="P35" s="6">
        <v>5.1532668683418334E-3</v>
      </c>
      <c r="Q35" s="6">
        <f t="shared" si="7"/>
        <v>0.12235011960738218</v>
      </c>
      <c r="R35" s="6">
        <v>-0.1577272511491872</v>
      </c>
    </row>
    <row r="36" spans="1:18">
      <c r="A36" s="5" t="s">
        <v>117</v>
      </c>
      <c r="B36" s="5" t="s">
        <v>118</v>
      </c>
      <c r="C36" s="5" t="s">
        <v>27</v>
      </c>
      <c r="D36" s="5" t="s">
        <v>45</v>
      </c>
      <c r="E36" s="5" t="s">
        <v>49</v>
      </c>
      <c r="F36" s="8">
        <v>435.31</v>
      </c>
      <c r="G36" s="8">
        <v>405.37</v>
      </c>
      <c r="H36" s="8">
        <v>463.82</v>
      </c>
      <c r="I36" s="8">
        <v>425</v>
      </c>
      <c r="J36" s="8">
        <v>444.1099853515625</v>
      </c>
      <c r="K36" s="6">
        <f t="shared" si="4"/>
        <v>4.4964671415441249E-2</v>
      </c>
      <c r="L36" s="6">
        <f t="shared" si="5"/>
        <v>-4.2494964961488302E-2</v>
      </c>
      <c r="M36" s="6">
        <f t="shared" si="6"/>
        <v>9.5566976716487284E-2</v>
      </c>
      <c r="N36" s="6">
        <v>-9.416278054719629E-2</v>
      </c>
      <c r="O36" s="6">
        <v>2.8022925542706471E-2</v>
      </c>
      <c r="P36" s="6">
        <v>9.5566976716487284E-2</v>
      </c>
      <c r="Q36" s="6">
        <f t="shared" si="7"/>
        <v>2.0215444973840535E-2</v>
      </c>
      <c r="R36" s="6">
        <v>-0.19211435065786611</v>
      </c>
    </row>
    <row r="37" spans="1:18">
      <c r="A37" s="5" t="s">
        <v>119</v>
      </c>
      <c r="B37" s="5" t="s">
        <v>120</v>
      </c>
      <c r="C37" s="5" t="s">
        <v>27</v>
      </c>
      <c r="D37" s="5" t="s">
        <v>45</v>
      </c>
      <c r="E37" s="5" t="s">
        <v>46</v>
      </c>
      <c r="F37" s="8">
        <v>159.43</v>
      </c>
      <c r="G37" s="8">
        <v>113.75</v>
      </c>
      <c r="H37" s="8">
        <v>111.82</v>
      </c>
      <c r="I37" s="8">
        <v>106.86</v>
      </c>
      <c r="J37" s="8">
        <v>106.3399963378906</v>
      </c>
      <c r="K37" s="6">
        <f t="shared" si="4"/>
        <v>-4.8662143188228368E-3</v>
      </c>
      <c r="L37" s="6">
        <f t="shared" si="5"/>
        <v>-4.9007365964133354E-2</v>
      </c>
      <c r="M37" s="6">
        <f t="shared" si="6"/>
        <v>-6.5142889337225562E-2</v>
      </c>
      <c r="N37" s="6">
        <v>-0.1415981935645739</v>
      </c>
      <c r="O37" s="6">
        <v>-0.1688283219465857</v>
      </c>
      <c r="P37" s="6">
        <v>-6.5142889337225562E-2</v>
      </c>
      <c r="Q37" s="6">
        <f t="shared" si="7"/>
        <v>-0.33299883122442075</v>
      </c>
      <c r="R37" s="6">
        <v>-0.36434873819954339</v>
      </c>
    </row>
    <row r="38" spans="1:18">
      <c r="A38" s="5" t="s">
        <v>121</v>
      </c>
      <c r="B38" s="5" t="s">
        <v>122</v>
      </c>
      <c r="C38" s="5" t="s">
        <v>27</v>
      </c>
      <c r="D38" s="5" t="s">
        <v>45</v>
      </c>
      <c r="E38" s="5" t="s">
        <v>49</v>
      </c>
      <c r="F38" s="8">
        <v>56.15</v>
      </c>
      <c r="G38" s="8">
        <v>47.9</v>
      </c>
      <c r="H38" s="8">
        <v>55.23</v>
      </c>
      <c r="I38" s="8">
        <v>50.87</v>
      </c>
      <c r="J38" s="8">
        <v>50.200000762939453</v>
      </c>
      <c r="K38" s="6">
        <f t="shared" si="4"/>
        <v>-1.3170812601937198E-2</v>
      </c>
      <c r="L38" s="6">
        <f t="shared" si="5"/>
        <v>-9.1073678020288651E-2</v>
      </c>
      <c r="M38" s="6">
        <f t="shared" si="6"/>
        <v>4.8016717389132602E-2</v>
      </c>
      <c r="N38" s="6">
        <v>-0.26571682991985762</v>
      </c>
      <c r="O38" s="6">
        <v>0.16177540625757961</v>
      </c>
      <c r="P38" s="6">
        <v>4.8016717389132602E-2</v>
      </c>
      <c r="Q38" s="6">
        <f t="shared" si="7"/>
        <v>-0.10596614847837127</v>
      </c>
      <c r="R38" s="6">
        <v>-0.26571682991985762</v>
      </c>
    </row>
    <row r="39" spans="1:18">
      <c r="A39" s="5" t="s">
        <v>123</v>
      </c>
      <c r="B39" s="5" t="s">
        <v>124</v>
      </c>
      <c r="C39" s="5" t="s">
        <v>27</v>
      </c>
      <c r="D39" s="5" t="s">
        <v>45</v>
      </c>
      <c r="E39" s="5" t="s">
        <v>46</v>
      </c>
      <c r="F39" s="8">
        <v>373.16</v>
      </c>
      <c r="G39" s="8">
        <v>315.05</v>
      </c>
      <c r="H39" s="8">
        <v>310.91000000000003</v>
      </c>
      <c r="I39" s="8">
        <v>299.14</v>
      </c>
      <c r="J39" s="8">
        <v>299.14498901367187</v>
      </c>
      <c r="K39" s="6">
        <f t="shared" si="4"/>
        <v>1.6677855425140109E-5</v>
      </c>
      <c r="L39" s="6">
        <f t="shared" si="5"/>
        <v>-3.7840567966061389E-2</v>
      </c>
      <c r="M39" s="6">
        <f t="shared" si="6"/>
        <v>-5.0484085022466707E-2</v>
      </c>
      <c r="N39" s="6">
        <v>-8.5378925929896043E-2</v>
      </c>
      <c r="O39" s="6">
        <v>-7.6911807793729858E-2</v>
      </c>
      <c r="P39" s="6">
        <v>-5.0484085022466707E-2</v>
      </c>
      <c r="Q39" s="6">
        <f t="shared" si="7"/>
        <v>-0.19834658319843534</v>
      </c>
      <c r="R39" s="6">
        <v>-0.2554002541296061</v>
      </c>
    </row>
    <row r="40" spans="1:18">
      <c r="A40" s="5" t="s">
        <v>125</v>
      </c>
      <c r="B40" s="5" t="s">
        <v>126</v>
      </c>
      <c r="C40" s="5" t="s">
        <v>27</v>
      </c>
      <c r="D40" s="5" t="s">
        <v>45</v>
      </c>
      <c r="E40" s="5" t="s">
        <v>46</v>
      </c>
      <c r="F40" s="8">
        <v>175.64</v>
      </c>
      <c r="G40" s="8">
        <v>178.5</v>
      </c>
      <c r="H40" s="8">
        <v>193.85</v>
      </c>
      <c r="I40" s="8">
        <v>183.16</v>
      </c>
      <c r="J40" s="8">
        <v>181.22999572753909</v>
      </c>
      <c r="K40" s="6">
        <f t="shared" si="4"/>
        <v>-1.0537258530579297E-2</v>
      </c>
      <c r="L40" s="6">
        <f t="shared" si="5"/>
        <v>-6.5101904939184441E-2</v>
      </c>
      <c r="M40" s="6">
        <f t="shared" si="6"/>
        <v>1.5294093711703649E-2</v>
      </c>
      <c r="N40" s="6">
        <v>-0.1222386700068322</v>
      </c>
      <c r="O40" s="6">
        <v>0.15781280404748019</v>
      </c>
      <c r="P40" s="6">
        <v>1.5294093711703651E-2</v>
      </c>
      <c r="Q40" s="6">
        <f t="shared" si="7"/>
        <v>3.1826438895121267E-2</v>
      </c>
      <c r="R40" s="6">
        <v>-0.1581069140711289</v>
      </c>
    </row>
    <row r="41" spans="1:18">
      <c r="A41" s="5" t="s">
        <v>127</v>
      </c>
      <c r="B41" s="5" t="s">
        <v>128</v>
      </c>
      <c r="C41" s="5" t="s">
        <v>27</v>
      </c>
      <c r="D41" s="5" t="s">
        <v>45</v>
      </c>
      <c r="E41" s="5" t="s">
        <v>49</v>
      </c>
      <c r="F41" s="8">
        <v>50.17</v>
      </c>
      <c r="G41" s="8">
        <v>28.4</v>
      </c>
      <c r="H41" s="8">
        <v>37.39</v>
      </c>
      <c r="I41" s="8">
        <v>36.71</v>
      </c>
      <c r="J41" s="8">
        <v>35.790000915527337</v>
      </c>
      <c r="K41" s="6">
        <f t="shared" si="4"/>
        <v>-2.506126626185412E-2</v>
      </c>
      <c r="L41" s="6">
        <f t="shared" si="5"/>
        <v>-4.2792165939359861E-2</v>
      </c>
      <c r="M41" s="6">
        <f t="shared" si="6"/>
        <v>0.2602112998425119</v>
      </c>
      <c r="N41" s="6">
        <v>-0.45744468806059402</v>
      </c>
      <c r="O41" s="6">
        <v>4.3350477590007319E-2</v>
      </c>
      <c r="P41" s="6">
        <v>0.2602112998425119</v>
      </c>
      <c r="Q41" s="6">
        <f t="shared" si="7"/>
        <v>-0.28662545514197058</v>
      </c>
      <c r="R41" s="6">
        <v>-0.52501494917281244</v>
      </c>
    </row>
    <row r="42" spans="1:18">
      <c r="A42" s="5" t="s">
        <v>129</v>
      </c>
      <c r="B42" s="5" t="s">
        <v>130</v>
      </c>
      <c r="C42" s="5" t="s">
        <v>27</v>
      </c>
      <c r="D42" s="5" t="s">
        <v>45</v>
      </c>
      <c r="E42" s="5" t="s">
        <v>46</v>
      </c>
      <c r="F42" s="8">
        <v>1716.36</v>
      </c>
      <c r="G42" s="8">
        <v>1214.83</v>
      </c>
      <c r="H42" s="8">
        <v>1499.37</v>
      </c>
      <c r="I42" s="8">
        <v>1536.87</v>
      </c>
      <c r="J42" s="8">
        <v>1534.68994140625</v>
      </c>
      <c r="K42" s="6">
        <f t="shared" si="4"/>
        <v>-1.4185055299080762E-3</v>
      </c>
      <c r="L42" s="6">
        <f t="shared" si="5"/>
        <v>2.3556521343130798E-2</v>
      </c>
      <c r="M42" s="6">
        <f t="shared" si="6"/>
        <v>0.26329605081060725</v>
      </c>
      <c r="N42" s="6">
        <v>1.6686476030669532E-2</v>
      </c>
      <c r="O42" s="6">
        <v>-0.3038223495702006</v>
      </c>
      <c r="P42" s="6">
        <v>0.26329605081060731</v>
      </c>
      <c r="Q42" s="6">
        <f t="shared" si="7"/>
        <v>-0.10584612703264462</v>
      </c>
      <c r="R42" s="6">
        <v>-0.56492933618843688</v>
      </c>
    </row>
    <row r="43" spans="1:18">
      <c r="A43" s="5" t="s">
        <v>131</v>
      </c>
      <c r="B43" s="5" t="s">
        <v>132</v>
      </c>
      <c r="C43" s="5" t="s">
        <v>27</v>
      </c>
      <c r="D43" s="5" t="s">
        <v>45</v>
      </c>
      <c r="E43" s="5" t="s">
        <v>46</v>
      </c>
      <c r="F43" s="8">
        <v>926.61</v>
      </c>
      <c r="G43" s="8">
        <v>856.13</v>
      </c>
      <c r="H43" s="8">
        <v>846.37</v>
      </c>
      <c r="I43" s="8">
        <v>816.64</v>
      </c>
      <c r="J43" s="8">
        <v>792.29998779296875</v>
      </c>
      <c r="K43" s="6">
        <f t="shared" si="4"/>
        <v>-2.9805069806807416E-2</v>
      </c>
      <c r="L43" s="6">
        <f t="shared" si="5"/>
        <v>-6.3884603904948545E-2</v>
      </c>
      <c r="M43" s="6">
        <f t="shared" si="6"/>
        <v>-7.4556448444782042E-2</v>
      </c>
      <c r="N43" s="6">
        <v>-0.11488112582424111</v>
      </c>
      <c r="O43" s="6">
        <v>4.385729613733913E-2</v>
      </c>
      <c r="P43" s="6">
        <v>-7.4556448444782042E-2</v>
      </c>
      <c r="Q43" s="6">
        <f t="shared" si="7"/>
        <v>-0.14494772580376991</v>
      </c>
      <c r="R43" s="6">
        <v>-0.31858981390077151</v>
      </c>
    </row>
    <row r="44" spans="1:18">
      <c r="A44" s="5" t="s">
        <v>133</v>
      </c>
      <c r="B44" s="5" t="s">
        <v>134</v>
      </c>
      <c r="C44" s="5" t="s">
        <v>27</v>
      </c>
      <c r="D44" s="5" t="s">
        <v>45</v>
      </c>
      <c r="E44" s="5" t="s">
        <v>46</v>
      </c>
      <c r="F44" s="8">
        <v>563.1</v>
      </c>
      <c r="G44" s="8">
        <v>544.84</v>
      </c>
      <c r="H44" s="8">
        <v>468.88</v>
      </c>
      <c r="I44" s="8">
        <v>450.44</v>
      </c>
      <c r="J44" s="8">
        <v>440.510009765625</v>
      </c>
      <c r="K44" s="6">
        <f t="shared" si="4"/>
        <v>-2.2045089766395076E-2</v>
      </c>
      <c r="L44" s="6">
        <f t="shared" si="5"/>
        <v>-6.050586553995696E-2</v>
      </c>
      <c r="M44" s="6">
        <f t="shared" si="6"/>
        <v>-0.19148739122379965</v>
      </c>
      <c r="N44" s="6">
        <v>-4.2798792399218688E-2</v>
      </c>
      <c r="O44" s="6">
        <v>1.083487940630801E-2</v>
      </c>
      <c r="P44" s="6">
        <v>-0.19148739122379971</v>
      </c>
      <c r="Q44" s="6">
        <f t="shared" si="7"/>
        <v>-0.2177055411727491</v>
      </c>
      <c r="R44" s="6">
        <v>-0.41800785280677538</v>
      </c>
    </row>
    <row r="45" spans="1:18">
      <c r="A45" s="5" t="s">
        <v>135</v>
      </c>
      <c r="B45" s="5" t="s">
        <v>136</v>
      </c>
      <c r="C45" s="5" t="s">
        <v>31</v>
      </c>
      <c r="D45" s="5" t="s">
        <v>45</v>
      </c>
      <c r="E45" s="5" t="s">
        <v>46</v>
      </c>
      <c r="F45" s="8">
        <v>315.2</v>
      </c>
      <c r="G45" s="8">
        <v>308.91000000000003</v>
      </c>
      <c r="H45" s="8">
        <v>313.45</v>
      </c>
      <c r="I45" s="8">
        <v>325.13</v>
      </c>
      <c r="J45" s="8">
        <v>324.239990234375</v>
      </c>
      <c r="K45" s="6">
        <f t="shared" si="4"/>
        <v>-2.7373966278873008E-3</v>
      </c>
      <c r="L45" s="6">
        <f t="shared" si="5"/>
        <v>3.4423321851571265E-2</v>
      </c>
      <c r="M45" s="6">
        <f t="shared" si="6"/>
        <v>4.9626073077514432E-2</v>
      </c>
      <c r="N45" s="6">
        <v>-2.0843908629441629E-2</v>
      </c>
      <c r="O45" s="6">
        <v>9.0723520072577557E-4</v>
      </c>
      <c r="P45" s="6">
        <v>4.9626073077514432E-2</v>
      </c>
      <c r="Q45" s="6">
        <f t="shared" si="7"/>
        <v>2.8680172063372478E-2</v>
      </c>
      <c r="R45" s="6">
        <v>-0.1270621827411168</v>
      </c>
    </row>
    <row r="46" spans="1:18">
      <c r="A46" s="5" t="s">
        <v>137</v>
      </c>
      <c r="B46" s="5" t="s">
        <v>138</v>
      </c>
      <c r="C46" s="5" t="s">
        <v>31</v>
      </c>
      <c r="D46" s="5" t="s">
        <v>45</v>
      </c>
      <c r="E46" s="5" t="s">
        <v>46</v>
      </c>
      <c r="F46" s="8">
        <v>423.2</v>
      </c>
      <c r="G46" s="8">
        <v>367.41</v>
      </c>
      <c r="H46" s="8">
        <v>371.8</v>
      </c>
      <c r="I46" s="8">
        <v>354.52</v>
      </c>
      <c r="J46" s="8">
        <v>357.97000122070313</v>
      </c>
      <c r="K46" s="6">
        <f t="shared" si="4"/>
        <v>9.7314713435154854E-3</v>
      </c>
      <c r="L46" s="6">
        <f t="shared" si="5"/>
        <v>-3.7197414683423524E-2</v>
      </c>
      <c r="M46" s="6">
        <f t="shared" si="6"/>
        <v>-2.5693363760640464E-2</v>
      </c>
      <c r="N46" s="6">
        <v>-0.1087901701323251</v>
      </c>
      <c r="O46" s="6">
        <v>-2.5851097677378251E-2</v>
      </c>
      <c r="P46" s="6">
        <v>-2.5693363760640461E-2</v>
      </c>
      <c r="Q46" s="6">
        <f t="shared" si="7"/>
        <v>-0.15413515779607012</v>
      </c>
      <c r="R46" s="6">
        <v>-0.20676573583550331</v>
      </c>
    </row>
    <row r="47" spans="1:18">
      <c r="A47" s="5" t="s">
        <v>139</v>
      </c>
      <c r="B47" s="5" t="s">
        <v>140</v>
      </c>
      <c r="C47" s="5" t="s">
        <v>31</v>
      </c>
      <c r="D47" s="5" t="s">
        <v>81</v>
      </c>
      <c r="E47" s="5" t="s">
        <v>49</v>
      </c>
      <c r="F47" s="8">
        <v>490.12</v>
      </c>
      <c r="G47" s="8">
        <v>527.76</v>
      </c>
      <c r="H47" s="8">
        <v>607.48</v>
      </c>
      <c r="I47" s="8">
        <v>518.29999999999995</v>
      </c>
      <c r="J47" s="8">
        <v>507.57000732421881</v>
      </c>
      <c r="K47" s="6">
        <f t="shared" si="4"/>
        <v>-2.070228183635181E-2</v>
      </c>
      <c r="L47" s="6">
        <f t="shared" si="5"/>
        <v>-0.16446630782211957</v>
      </c>
      <c r="M47" s="6">
        <f t="shared" si="6"/>
        <v>-3.8256011588186256E-2</v>
      </c>
      <c r="N47" s="6">
        <v>0.21815065698196359</v>
      </c>
      <c r="O47" s="6">
        <v>-0.116039126356693</v>
      </c>
      <c r="P47" s="6">
        <v>-3.8256011588186263E-2</v>
      </c>
      <c r="Q47" s="6">
        <f t="shared" si="7"/>
        <v>3.5603540610909201E-2</v>
      </c>
      <c r="R47" s="6">
        <v>-0.23259844486775141</v>
      </c>
    </row>
    <row r="48" spans="1:18">
      <c r="A48" s="5" t="s">
        <v>141</v>
      </c>
      <c r="B48" s="5" t="s">
        <v>142</v>
      </c>
      <c r="C48" s="5" t="s">
        <v>31</v>
      </c>
      <c r="D48" s="5" t="s">
        <v>45</v>
      </c>
      <c r="E48" s="5" t="s">
        <v>46</v>
      </c>
      <c r="F48" s="8">
        <v>323.62</v>
      </c>
      <c r="G48" s="8">
        <v>229.16</v>
      </c>
      <c r="H48" s="8">
        <v>223.15</v>
      </c>
      <c r="I48" s="8">
        <v>222.4</v>
      </c>
      <c r="J48" s="8">
        <v>228.0299987792969</v>
      </c>
      <c r="K48" s="6">
        <f t="shared" si="4"/>
        <v>2.5314742712665872E-2</v>
      </c>
      <c r="L48" s="6">
        <f t="shared" si="5"/>
        <v>2.1868692714752003E-2</v>
      </c>
      <c r="M48" s="6">
        <f t="shared" si="6"/>
        <v>-4.9310578665696658E-3</v>
      </c>
      <c r="N48" s="6">
        <v>-0.15530560533959581</v>
      </c>
      <c r="O48" s="6">
        <v>-0.16169154228855731</v>
      </c>
      <c r="P48" s="6">
        <v>-4.9310578665696658E-3</v>
      </c>
      <c r="Q48" s="6">
        <f t="shared" si="7"/>
        <v>-0.295377298129606</v>
      </c>
      <c r="R48" s="6">
        <v>-0.31277424139422783</v>
      </c>
    </row>
    <row r="49" spans="1:18">
      <c r="A49" s="5" t="s">
        <v>143</v>
      </c>
      <c r="B49" s="5" t="s">
        <v>144</v>
      </c>
      <c r="C49" s="5" t="s">
        <v>31</v>
      </c>
      <c r="D49" s="5" t="s">
        <v>45</v>
      </c>
      <c r="E49" s="5" t="s">
        <v>46</v>
      </c>
      <c r="F49" s="8">
        <v>128.63999999999999</v>
      </c>
      <c r="G49" s="8">
        <v>81.61</v>
      </c>
      <c r="H49" s="8">
        <v>73.22</v>
      </c>
      <c r="I49" s="8">
        <v>72.650000000000006</v>
      </c>
      <c r="J49" s="8">
        <v>73.489997863769531</v>
      </c>
      <c r="K49" s="6">
        <f t="shared" si="4"/>
        <v>1.1562255523324572E-2</v>
      </c>
      <c r="L49" s="6">
        <f t="shared" si="5"/>
        <v>3.6874878963333302E-3</v>
      </c>
      <c r="M49" s="6">
        <f t="shared" si="6"/>
        <v>-9.9497636763024921E-2</v>
      </c>
      <c r="N49" s="6">
        <v>-0.29088930348258701</v>
      </c>
      <c r="O49" s="6">
        <v>-0.1053497040122781</v>
      </c>
      <c r="P49" s="6">
        <v>-9.9497636763024921E-2</v>
      </c>
      <c r="Q49" s="6">
        <f t="shared" si="7"/>
        <v>-0.42871581262616965</v>
      </c>
      <c r="R49" s="6">
        <v>-0.46292839543044872</v>
      </c>
    </row>
    <row r="50" spans="1:18">
      <c r="A50" s="5" t="s">
        <v>145</v>
      </c>
      <c r="B50" s="5" t="s">
        <v>146</v>
      </c>
      <c r="C50" s="5" t="s">
        <v>31</v>
      </c>
      <c r="D50" s="5" t="s">
        <v>45</v>
      </c>
      <c r="E50" s="5" t="s">
        <v>49</v>
      </c>
      <c r="F50" s="8">
        <v>240.84</v>
      </c>
      <c r="G50" s="8">
        <v>147.61000000000001</v>
      </c>
      <c r="H50" s="8">
        <v>163.72</v>
      </c>
      <c r="I50" s="8">
        <v>166.61</v>
      </c>
      <c r="J50" s="8">
        <v>168.88999938964841</v>
      </c>
      <c r="K50" s="6">
        <f t="shared" si="4"/>
        <v>1.3684649118590686E-2</v>
      </c>
      <c r="L50" s="6">
        <f t="shared" si="5"/>
        <v>3.157830069416323E-2</v>
      </c>
      <c r="M50" s="6">
        <f t="shared" si="6"/>
        <v>0.14416367041290146</v>
      </c>
      <c r="N50" s="6">
        <v>-0.2681863477827604</v>
      </c>
      <c r="O50" s="6">
        <v>-0.1624964539007091</v>
      </c>
      <c r="P50" s="6">
        <v>0.14416367041290151</v>
      </c>
      <c r="Q50" s="6">
        <f t="shared" si="7"/>
        <v>-0.29874605800677456</v>
      </c>
      <c r="R50" s="6">
        <v>-0.40958361665533372</v>
      </c>
    </row>
    <row r="51" spans="1:18">
      <c r="A51" s="5" t="s">
        <v>147</v>
      </c>
      <c r="B51" s="5" t="s">
        <v>148</v>
      </c>
      <c r="C51" s="5" t="s">
        <v>31</v>
      </c>
      <c r="D51" s="5" t="s">
        <v>81</v>
      </c>
      <c r="E51" s="5" t="s">
        <v>46</v>
      </c>
      <c r="F51" s="8">
        <v>463.41</v>
      </c>
      <c r="G51" s="8">
        <v>480.08</v>
      </c>
      <c r="H51" s="8">
        <v>431.75</v>
      </c>
      <c r="I51" s="8">
        <v>417.53</v>
      </c>
      <c r="J51" s="8">
        <v>425.41000366210937</v>
      </c>
      <c r="K51" s="6">
        <f t="shared" si="4"/>
        <v>1.8872904131701729E-2</v>
      </c>
      <c r="L51" s="6">
        <f t="shared" si="5"/>
        <v>-1.4684415374384807E-2</v>
      </c>
      <c r="M51" s="6">
        <f t="shared" si="6"/>
        <v>-0.11387684622956717</v>
      </c>
      <c r="N51" s="6">
        <v>1.7889126259683641E-2</v>
      </c>
      <c r="O51" s="6">
        <v>1.776552893788419E-2</v>
      </c>
      <c r="P51" s="6">
        <v>-0.1138768462295672</v>
      </c>
      <c r="Q51" s="6">
        <f t="shared" si="7"/>
        <v>-8.2000812105674559E-2</v>
      </c>
      <c r="R51" s="6">
        <v>-0.15664135089278511</v>
      </c>
    </row>
    <row r="52" spans="1:18">
      <c r="A52" s="5" t="s">
        <v>149</v>
      </c>
      <c r="B52" s="5" t="s">
        <v>150</v>
      </c>
      <c r="C52" s="5" t="s">
        <v>31</v>
      </c>
      <c r="D52" s="5" t="s">
        <v>151</v>
      </c>
      <c r="E52" s="5" t="s">
        <v>49</v>
      </c>
      <c r="F52" s="8">
        <v>423.74</v>
      </c>
      <c r="G52" s="8">
        <v>311.20999999999998</v>
      </c>
      <c r="H52" s="8">
        <v>345.82</v>
      </c>
      <c r="I52" s="8">
        <v>356.09</v>
      </c>
      <c r="J52" s="8">
        <v>353.6099853515625</v>
      </c>
      <c r="K52" s="6">
        <f t="shared" si="4"/>
        <v>-6.9645725755776988E-3</v>
      </c>
      <c r="L52" s="6">
        <f t="shared" si="5"/>
        <v>2.2526127325089629E-2</v>
      </c>
      <c r="M52" s="6">
        <f t="shared" si="6"/>
        <v>0.13624236159365877</v>
      </c>
      <c r="N52" s="6">
        <v>-7.1482512861660519E-2</v>
      </c>
      <c r="O52" s="6">
        <v>-0.20902274749015129</v>
      </c>
      <c r="P52" s="6">
        <v>0.1362423615936588</v>
      </c>
      <c r="Q52" s="6">
        <f t="shared" si="7"/>
        <v>-0.1655024653052285</v>
      </c>
      <c r="R52" s="6">
        <v>-0.29856571831648249</v>
      </c>
    </row>
    <row r="53" spans="1:18">
      <c r="A53" s="5" t="s">
        <v>152</v>
      </c>
      <c r="B53" s="5" t="s">
        <v>153</v>
      </c>
      <c r="C53" s="5" t="s">
        <v>25</v>
      </c>
      <c r="D53" s="5" t="s">
        <v>154</v>
      </c>
      <c r="E53" s="5" t="s">
        <v>49</v>
      </c>
      <c r="F53" s="8">
        <v>272.64999999999998</v>
      </c>
      <c r="G53" s="8">
        <v>262.75</v>
      </c>
      <c r="H53" s="8">
        <v>279.52</v>
      </c>
      <c r="I53" s="8">
        <v>280.31</v>
      </c>
      <c r="J53" s="8">
        <v>280.57000732421881</v>
      </c>
      <c r="K53" s="6">
        <f t="shared" si="4"/>
        <v>9.2757063329451661E-4</v>
      </c>
      <c r="L53" s="6">
        <f t="shared" si="5"/>
        <v>3.7564658136048923E-3</v>
      </c>
      <c r="M53" s="6">
        <f t="shared" si="6"/>
        <v>6.7821150615485548E-2</v>
      </c>
      <c r="N53" s="6">
        <v>-0.12250137538969361</v>
      </c>
      <c r="O53" s="6">
        <v>9.8223615464994696E-2</v>
      </c>
      <c r="P53" s="6">
        <v>6.7821150615485548E-2</v>
      </c>
      <c r="Q53" s="6">
        <f t="shared" si="7"/>
        <v>2.9048257195007698E-2</v>
      </c>
      <c r="R53" s="6">
        <v>-0.14165426632308631</v>
      </c>
    </row>
    <row r="54" spans="1:18">
      <c r="A54" s="5" t="s">
        <v>155</v>
      </c>
      <c r="B54" s="5" t="s">
        <v>156</v>
      </c>
      <c r="C54" s="5" t="s">
        <v>25</v>
      </c>
      <c r="D54" s="5" t="s">
        <v>154</v>
      </c>
      <c r="E54" s="5" t="s">
        <v>46</v>
      </c>
      <c r="F54" s="8">
        <v>133.51</v>
      </c>
      <c r="G54" s="8">
        <v>134.29</v>
      </c>
      <c r="H54" s="8">
        <v>116.14</v>
      </c>
      <c r="I54" s="8">
        <v>109.51</v>
      </c>
      <c r="J54" s="8">
        <v>109.5699996948242</v>
      </c>
      <c r="K54" s="6">
        <f t="shared" si="4"/>
        <v>5.4789238265184892E-4</v>
      </c>
      <c r="L54" s="6">
        <f t="shared" si="5"/>
        <v>-5.6569659937797501E-2</v>
      </c>
      <c r="M54" s="6">
        <f t="shared" si="6"/>
        <v>-0.18407923378640101</v>
      </c>
      <c r="N54" s="6">
        <v>2.3893341322747341E-2</v>
      </c>
      <c r="O54" s="6">
        <v>-1.7629846378931949E-2</v>
      </c>
      <c r="P54" s="6">
        <v>-0.18407923378640101</v>
      </c>
      <c r="Q54" s="6">
        <f t="shared" si="7"/>
        <v>-0.17931241334114145</v>
      </c>
      <c r="R54" s="6">
        <v>-0.26680503481521162</v>
      </c>
    </row>
    <row r="55" spans="1:18">
      <c r="A55" s="5" t="s">
        <v>157</v>
      </c>
      <c r="B55" s="5" t="s">
        <v>158</v>
      </c>
      <c r="C55" s="5" t="s">
        <v>25</v>
      </c>
      <c r="D55" s="5" t="s">
        <v>154</v>
      </c>
      <c r="E55" s="5" t="s">
        <v>49</v>
      </c>
      <c r="F55" s="8">
        <v>157.97</v>
      </c>
      <c r="G55" s="8">
        <v>148.19</v>
      </c>
      <c r="H55" s="8">
        <v>140.03</v>
      </c>
      <c r="I55" s="8">
        <v>138.08000000000001</v>
      </c>
      <c r="J55" s="8">
        <v>139.69000244140619</v>
      </c>
      <c r="K55" s="6">
        <f t="shared" si="4"/>
        <v>1.1659924981215042E-2</v>
      </c>
      <c r="L55" s="6">
        <f t="shared" si="5"/>
        <v>-2.428033697020715E-3</v>
      </c>
      <c r="M55" s="6">
        <f t="shared" si="6"/>
        <v>-5.7358779665252713E-2</v>
      </c>
      <c r="N55" s="6">
        <v>-4.3805785908716748E-2</v>
      </c>
      <c r="O55" s="6">
        <v>-1.8934127772260889E-2</v>
      </c>
      <c r="P55" s="6">
        <v>-5.7358779665252713E-2</v>
      </c>
      <c r="Q55" s="6">
        <f t="shared" si="7"/>
        <v>-0.11571815888202697</v>
      </c>
      <c r="R55" s="6">
        <v>-0.19718309859154931</v>
      </c>
    </row>
    <row r="56" spans="1:18">
      <c r="A56" s="5" t="s">
        <v>159</v>
      </c>
      <c r="B56" s="5" t="s">
        <v>160</v>
      </c>
      <c r="C56" s="5" t="s">
        <v>24</v>
      </c>
      <c r="D56" s="5" t="s">
        <v>81</v>
      </c>
      <c r="E56" s="5" t="s">
        <v>46</v>
      </c>
      <c r="F56" s="8">
        <v>66.42</v>
      </c>
      <c r="G56" s="8">
        <v>61.81</v>
      </c>
      <c r="H56" s="8">
        <v>58.74</v>
      </c>
      <c r="I56" s="8">
        <v>57.25</v>
      </c>
      <c r="J56" s="8">
        <v>57.430000305175781</v>
      </c>
      <c r="K56" s="6">
        <f t="shared" si="4"/>
        <v>3.1441101340747846E-3</v>
      </c>
      <c r="L56" s="6">
        <f t="shared" si="5"/>
        <v>-2.23016631737184E-2</v>
      </c>
      <c r="M56" s="6">
        <f t="shared" si="6"/>
        <v>-7.0862315075622351E-2</v>
      </c>
      <c r="N56" s="6">
        <v>5.4953327311050737E-2</v>
      </c>
      <c r="O56" s="6">
        <v>-0.1178821178821178</v>
      </c>
      <c r="P56" s="6">
        <v>-7.0862315075622351E-2</v>
      </c>
      <c r="Q56" s="6">
        <f t="shared" si="7"/>
        <v>-0.1353507933577871</v>
      </c>
      <c r="R56" s="6">
        <v>-0.24671052631578949</v>
      </c>
    </row>
    <row r="57" spans="1:18">
      <c r="A57" s="5" t="s">
        <v>161</v>
      </c>
      <c r="B57" s="5" t="s">
        <v>162</v>
      </c>
      <c r="C57" s="5" t="s">
        <v>24</v>
      </c>
      <c r="D57" s="5" t="s">
        <v>81</v>
      </c>
      <c r="E57" s="5" t="s">
        <v>49</v>
      </c>
      <c r="F57" s="8">
        <v>417.62</v>
      </c>
      <c r="G57" s="8">
        <v>415.2</v>
      </c>
      <c r="H57" s="8">
        <v>419.44</v>
      </c>
      <c r="I57" s="8">
        <v>390.71</v>
      </c>
      <c r="J57" s="8">
        <v>392.260009765625</v>
      </c>
      <c r="K57" s="6">
        <f t="shared" si="4"/>
        <v>3.9671617456042974E-3</v>
      </c>
      <c r="L57" s="6">
        <f t="shared" si="5"/>
        <v>-6.4800663347260645E-2</v>
      </c>
      <c r="M57" s="6">
        <f t="shared" si="6"/>
        <v>-5.5250458175276962E-2</v>
      </c>
      <c r="N57" s="6">
        <v>-4.573535750203539E-2</v>
      </c>
      <c r="O57" s="6">
        <v>4.1854862993074393E-2</v>
      </c>
      <c r="P57" s="6">
        <v>-5.5250458175276962E-2</v>
      </c>
      <c r="Q57" s="6">
        <f t="shared" si="7"/>
        <v>-6.0725037676296667E-2</v>
      </c>
      <c r="R57" s="6">
        <v>-0.16958098122906051</v>
      </c>
    </row>
    <row r="58" spans="1:18">
      <c r="A58" s="5" t="s">
        <v>163</v>
      </c>
      <c r="B58" s="5" t="s">
        <v>164</v>
      </c>
      <c r="C58" s="5" t="s">
        <v>24</v>
      </c>
      <c r="D58" s="5" t="s">
        <v>81</v>
      </c>
      <c r="E58" s="5" t="s">
        <v>49</v>
      </c>
      <c r="F58" s="8">
        <v>969.67</v>
      </c>
      <c r="G58" s="8">
        <v>990.29</v>
      </c>
      <c r="H58" s="8">
        <v>953.09</v>
      </c>
      <c r="I58" s="8">
        <v>898.53</v>
      </c>
      <c r="J58" s="8">
        <v>897.22998046875</v>
      </c>
      <c r="K58" s="6">
        <f t="shared" si="4"/>
        <v>-1.4468293003572219E-3</v>
      </c>
      <c r="L58" s="6">
        <f t="shared" si="5"/>
        <v>-5.8609385820069471E-2</v>
      </c>
      <c r="M58" s="6">
        <f t="shared" si="6"/>
        <v>-9.397249243277217E-2</v>
      </c>
      <c r="N58" s="6">
        <v>0.1479266142089577</v>
      </c>
      <c r="O58" s="6">
        <v>-0.1103394992408656</v>
      </c>
      <c r="P58" s="6">
        <v>-9.397249243277217E-2</v>
      </c>
      <c r="Q58" s="6">
        <f t="shared" si="7"/>
        <v>-7.4705847897996169E-2</v>
      </c>
      <c r="R58" s="6">
        <v>-0.2363090236549461</v>
      </c>
    </row>
    <row r="59" spans="1:18">
      <c r="A59" s="5" t="s">
        <v>165</v>
      </c>
      <c r="B59" s="5" t="s">
        <v>166</v>
      </c>
      <c r="C59" s="5" t="s">
        <v>24</v>
      </c>
      <c r="D59" s="5" t="s">
        <v>81</v>
      </c>
      <c r="E59" s="5" t="s">
        <v>46</v>
      </c>
      <c r="F59" s="8">
        <v>480.46</v>
      </c>
      <c r="G59" s="8">
        <v>472.55</v>
      </c>
      <c r="H59" s="8">
        <v>472.46</v>
      </c>
      <c r="I59" s="8">
        <v>443.31</v>
      </c>
      <c r="J59" s="8">
        <v>448.14999389648437</v>
      </c>
      <c r="K59" s="6">
        <f t="shared" si="4"/>
        <v>1.0917854089653733E-2</v>
      </c>
      <c r="L59" s="6">
        <f t="shared" si="5"/>
        <v>-5.1454104270235779E-2</v>
      </c>
      <c r="M59" s="6">
        <f t="shared" si="6"/>
        <v>-5.1634760561878434E-2</v>
      </c>
      <c r="N59" s="6">
        <v>1.3820089081297169E-2</v>
      </c>
      <c r="O59" s="6">
        <v>-2.9870663108191309E-2</v>
      </c>
      <c r="P59" s="6">
        <v>-5.1634760561878427E-2</v>
      </c>
      <c r="Q59" s="6">
        <f t="shared" si="7"/>
        <v>-6.7248066651782845E-2</v>
      </c>
      <c r="R59" s="6">
        <v>-0.17812714362520621</v>
      </c>
    </row>
    <row r="60" spans="1:18">
      <c r="A60" s="5" t="s">
        <v>167</v>
      </c>
      <c r="B60" s="5" t="s">
        <v>168</v>
      </c>
      <c r="C60" s="5" t="s">
        <v>24</v>
      </c>
      <c r="D60" s="5" t="s">
        <v>81</v>
      </c>
      <c r="E60" s="5" t="s">
        <v>46</v>
      </c>
      <c r="F60" s="8">
        <v>141.99</v>
      </c>
      <c r="G60" s="8">
        <v>146.66</v>
      </c>
      <c r="H60" s="8">
        <v>144.33000000000001</v>
      </c>
      <c r="I60" s="8">
        <v>139.25</v>
      </c>
      <c r="J60" s="8">
        <v>138.3800048828125</v>
      </c>
      <c r="K60" s="6">
        <f t="shared" si="4"/>
        <v>-6.2477207697486659E-3</v>
      </c>
      <c r="L60" s="6">
        <f t="shared" si="5"/>
        <v>-4.1224936722701555E-2</v>
      </c>
      <c r="M60" s="6">
        <f t="shared" si="6"/>
        <v>-5.6457078393478133E-2</v>
      </c>
      <c r="N60" s="6">
        <v>-8.6625818719628933E-3</v>
      </c>
      <c r="O60" s="6">
        <v>4.191531685137817E-2</v>
      </c>
      <c r="P60" s="6">
        <v>-5.6457078393478133E-2</v>
      </c>
      <c r="Q60" s="6">
        <f t="shared" si="7"/>
        <v>-2.542429126831125E-2</v>
      </c>
      <c r="R60" s="6">
        <v>-0.10674592918066669</v>
      </c>
    </row>
    <row r="61" spans="1:18">
      <c r="A61" s="5" t="s">
        <v>169</v>
      </c>
      <c r="B61" s="5" t="s">
        <v>170</v>
      </c>
      <c r="C61" s="5" t="s">
        <v>24</v>
      </c>
      <c r="D61" s="5" t="s">
        <v>81</v>
      </c>
      <c r="E61" s="5" t="s">
        <v>46</v>
      </c>
      <c r="F61" s="8">
        <v>458.92</v>
      </c>
      <c r="G61" s="8">
        <v>454.95</v>
      </c>
      <c r="H61" s="8">
        <v>463.4</v>
      </c>
      <c r="I61" s="8">
        <v>440.15</v>
      </c>
      <c r="J61" s="8">
        <v>440.67001342773437</v>
      </c>
      <c r="K61" s="6">
        <f t="shared" si="4"/>
        <v>1.1814459337371463E-3</v>
      </c>
      <c r="L61" s="6">
        <f t="shared" si="5"/>
        <v>-4.9050467354910698E-2</v>
      </c>
      <c r="M61" s="6">
        <f t="shared" si="6"/>
        <v>-3.1388035107738466E-2</v>
      </c>
      <c r="N61" s="6">
        <v>4.1859147563845463E-2</v>
      </c>
      <c r="O61" s="6">
        <v>-4.848053876560765E-2</v>
      </c>
      <c r="P61" s="6">
        <v>-3.1388035107738473E-2</v>
      </c>
      <c r="Q61" s="6">
        <f t="shared" si="7"/>
        <v>-3.9767250440742696E-2</v>
      </c>
      <c r="R61" s="6">
        <v>-0.1257498113057641</v>
      </c>
    </row>
    <row r="62" spans="1:18">
      <c r="A62" s="5" t="s">
        <v>171</v>
      </c>
      <c r="B62" s="5" t="s">
        <v>172</v>
      </c>
      <c r="C62" s="5" t="s">
        <v>24</v>
      </c>
      <c r="D62" s="5" t="s">
        <v>81</v>
      </c>
      <c r="E62" s="5" t="s">
        <v>49</v>
      </c>
      <c r="F62" s="8">
        <v>334.49</v>
      </c>
      <c r="G62" s="8">
        <v>241.57</v>
      </c>
      <c r="H62" s="8">
        <v>263.81</v>
      </c>
      <c r="I62" s="8">
        <v>255.97</v>
      </c>
      <c r="J62" s="8">
        <v>256.32998657226562</v>
      </c>
      <c r="K62" s="6">
        <f t="shared" si="4"/>
        <v>1.4063623560012228E-3</v>
      </c>
      <c r="L62" s="6">
        <f t="shared" si="5"/>
        <v>-2.8353790332945605E-2</v>
      </c>
      <c r="M62" s="6">
        <f t="shared" si="6"/>
        <v>6.1100246604568476E-2</v>
      </c>
      <c r="N62" s="6">
        <v>-0.10152769888486959</v>
      </c>
      <c r="O62" s="6">
        <v>-0.19618673676504839</v>
      </c>
      <c r="P62" s="6">
        <v>6.1100246604568483E-2</v>
      </c>
      <c r="Q62" s="6">
        <f t="shared" si="7"/>
        <v>-0.23366920813098857</v>
      </c>
      <c r="R62" s="6">
        <v>-0.37691362163370212</v>
      </c>
    </row>
    <row r="63" spans="1:18">
      <c r="A63" s="5" t="s">
        <v>173</v>
      </c>
      <c r="B63" s="5" t="s">
        <v>174</v>
      </c>
      <c r="C63" s="5" t="s">
        <v>28</v>
      </c>
      <c r="D63" s="5" t="s">
        <v>45</v>
      </c>
      <c r="E63" s="5" t="s">
        <v>49</v>
      </c>
      <c r="F63" s="8">
        <v>490.05</v>
      </c>
      <c r="G63" s="8">
        <v>507.67</v>
      </c>
      <c r="H63" s="8">
        <v>479.76</v>
      </c>
      <c r="I63" s="8">
        <v>441.85</v>
      </c>
      <c r="J63" s="8">
        <v>437.35000610351562</v>
      </c>
      <c r="K63" s="6">
        <f t="shared" si="4"/>
        <v>-1.0184437923468126E-2</v>
      </c>
      <c r="L63" s="6">
        <f t="shared" si="5"/>
        <v>-8.8398353127572937E-2</v>
      </c>
      <c r="M63" s="6">
        <f t="shared" si="6"/>
        <v>-0.13851516515942319</v>
      </c>
      <c r="N63" s="6">
        <v>0.23056830935618811</v>
      </c>
      <c r="O63" s="6">
        <v>-0.1581487131865216</v>
      </c>
      <c r="P63" s="6">
        <v>-0.13851516515942319</v>
      </c>
      <c r="Q63" s="6">
        <f t="shared" si="7"/>
        <v>-0.10754003447910288</v>
      </c>
      <c r="R63" s="6">
        <v>-0.39633471645919782</v>
      </c>
    </row>
    <row r="64" spans="1:18">
      <c r="A64" s="5" t="s">
        <v>175</v>
      </c>
      <c r="B64" s="5" t="s">
        <v>176</v>
      </c>
      <c r="C64" s="5" t="s">
        <v>28</v>
      </c>
      <c r="D64" s="5" t="s">
        <v>45</v>
      </c>
      <c r="E64" s="5" t="s">
        <v>49</v>
      </c>
      <c r="F64" s="8">
        <v>416.39</v>
      </c>
      <c r="G64" s="8">
        <v>340.02</v>
      </c>
      <c r="H64" s="8">
        <v>334.68</v>
      </c>
      <c r="I64" s="8">
        <v>313.04000000000002</v>
      </c>
      <c r="J64" s="8">
        <v>308.239990234375</v>
      </c>
      <c r="K64" s="6">
        <f t="shared" si="4"/>
        <v>-1.5333534901689982E-2</v>
      </c>
      <c r="L64" s="6">
        <f t="shared" si="5"/>
        <v>-7.900086579904686E-2</v>
      </c>
      <c r="M64" s="6">
        <f t="shared" si="6"/>
        <v>-9.3465119009543463E-2</v>
      </c>
      <c r="N64" s="6">
        <v>-0.10386896899541299</v>
      </c>
      <c r="O64" s="6">
        <v>-8.876025084418715E-2</v>
      </c>
      <c r="P64" s="6">
        <v>-9.3465119009543463E-2</v>
      </c>
      <c r="Q64" s="6">
        <f t="shared" si="7"/>
        <v>-0.25973248580807651</v>
      </c>
      <c r="R64" s="6">
        <v>-0.25973248580807651</v>
      </c>
    </row>
    <row r="65" spans="1:18">
      <c r="A65" s="5" t="s">
        <v>177</v>
      </c>
      <c r="B65" s="5" t="s">
        <v>178</v>
      </c>
      <c r="C65" s="5" t="s">
        <v>28</v>
      </c>
      <c r="D65" s="5" t="s">
        <v>45</v>
      </c>
      <c r="E65" s="5" t="s">
        <v>49</v>
      </c>
      <c r="F65" s="8">
        <v>204.52</v>
      </c>
      <c r="G65" s="8">
        <v>182.82</v>
      </c>
      <c r="H65" s="8">
        <v>183.83</v>
      </c>
      <c r="I65" s="8">
        <v>170.89</v>
      </c>
      <c r="J65" s="8">
        <v>171.03999328613281</v>
      </c>
      <c r="K65" s="6">
        <f t="shared" si="4"/>
        <v>8.7771833420813294E-4</v>
      </c>
      <c r="L65" s="6">
        <f t="shared" si="5"/>
        <v>-6.9575187476838329E-2</v>
      </c>
      <c r="M65" s="6">
        <f t="shared" si="6"/>
        <v>-6.4435000075851567E-2</v>
      </c>
      <c r="N65" s="6">
        <v>0.1517211030706043</v>
      </c>
      <c r="O65" s="6">
        <v>-0.2238590532795586</v>
      </c>
      <c r="P65" s="6">
        <v>-6.4435000075851567E-2</v>
      </c>
      <c r="Q65" s="6">
        <f t="shared" si="7"/>
        <v>-0.16370040442923528</v>
      </c>
      <c r="R65" s="6">
        <v>-0.435915282887541</v>
      </c>
    </row>
    <row r="66" spans="1:18">
      <c r="A66" s="5" t="s">
        <v>179</v>
      </c>
      <c r="B66" s="5" t="s">
        <v>180</v>
      </c>
      <c r="C66" s="5" t="s">
        <v>28</v>
      </c>
      <c r="D66" s="5" t="s">
        <v>45</v>
      </c>
      <c r="E66" s="5" t="s">
        <v>49</v>
      </c>
      <c r="F66" s="8">
        <v>334.41</v>
      </c>
      <c r="G66" s="8">
        <v>293.02</v>
      </c>
      <c r="H66" s="8">
        <v>312.88</v>
      </c>
      <c r="I66" s="8">
        <v>290.2</v>
      </c>
      <c r="J66" s="8">
        <v>287.08999633789062</v>
      </c>
      <c r="K66" s="6">
        <f t="shared" ref="K66:K97" si="8">IFERROR(J66/I66-1,"")</f>
        <v>-1.0716759690245881E-2</v>
      </c>
      <c r="L66" s="6">
        <f t="shared" ref="L66:L74" si="9">IFERROR(J66/H66-1,"")</f>
        <v>-8.2427779538830737E-2</v>
      </c>
      <c r="M66" s="6">
        <f t="shared" ref="M66:M74" si="10">IFERROR(J66/G66-1,"")</f>
        <v>-2.023753894652025E-2</v>
      </c>
      <c r="N66" s="6">
        <v>5.0835800364821708E-2</v>
      </c>
      <c r="O66" s="6">
        <v>-0.1661591872741244</v>
      </c>
      <c r="P66" s="6">
        <v>-2.023753894652025E-2</v>
      </c>
      <c r="Q66" s="6">
        <f t="shared" ref="Q66:Q74" si="11">IFERROR(J66/F66-1,"")</f>
        <v>-0.14150295643703659</v>
      </c>
      <c r="R66" s="6">
        <v>-0.41764936653358881</v>
      </c>
    </row>
    <row r="67" spans="1:18">
      <c r="A67" s="5" t="s">
        <v>181</v>
      </c>
      <c r="B67" s="5" t="s">
        <v>182</v>
      </c>
      <c r="C67" s="5" t="s">
        <v>28</v>
      </c>
      <c r="D67" s="5" t="s">
        <v>45</v>
      </c>
      <c r="E67" s="5" t="s">
        <v>49</v>
      </c>
      <c r="F67" s="8">
        <v>508.35</v>
      </c>
      <c r="G67" s="8">
        <v>388.76</v>
      </c>
      <c r="H67" s="8">
        <v>410</v>
      </c>
      <c r="I67" s="8">
        <v>414.82</v>
      </c>
      <c r="J67" s="8">
        <v>415.73001098632812</v>
      </c>
      <c r="K67" s="6">
        <f t="shared" si="8"/>
        <v>2.1937490630348222E-3</v>
      </c>
      <c r="L67" s="6">
        <f t="shared" si="9"/>
        <v>1.3975636552019832E-2</v>
      </c>
      <c r="M67" s="6">
        <f t="shared" si="10"/>
        <v>6.9374449496677038E-2</v>
      </c>
      <c r="N67" s="6">
        <v>-0.14004131012097959</v>
      </c>
      <c r="O67" s="6">
        <v>-0.11071461249885629</v>
      </c>
      <c r="P67" s="6">
        <v>6.9374449496677038E-2</v>
      </c>
      <c r="Q67" s="6">
        <f t="shared" si="11"/>
        <v>-0.18219728339465313</v>
      </c>
      <c r="R67" s="6">
        <v>-0.26757155503098262</v>
      </c>
    </row>
    <row r="68" spans="1:18">
      <c r="A68" s="5" t="s">
        <v>183</v>
      </c>
      <c r="B68" s="5" t="s">
        <v>184</v>
      </c>
      <c r="C68" s="5" t="s">
        <v>28</v>
      </c>
      <c r="D68" s="5" t="s">
        <v>45</v>
      </c>
      <c r="E68" s="5" t="s">
        <v>49</v>
      </c>
      <c r="F68" s="8">
        <v>392.62</v>
      </c>
      <c r="G68" s="8">
        <v>367.69</v>
      </c>
      <c r="H68" s="8">
        <v>363.1</v>
      </c>
      <c r="I68" s="8">
        <v>335.46</v>
      </c>
      <c r="J68" s="8">
        <v>342.64999389648437</v>
      </c>
      <c r="K68" s="6">
        <f t="shared" si="8"/>
        <v>2.1433237633352364E-2</v>
      </c>
      <c r="L68" s="6">
        <f t="shared" si="9"/>
        <v>-5.6320589654408226E-2</v>
      </c>
      <c r="M68" s="6">
        <f t="shared" si="10"/>
        <v>-6.8100862420831687E-2</v>
      </c>
      <c r="N68" s="6">
        <v>-5.9930721817533561E-2</v>
      </c>
      <c r="O68" s="6">
        <v>-3.7931127909180962E-3</v>
      </c>
      <c r="P68" s="6">
        <v>-6.8100862420831687E-2</v>
      </c>
      <c r="Q68" s="6">
        <f t="shared" si="11"/>
        <v>-0.12727320590778779</v>
      </c>
      <c r="R68" s="6">
        <v>-0.33984374999999989</v>
      </c>
    </row>
    <row r="69" spans="1:18">
      <c r="A69" s="5" t="s">
        <v>185</v>
      </c>
      <c r="B69" s="5" t="s">
        <v>186</v>
      </c>
      <c r="C69" s="5" t="s">
        <v>26</v>
      </c>
      <c r="D69" s="5" t="s">
        <v>151</v>
      </c>
      <c r="E69" s="5" t="s">
        <v>49</v>
      </c>
      <c r="F69" s="8">
        <v>256.52</v>
      </c>
      <c r="G69" s="8">
        <v>271.58</v>
      </c>
      <c r="H69" s="8">
        <v>260.27999999999997</v>
      </c>
      <c r="I69" s="8">
        <v>254.92</v>
      </c>
      <c r="J69" s="8">
        <v>255.27000427246091</v>
      </c>
      <c r="K69" s="6">
        <f t="shared" si="8"/>
        <v>1.3729965183624238E-3</v>
      </c>
      <c r="L69" s="6">
        <f t="shared" si="9"/>
        <v>-1.9248485198782306E-2</v>
      </c>
      <c r="M69" s="6">
        <f t="shared" si="10"/>
        <v>-6.005595304344602E-2</v>
      </c>
      <c r="N69" s="6">
        <v>-5.3991891470450581E-2</v>
      </c>
      <c r="O69" s="6">
        <v>0.119132978942597</v>
      </c>
      <c r="P69" s="6">
        <v>-6.005595304344602E-2</v>
      </c>
      <c r="Q69" s="6">
        <f t="shared" si="11"/>
        <v>-4.8728977371709226E-3</v>
      </c>
      <c r="R69" s="6">
        <v>-0.1164431623265242</v>
      </c>
    </row>
    <row r="70" spans="1:18">
      <c r="A70" s="5" t="s">
        <v>187</v>
      </c>
      <c r="B70" s="5" t="s">
        <v>188</v>
      </c>
      <c r="C70" s="5" t="s">
        <v>26</v>
      </c>
      <c r="D70" s="5" t="s">
        <v>52</v>
      </c>
      <c r="E70" s="5" t="s">
        <v>49</v>
      </c>
      <c r="F70" s="8">
        <v>361.85</v>
      </c>
      <c r="G70" s="8">
        <v>356.13</v>
      </c>
      <c r="H70" s="8">
        <v>342</v>
      </c>
      <c r="I70" s="8">
        <v>335.02</v>
      </c>
      <c r="J70" s="8">
        <v>335.98001098632812</v>
      </c>
      <c r="K70" s="6">
        <f t="shared" si="8"/>
        <v>2.8655333601819155E-3</v>
      </c>
      <c r="L70" s="6">
        <f t="shared" si="9"/>
        <v>-1.7602307057520084E-2</v>
      </c>
      <c r="M70" s="6">
        <f t="shared" si="10"/>
        <v>-5.6580431341565873E-2</v>
      </c>
      <c r="N70" s="6">
        <v>-5.3613375708165822E-3</v>
      </c>
      <c r="O70" s="6">
        <v>-1.0502625656414129E-2</v>
      </c>
      <c r="P70" s="6">
        <v>-5.6580431341565873E-2</v>
      </c>
      <c r="Q70" s="6">
        <f t="shared" si="11"/>
        <v>-7.149368250289323E-2</v>
      </c>
      <c r="R70" s="6">
        <v>-0.14885465505693241</v>
      </c>
    </row>
    <row r="71" spans="1:18">
      <c r="A71" s="5" t="s">
        <v>189</v>
      </c>
      <c r="B71" s="5" t="s">
        <v>190</v>
      </c>
      <c r="C71" s="5" t="s">
        <v>26</v>
      </c>
      <c r="D71" s="5" t="s">
        <v>45</v>
      </c>
      <c r="E71" s="5" t="s">
        <v>46</v>
      </c>
      <c r="F71" s="8">
        <v>329.23</v>
      </c>
      <c r="G71" s="8">
        <v>223.65</v>
      </c>
      <c r="H71" s="8">
        <v>229.87</v>
      </c>
      <c r="I71" s="8">
        <v>231.4</v>
      </c>
      <c r="J71" s="8">
        <v>231.16999816894531</v>
      </c>
      <c r="K71" s="6">
        <f t="shared" si="8"/>
        <v>-9.9395778329602891E-4</v>
      </c>
      <c r="L71" s="6">
        <f t="shared" si="9"/>
        <v>5.6553624611532793E-3</v>
      </c>
      <c r="M71" s="6">
        <f t="shared" si="10"/>
        <v>3.3623957831188545E-2</v>
      </c>
      <c r="N71" s="6">
        <v>-0.1206147677915136</v>
      </c>
      <c r="O71" s="6">
        <v>-0.2275145067698259</v>
      </c>
      <c r="P71" s="6">
        <v>3.3623957831188538E-2</v>
      </c>
      <c r="Q71" s="6">
        <f t="shared" si="11"/>
        <v>-0.29784649585716583</v>
      </c>
      <c r="R71" s="6">
        <v>-0.37499620326215721</v>
      </c>
    </row>
    <row r="72" spans="1:18">
      <c r="A72" s="5" t="s">
        <v>191</v>
      </c>
      <c r="B72" s="5" t="s">
        <v>192</v>
      </c>
      <c r="C72" s="5" t="s">
        <v>26</v>
      </c>
      <c r="D72" s="5" t="s">
        <v>52</v>
      </c>
      <c r="E72" s="5" t="s">
        <v>49</v>
      </c>
      <c r="F72" s="8">
        <v>597.63</v>
      </c>
      <c r="G72" s="8">
        <v>556.71</v>
      </c>
      <c r="H72" s="8">
        <v>576.14</v>
      </c>
      <c r="I72" s="8">
        <v>578.54</v>
      </c>
      <c r="J72" s="8">
        <v>594.25</v>
      </c>
      <c r="K72" s="6">
        <f t="shared" si="8"/>
        <v>2.7154561482352291E-2</v>
      </c>
      <c r="L72" s="6">
        <f t="shared" si="9"/>
        <v>3.1433332176207252E-2</v>
      </c>
      <c r="M72" s="6">
        <f t="shared" si="10"/>
        <v>6.7431876560507087E-2</v>
      </c>
      <c r="N72" s="6">
        <v>-2.464735706038856E-2</v>
      </c>
      <c r="O72" s="6">
        <v>-4.4930519814719412E-2</v>
      </c>
      <c r="P72" s="6">
        <v>6.7431876560507087E-2</v>
      </c>
      <c r="Q72" s="6">
        <f t="shared" si="11"/>
        <v>-5.6556732426417122E-3</v>
      </c>
      <c r="R72" s="6">
        <v>-0.20883298351704799</v>
      </c>
    </row>
    <row r="73" spans="1:18">
      <c r="A73" s="5" t="s">
        <v>193</v>
      </c>
      <c r="B73" s="5" t="s">
        <v>194</v>
      </c>
      <c r="C73" s="5" t="s">
        <v>26</v>
      </c>
      <c r="D73" s="5" t="s">
        <v>45</v>
      </c>
      <c r="E73" s="5" t="s">
        <v>49</v>
      </c>
      <c r="F73" s="8">
        <v>441.31</v>
      </c>
      <c r="G73" s="8">
        <v>464.72</v>
      </c>
      <c r="H73" s="8">
        <v>496.37</v>
      </c>
      <c r="I73" s="8">
        <v>501.02</v>
      </c>
      <c r="J73" s="8">
        <v>497.1300048828125</v>
      </c>
      <c r="K73" s="6">
        <f t="shared" si="8"/>
        <v>-7.764151365589167E-3</v>
      </c>
      <c r="L73" s="6">
        <f t="shared" si="9"/>
        <v>1.5311257384864607E-3</v>
      </c>
      <c r="M73" s="6">
        <f t="shared" si="10"/>
        <v>6.9740929770210958E-2</v>
      </c>
      <c r="N73" s="6">
        <v>-0.1151571457705468</v>
      </c>
      <c r="O73" s="6">
        <v>0.19009449665804509</v>
      </c>
      <c r="P73" s="6">
        <v>6.9740929770210958E-2</v>
      </c>
      <c r="Q73" s="6">
        <f t="shared" si="11"/>
        <v>0.12648706098391727</v>
      </c>
      <c r="R73" s="6">
        <v>-0.20049398382089689</v>
      </c>
    </row>
    <row r="74" spans="1:18">
      <c r="A74" s="5" t="s">
        <v>195</v>
      </c>
      <c r="B74" s="5" t="s">
        <v>196</v>
      </c>
      <c r="C74" s="5" t="s">
        <v>26</v>
      </c>
      <c r="D74" s="5" t="s">
        <v>45</v>
      </c>
      <c r="E74" s="5" t="s">
        <v>49</v>
      </c>
      <c r="F74" s="8">
        <v>244.58</v>
      </c>
      <c r="G74" s="8">
        <v>129.87</v>
      </c>
      <c r="H74" s="8">
        <v>148.87</v>
      </c>
      <c r="I74" s="8">
        <v>141.32</v>
      </c>
      <c r="J74" s="8">
        <v>145.3800048828125</v>
      </c>
      <c r="K74" s="6">
        <f t="shared" si="8"/>
        <v>2.8729159940648952E-2</v>
      </c>
      <c r="L74" s="6">
        <f t="shared" si="9"/>
        <v>-2.3443239854822995E-2</v>
      </c>
      <c r="M74" s="6">
        <f t="shared" si="10"/>
        <v>0.11942715702481332</v>
      </c>
      <c r="N74" s="6">
        <v>-0.42648622127729158</v>
      </c>
      <c r="O74" s="6">
        <v>-7.4142724745134392E-2</v>
      </c>
      <c r="P74" s="6">
        <v>0.1194271570248133</v>
      </c>
      <c r="Q74" s="6">
        <f t="shared" si="11"/>
        <v>-0.40559324195431967</v>
      </c>
      <c r="R74" s="6">
        <v>-0.52984708479843001</v>
      </c>
    </row>
  </sheetData>
  <autoFilter ref="A1:R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2.7109375" customWidth="1"/>
    <col min="3" max="3" width="14.7109375" customWidth="1"/>
    <col min="4" max="4" width="13.7109375" customWidth="1"/>
  </cols>
  <sheetData>
    <row r="1" spans="1:4" ht="24.75">
      <c r="A1" s="4" t="s">
        <v>13</v>
      </c>
      <c r="B1" s="4" t="s">
        <v>197</v>
      </c>
      <c r="C1" s="4" t="s">
        <v>33</v>
      </c>
      <c r="D1" s="4" t="s">
        <v>198</v>
      </c>
    </row>
    <row r="2" spans="1:4">
      <c r="A2" s="5" t="s">
        <v>20</v>
      </c>
      <c r="B2" s="5" t="s">
        <v>199</v>
      </c>
      <c r="C2" s="5" t="s">
        <v>63</v>
      </c>
      <c r="D2" s="6">
        <v>4.4811144642276091E-5</v>
      </c>
    </row>
    <row r="3" spans="1:4">
      <c r="A3" s="5" t="s">
        <v>20</v>
      </c>
      <c r="B3" s="5" t="s">
        <v>199</v>
      </c>
      <c r="C3" s="5" t="s">
        <v>50</v>
      </c>
      <c r="D3" s="6">
        <v>-1.461379596010806E-4</v>
      </c>
    </row>
    <row r="4" spans="1:4">
      <c r="A4" s="5" t="s">
        <v>20</v>
      </c>
      <c r="B4" s="5" t="s">
        <v>199</v>
      </c>
      <c r="C4" s="5" t="s">
        <v>57</v>
      </c>
      <c r="D4" s="6">
        <v>-4.509775641122513E-4</v>
      </c>
    </row>
    <row r="5" spans="1:4">
      <c r="A5" s="5" t="s">
        <v>20</v>
      </c>
      <c r="B5" s="5" t="s">
        <v>200</v>
      </c>
      <c r="C5" s="5" t="s">
        <v>61</v>
      </c>
      <c r="D5" s="6">
        <v>-5.4345171204563079E-3</v>
      </c>
    </row>
    <row r="6" spans="1:4">
      <c r="A6" s="5" t="s">
        <v>20</v>
      </c>
      <c r="B6" s="5" t="s">
        <v>200</v>
      </c>
      <c r="C6" s="5" t="s">
        <v>55</v>
      </c>
      <c r="D6" s="6">
        <v>-5.1574552516469151E-3</v>
      </c>
    </row>
    <row r="7" spans="1:4">
      <c r="A7" s="5" t="s">
        <v>20</v>
      </c>
      <c r="B7" s="5" t="s">
        <v>200</v>
      </c>
      <c r="C7" s="5" t="s">
        <v>59</v>
      </c>
      <c r="D7" s="6">
        <v>-3.6311362043860681E-3</v>
      </c>
    </row>
    <row r="8" spans="1:4">
      <c r="A8" s="5" t="s">
        <v>20</v>
      </c>
      <c r="B8" s="5" t="s">
        <v>201</v>
      </c>
      <c r="C8" s="5" t="s">
        <v>53</v>
      </c>
      <c r="D8" s="6">
        <v>2.6983428263453169E-2</v>
      </c>
    </row>
    <row r="9" spans="1:4">
      <c r="A9" s="5" t="s">
        <v>20</v>
      </c>
      <c r="B9" s="5" t="s">
        <v>201</v>
      </c>
      <c r="C9" s="5" t="s">
        <v>59</v>
      </c>
      <c r="D9" s="6">
        <v>1.097862191091601E-2</v>
      </c>
    </row>
    <row r="10" spans="1:4">
      <c r="A10" s="5" t="s">
        <v>20</v>
      </c>
      <c r="B10" s="5" t="s">
        <v>201</v>
      </c>
      <c r="C10" s="5" t="s">
        <v>63</v>
      </c>
      <c r="D10" s="6">
        <v>4.4910480348723976E-3</v>
      </c>
    </row>
    <row r="11" spans="1:4">
      <c r="A11" s="5" t="s">
        <v>20</v>
      </c>
      <c r="B11" s="5" t="s">
        <v>202</v>
      </c>
      <c r="C11" s="5" t="s">
        <v>55</v>
      </c>
      <c r="D11" s="6">
        <v>-6.9398705981648838E-3</v>
      </c>
    </row>
    <row r="12" spans="1:4">
      <c r="A12" s="5" t="s">
        <v>20</v>
      </c>
      <c r="B12" s="5" t="s">
        <v>202</v>
      </c>
      <c r="C12" s="5" t="s">
        <v>61</v>
      </c>
      <c r="D12" s="6">
        <v>-3.9937432756259727E-3</v>
      </c>
    </row>
    <row r="13" spans="1:4">
      <c r="A13" s="5" t="s">
        <v>20</v>
      </c>
      <c r="B13" s="5" t="s">
        <v>202</v>
      </c>
      <c r="C13" s="5" t="s">
        <v>57</v>
      </c>
      <c r="D13" s="6">
        <v>-7.5491860398054411E-4</v>
      </c>
    </row>
    <row r="14" spans="1:4">
      <c r="A14" s="5" t="s">
        <v>20</v>
      </c>
      <c r="B14" s="5" t="s">
        <v>203</v>
      </c>
      <c r="C14" s="5" t="s">
        <v>61</v>
      </c>
      <c r="D14" s="6">
        <v>4.3393462192956908E-2</v>
      </c>
    </row>
    <row r="15" spans="1:4">
      <c r="A15" s="5" t="s">
        <v>20</v>
      </c>
      <c r="B15" s="5" t="s">
        <v>203</v>
      </c>
      <c r="C15" s="5" t="s">
        <v>53</v>
      </c>
      <c r="D15" s="6">
        <v>4.3192764479574181E-2</v>
      </c>
    </row>
    <row r="16" spans="1:4">
      <c r="A16" s="5" t="s">
        <v>20</v>
      </c>
      <c r="B16" s="5" t="s">
        <v>203</v>
      </c>
      <c r="C16" s="5" t="s">
        <v>59</v>
      </c>
      <c r="D16" s="6">
        <v>2.697113661136492E-2</v>
      </c>
    </row>
    <row r="17" spans="1:4">
      <c r="A17" s="5" t="s">
        <v>20</v>
      </c>
      <c r="B17" s="5" t="s">
        <v>204</v>
      </c>
      <c r="C17" s="5" t="s">
        <v>50</v>
      </c>
      <c r="D17" s="6">
        <v>-2.3734953671728089E-2</v>
      </c>
    </row>
    <row r="18" spans="1:4">
      <c r="A18" s="5" t="s">
        <v>20</v>
      </c>
      <c r="B18" s="5" t="s">
        <v>204</v>
      </c>
      <c r="C18" s="5" t="s">
        <v>55</v>
      </c>
      <c r="D18" s="6">
        <v>-2.260618023234684E-2</v>
      </c>
    </row>
    <row r="19" spans="1:4">
      <c r="A19" s="5" t="s">
        <v>20</v>
      </c>
      <c r="B19" s="5" t="s">
        <v>204</v>
      </c>
      <c r="C19" s="5" t="s">
        <v>57</v>
      </c>
      <c r="D19" s="6">
        <v>9.6532760954137764E-3</v>
      </c>
    </row>
    <row r="20" spans="1:4">
      <c r="A20" s="5" t="s">
        <v>20</v>
      </c>
      <c r="B20" s="5" t="s">
        <v>205</v>
      </c>
      <c r="C20" s="5" t="s">
        <v>63</v>
      </c>
      <c r="D20" s="6">
        <v>3.7002214097757467E-2</v>
      </c>
    </row>
    <row r="21" spans="1:4">
      <c r="A21" s="5" t="s">
        <v>20</v>
      </c>
      <c r="B21" s="5" t="s">
        <v>205</v>
      </c>
      <c r="C21" s="5" t="s">
        <v>53</v>
      </c>
      <c r="D21" s="6">
        <v>3.0270083801246531E-2</v>
      </c>
    </row>
    <row r="22" spans="1:4">
      <c r="A22" s="5" t="s">
        <v>20</v>
      </c>
      <c r="B22" s="5" t="s">
        <v>205</v>
      </c>
      <c r="C22" s="5" t="s">
        <v>61</v>
      </c>
      <c r="D22" s="6">
        <v>1.383686017625574E-2</v>
      </c>
    </row>
    <row r="23" spans="1:4">
      <c r="A23" s="5" t="s">
        <v>20</v>
      </c>
      <c r="B23" s="5" t="s">
        <v>206</v>
      </c>
      <c r="C23" s="5" t="s">
        <v>50</v>
      </c>
      <c r="D23" s="6">
        <v>-5.3993364747404328E-2</v>
      </c>
    </row>
    <row r="24" spans="1:4">
      <c r="A24" s="5" t="s">
        <v>20</v>
      </c>
      <c r="B24" s="5" t="s">
        <v>206</v>
      </c>
      <c r="C24" s="5" t="s">
        <v>55</v>
      </c>
      <c r="D24" s="6">
        <v>-2.2987652828561921E-2</v>
      </c>
    </row>
    <row r="25" spans="1:4">
      <c r="A25" s="5" t="s">
        <v>20</v>
      </c>
      <c r="B25" s="5" t="s">
        <v>206</v>
      </c>
      <c r="C25" s="5" t="s">
        <v>43</v>
      </c>
      <c r="D25" s="6">
        <v>-2.983438409449097E-5</v>
      </c>
    </row>
    <row r="26" spans="1:4">
      <c r="A26" s="5" t="s">
        <v>22</v>
      </c>
      <c r="B26" s="5" t="s">
        <v>199</v>
      </c>
      <c r="C26" s="5" t="s">
        <v>113</v>
      </c>
      <c r="D26" s="6">
        <v>3.297797399390001E-3</v>
      </c>
    </row>
    <row r="27" spans="1:4">
      <c r="A27" s="5" t="s">
        <v>22</v>
      </c>
      <c r="B27" s="5" t="s">
        <v>199</v>
      </c>
      <c r="C27" s="5" t="s">
        <v>107</v>
      </c>
      <c r="D27" s="6">
        <v>-2.2543638244777232E-3</v>
      </c>
    </row>
    <row r="28" spans="1:4">
      <c r="A28" s="5" t="s">
        <v>22</v>
      </c>
      <c r="B28" s="5" t="s">
        <v>199</v>
      </c>
      <c r="C28" s="5" t="s">
        <v>111</v>
      </c>
      <c r="D28" s="6">
        <v>-8.5820218976868645E-3</v>
      </c>
    </row>
    <row r="29" spans="1:4">
      <c r="A29" s="5" t="s">
        <v>22</v>
      </c>
      <c r="B29" s="5" t="s">
        <v>200</v>
      </c>
      <c r="C29" s="5" t="s">
        <v>115</v>
      </c>
      <c r="D29" s="6">
        <v>-1.576955533435229E-2</v>
      </c>
    </row>
    <row r="30" spans="1:4">
      <c r="A30" s="5" t="s">
        <v>22</v>
      </c>
      <c r="B30" s="5" t="s">
        <v>200</v>
      </c>
      <c r="C30" s="5" t="s">
        <v>109</v>
      </c>
      <c r="D30" s="6">
        <v>-8.8064294383078945E-3</v>
      </c>
    </row>
    <row r="31" spans="1:4">
      <c r="A31" s="5" t="s">
        <v>22</v>
      </c>
      <c r="B31" s="5" t="s">
        <v>200</v>
      </c>
      <c r="C31" s="5" t="s">
        <v>111</v>
      </c>
      <c r="D31" s="6">
        <v>-8.5820218976868645E-3</v>
      </c>
    </row>
    <row r="32" spans="1:4">
      <c r="A32" s="5" t="s">
        <v>22</v>
      </c>
      <c r="B32" s="5" t="s">
        <v>201</v>
      </c>
      <c r="C32" s="5" t="s">
        <v>109</v>
      </c>
      <c r="D32" s="6">
        <v>1.735913532457509E-2</v>
      </c>
    </row>
    <row r="33" spans="1:4">
      <c r="A33" s="5" t="s">
        <v>22</v>
      </c>
      <c r="B33" s="5" t="s">
        <v>201</v>
      </c>
      <c r="C33" s="5" t="s">
        <v>113</v>
      </c>
      <c r="D33" s="6">
        <v>5.9041794173309006E-3</v>
      </c>
    </row>
    <row r="34" spans="1:4">
      <c r="A34" s="5" t="s">
        <v>22</v>
      </c>
      <c r="B34" s="5" t="s">
        <v>201</v>
      </c>
      <c r="C34" s="5" t="s">
        <v>111</v>
      </c>
      <c r="D34" s="6">
        <v>-3.3451837256609049E-3</v>
      </c>
    </row>
    <row r="35" spans="1:4">
      <c r="A35" s="5" t="s">
        <v>22</v>
      </c>
      <c r="B35" s="5" t="s">
        <v>202</v>
      </c>
      <c r="C35" s="5" t="s">
        <v>107</v>
      </c>
      <c r="D35" s="6">
        <v>-5.1823021724403118E-3</v>
      </c>
    </row>
    <row r="36" spans="1:4">
      <c r="A36" s="5" t="s">
        <v>22</v>
      </c>
      <c r="B36" s="5" t="s">
        <v>202</v>
      </c>
      <c r="C36" s="5" t="s">
        <v>115</v>
      </c>
      <c r="D36" s="6">
        <v>-3.4010146798373999E-3</v>
      </c>
    </row>
    <row r="37" spans="1:4">
      <c r="A37" s="5" t="s">
        <v>22</v>
      </c>
      <c r="B37" s="5" t="s">
        <v>202</v>
      </c>
      <c r="C37" s="5" t="s">
        <v>111</v>
      </c>
      <c r="D37" s="6">
        <v>-3.3451837256609049E-3</v>
      </c>
    </row>
    <row r="38" spans="1:4">
      <c r="A38" s="5" t="s">
        <v>22</v>
      </c>
      <c r="B38" s="5" t="s">
        <v>203</v>
      </c>
      <c r="C38" s="5" t="s">
        <v>113</v>
      </c>
      <c r="D38" s="6">
        <v>2.2331507392702669E-2</v>
      </c>
    </row>
    <row r="39" spans="1:4">
      <c r="A39" s="5" t="s">
        <v>22</v>
      </c>
      <c r="B39" s="5" t="s">
        <v>203</v>
      </c>
      <c r="C39" s="5" t="s">
        <v>109</v>
      </c>
      <c r="D39" s="6">
        <v>1.544588295453795E-2</v>
      </c>
    </row>
    <row r="40" spans="1:4">
      <c r="A40" s="5" t="s">
        <v>22</v>
      </c>
      <c r="B40" s="5" t="s">
        <v>203</v>
      </c>
      <c r="C40" s="5" t="s">
        <v>115</v>
      </c>
      <c r="D40" s="6">
        <v>1.0306533736683669E-3</v>
      </c>
    </row>
    <row r="41" spans="1:4">
      <c r="A41" s="5" t="s">
        <v>22</v>
      </c>
      <c r="B41" s="5" t="s">
        <v>204</v>
      </c>
      <c r="C41" s="5" t="s">
        <v>107</v>
      </c>
      <c r="D41" s="6">
        <v>-1.722520900116253E-2</v>
      </c>
    </row>
    <row r="42" spans="1:4">
      <c r="A42" s="5" t="s">
        <v>22</v>
      </c>
      <c r="B42" s="5" t="s">
        <v>204</v>
      </c>
      <c r="C42" s="5" t="s">
        <v>111</v>
      </c>
      <c r="D42" s="6">
        <v>-8.7002176235913449E-3</v>
      </c>
    </row>
    <row r="43" spans="1:4">
      <c r="A43" s="5" t="s">
        <v>22</v>
      </c>
      <c r="B43" s="5" t="s">
        <v>204</v>
      </c>
      <c r="C43" s="5" t="s">
        <v>115</v>
      </c>
      <c r="D43" s="6">
        <v>1.0306533736683669E-3</v>
      </c>
    </row>
    <row r="44" spans="1:4">
      <c r="A44" s="5" t="s">
        <v>22</v>
      </c>
      <c r="B44" s="5" t="s">
        <v>205</v>
      </c>
      <c r="C44" s="5" t="s">
        <v>115</v>
      </c>
      <c r="D44" s="6">
        <v>2.4470023921476441E-2</v>
      </c>
    </row>
    <row r="45" spans="1:4">
      <c r="A45" s="5" t="s">
        <v>22</v>
      </c>
      <c r="B45" s="5" t="s">
        <v>205</v>
      </c>
      <c r="C45" s="5" t="s">
        <v>113</v>
      </c>
      <c r="D45" s="6">
        <v>2.1685429637838281E-2</v>
      </c>
    </row>
    <row r="46" spans="1:4">
      <c r="A46" s="5" t="s">
        <v>22</v>
      </c>
      <c r="B46" s="5" t="s">
        <v>205</v>
      </c>
      <c r="C46" s="5" t="s">
        <v>109</v>
      </c>
      <c r="D46" s="6">
        <v>1.3902080607077811E-2</v>
      </c>
    </row>
    <row r="47" spans="1:4">
      <c r="A47" s="5" t="s">
        <v>22</v>
      </c>
      <c r="B47" s="5" t="s">
        <v>206</v>
      </c>
      <c r="C47" s="5" t="s">
        <v>107</v>
      </c>
      <c r="D47" s="6">
        <v>-6.86876220855408E-2</v>
      </c>
    </row>
    <row r="48" spans="1:4">
      <c r="A48" s="5" t="s">
        <v>22</v>
      </c>
      <c r="B48" s="5" t="s">
        <v>206</v>
      </c>
      <c r="C48" s="5" t="s">
        <v>111</v>
      </c>
      <c r="D48" s="6">
        <v>8.1217234707737333E-3</v>
      </c>
    </row>
    <row r="49" spans="1:4">
      <c r="A49" s="5" t="s">
        <v>22</v>
      </c>
      <c r="B49" s="5" t="s">
        <v>206</v>
      </c>
      <c r="C49" s="5" t="s">
        <v>109</v>
      </c>
      <c r="D49" s="6">
        <v>1.3902080607077811E-2</v>
      </c>
    </row>
    <row r="50" spans="1:4">
      <c r="A50" s="5" t="s">
        <v>23</v>
      </c>
      <c r="B50" s="5" t="s">
        <v>199</v>
      </c>
      <c r="C50" s="5" t="s">
        <v>100</v>
      </c>
      <c r="D50" s="6">
        <v>-2.8373315984300258E-3</v>
      </c>
    </row>
    <row r="51" spans="1:4">
      <c r="A51" s="5" t="s">
        <v>23</v>
      </c>
      <c r="B51" s="5" t="s">
        <v>199</v>
      </c>
      <c r="C51" s="5" t="s">
        <v>103</v>
      </c>
      <c r="D51" s="6">
        <v>-4.5965210151402607E-3</v>
      </c>
    </row>
    <row r="52" spans="1:4">
      <c r="A52" s="5" t="s">
        <v>23</v>
      </c>
      <c r="B52" s="5" t="s">
        <v>199</v>
      </c>
      <c r="C52" s="5" t="s">
        <v>105</v>
      </c>
      <c r="D52" s="6">
        <v>-7.6168779246144807E-3</v>
      </c>
    </row>
    <row r="53" spans="1:4">
      <c r="A53" s="5" t="s">
        <v>23</v>
      </c>
      <c r="B53" s="5" t="s">
        <v>200</v>
      </c>
      <c r="C53" s="5" t="s">
        <v>105</v>
      </c>
      <c r="D53" s="6">
        <v>-7.6168779246144807E-3</v>
      </c>
    </row>
    <row r="54" spans="1:4">
      <c r="A54" s="5" t="s">
        <v>23</v>
      </c>
      <c r="B54" s="5" t="s">
        <v>200</v>
      </c>
      <c r="C54" s="5" t="s">
        <v>103</v>
      </c>
      <c r="D54" s="6">
        <v>-4.5965210151402607E-3</v>
      </c>
    </row>
    <row r="55" spans="1:4">
      <c r="A55" s="5" t="s">
        <v>23</v>
      </c>
      <c r="B55" s="5" t="s">
        <v>200</v>
      </c>
      <c r="C55" s="5" t="s">
        <v>100</v>
      </c>
      <c r="D55" s="6">
        <v>-2.8373315984300258E-3</v>
      </c>
    </row>
    <row r="56" spans="1:4">
      <c r="A56" s="5" t="s">
        <v>23</v>
      </c>
      <c r="B56" s="5" t="s">
        <v>201</v>
      </c>
      <c r="C56" s="5" t="s">
        <v>100</v>
      </c>
      <c r="D56" s="6">
        <v>-2.0196786582799661E-2</v>
      </c>
    </row>
    <row r="57" spans="1:4">
      <c r="A57" s="5" t="s">
        <v>23</v>
      </c>
      <c r="B57" s="5" t="s">
        <v>201</v>
      </c>
      <c r="C57" s="5" t="s">
        <v>103</v>
      </c>
      <c r="D57" s="6">
        <v>-2.0436397430505439E-2</v>
      </c>
    </row>
    <row r="58" spans="1:4">
      <c r="A58" s="5" t="s">
        <v>23</v>
      </c>
      <c r="B58" s="5" t="s">
        <v>201</v>
      </c>
      <c r="C58" s="5" t="s">
        <v>105</v>
      </c>
      <c r="D58" s="6">
        <v>-2.6956543933812079E-2</v>
      </c>
    </row>
    <row r="59" spans="1:4">
      <c r="A59" s="5" t="s">
        <v>23</v>
      </c>
      <c r="B59" s="5" t="s">
        <v>202</v>
      </c>
      <c r="C59" s="5" t="s">
        <v>105</v>
      </c>
      <c r="D59" s="6">
        <v>-2.6956543933812079E-2</v>
      </c>
    </row>
    <row r="60" spans="1:4">
      <c r="A60" s="5" t="s">
        <v>23</v>
      </c>
      <c r="B60" s="5" t="s">
        <v>202</v>
      </c>
      <c r="C60" s="5" t="s">
        <v>103</v>
      </c>
      <c r="D60" s="6">
        <v>-2.0436397430505439E-2</v>
      </c>
    </row>
    <row r="61" spans="1:4">
      <c r="A61" s="5" t="s">
        <v>23</v>
      </c>
      <c r="B61" s="5" t="s">
        <v>202</v>
      </c>
      <c r="C61" s="5" t="s">
        <v>100</v>
      </c>
      <c r="D61" s="6">
        <v>-2.0196786582799661E-2</v>
      </c>
    </row>
    <row r="62" spans="1:4">
      <c r="A62" s="5" t="s">
        <v>23</v>
      </c>
      <c r="B62" s="5" t="s">
        <v>203</v>
      </c>
      <c r="C62" s="5" t="s">
        <v>103</v>
      </c>
      <c r="D62" s="6">
        <v>-1.9163910112510729E-3</v>
      </c>
    </row>
    <row r="63" spans="1:4">
      <c r="A63" s="5" t="s">
        <v>23</v>
      </c>
      <c r="B63" s="5" t="s">
        <v>203</v>
      </c>
      <c r="C63" s="5" t="s">
        <v>100</v>
      </c>
      <c r="D63" s="6">
        <v>-1.2041150870169069E-2</v>
      </c>
    </row>
    <row r="64" spans="1:4">
      <c r="A64" s="5" t="s">
        <v>23</v>
      </c>
      <c r="B64" s="5" t="s">
        <v>203</v>
      </c>
      <c r="C64" s="5" t="s">
        <v>105</v>
      </c>
      <c r="D64" s="6">
        <v>-2.9185740651974029E-2</v>
      </c>
    </row>
    <row r="65" spans="1:4">
      <c r="A65" s="5" t="s">
        <v>23</v>
      </c>
      <c r="B65" s="5" t="s">
        <v>204</v>
      </c>
      <c r="C65" s="5" t="s">
        <v>105</v>
      </c>
      <c r="D65" s="6">
        <v>-2.9185740651974029E-2</v>
      </c>
    </row>
    <row r="66" spans="1:4">
      <c r="A66" s="5" t="s">
        <v>23</v>
      </c>
      <c r="B66" s="5" t="s">
        <v>204</v>
      </c>
      <c r="C66" s="5" t="s">
        <v>100</v>
      </c>
      <c r="D66" s="6">
        <v>-1.2041150870169069E-2</v>
      </c>
    </row>
    <row r="67" spans="1:4">
      <c r="A67" s="5" t="s">
        <v>23</v>
      </c>
      <c r="B67" s="5" t="s">
        <v>204</v>
      </c>
      <c r="C67" s="5" t="s">
        <v>103</v>
      </c>
      <c r="D67" s="6">
        <v>-1.9163910112510729E-3</v>
      </c>
    </row>
    <row r="68" spans="1:4">
      <c r="A68" s="5" t="s">
        <v>23</v>
      </c>
      <c r="B68" s="5" t="s">
        <v>205</v>
      </c>
      <c r="C68" s="5" t="s">
        <v>100</v>
      </c>
      <c r="D68" s="6">
        <v>-9.8793002352038171E-3</v>
      </c>
    </row>
    <row r="69" spans="1:4">
      <c r="A69" s="5" t="s">
        <v>23</v>
      </c>
      <c r="B69" s="5" t="s">
        <v>205</v>
      </c>
      <c r="C69" s="5" t="s">
        <v>103</v>
      </c>
      <c r="D69" s="6">
        <v>-1.8156377772545858E-2</v>
      </c>
    </row>
    <row r="70" spans="1:4">
      <c r="A70" s="5" t="s">
        <v>23</v>
      </c>
      <c r="B70" s="5" t="s">
        <v>205</v>
      </c>
      <c r="C70" s="5" t="s">
        <v>105</v>
      </c>
      <c r="D70" s="6">
        <v>-4.3723076936136793E-2</v>
      </c>
    </row>
    <row r="71" spans="1:4">
      <c r="A71" s="5" t="s">
        <v>23</v>
      </c>
      <c r="B71" s="5" t="s">
        <v>206</v>
      </c>
      <c r="C71" s="5" t="s">
        <v>105</v>
      </c>
      <c r="D71" s="6">
        <v>-4.3723076936136793E-2</v>
      </c>
    </row>
    <row r="72" spans="1:4">
      <c r="A72" s="5" t="s">
        <v>23</v>
      </c>
      <c r="B72" s="5" t="s">
        <v>206</v>
      </c>
      <c r="C72" s="5" t="s">
        <v>103</v>
      </c>
      <c r="D72" s="6">
        <v>-1.8156377772545858E-2</v>
      </c>
    </row>
    <row r="73" spans="1:4">
      <c r="A73" s="5" t="s">
        <v>23</v>
      </c>
      <c r="B73" s="5" t="s">
        <v>206</v>
      </c>
      <c r="C73" s="5" t="s">
        <v>100</v>
      </c>
      <c r="D73" s="6">
        <v>-9.8793002352038171E-3</v>
      </c>
    </row>
    <row r="74" spans="1:4">
      <c r="A74" s="5" t="s">
        <v>24</v>
      </c>
      <c r="B74" s="5" t="s">
        <v>199</v>
      </c>
      <c r="C74" s="5" t="s">
        <v>165</v>
      </c>
      <c r="D74" s="6">
        <v>1.5596934413791049E-3</v>
      </c>
    </row>
    <row r="75" spans="1:4">
      <c r="A75" s="5" t="s">
        <v>24</v>
      </c>
      <c r="B75" s="5" t="s">
        <v>199</v>
      </c>
      <c r="C75" s="5" t="s">
        <v>161</v>
      </c>
      <c r="D75" s="6">
        <v>5.6673739222918532E-4</v>
      </c>
    </row>
    <row r="76" spans="1:4">
      <c r="A76" s="5" t="s">
        <v>24</v>
      </c>
      <c r="B76" s="5" t="s">
        <v>199</v>
      </c>
      <c r="C76" s="5" t="s">
        <v>159</v>
      </c>
      <c r="D76" s="6">
        <v>4.4915859058211209E-4</v>
      </c>
    </row>
    <row r="77" spans="1:4">
      <c r="A77" s="5" t="s">
        <v>24</v>
      </c>
      <c r="B77" s="5" t="s">
        <v>200</v>
      </c>
      <c r="C77" s="5" t="s">
        <v>167</v>
      </c>
      <c r="D77" s="6">
        <v>-8.9253153853552369E-4</v>
      </c>
    </row>
    <row r="78" spans="1:4">
      <c r="A78" s="5" t="s">
        <v>24</v>
      </c>
      <c r="B78" s="5" t="s">
        <v>200</v>
      </c>
      <c r="C78" s="5" t="s">
        <v>163</v>
      </c>
      <c r="D78" s="6">
        <v>-2.066899000510317E-4</v>
      </c>
    </row>
    <row r="79" spans="1:4">
      <c r="A79" s="5" t="s">
        <v>24</v>
      </c>
      <c r="B79" s="5" t="s">
        <v>200</v>
      </c>
      <c r="C79" s="5" t="s">
        <v>169</v>
      </c>
      <c r="D79" s="6">
        <v>1.6877799053387801E-4</v>
      </c>
    </row>
    <row r="80" spans="1:4">
      <c r="A80" s="5" t="s">
        <v>24</v>
      </c>
      <c r="B80" s="5" t="s">
        <v>201</v>
      </c>
      <c r="C80" s="5" t="s">
        <v>159</v>
      </c>
      <c r="D80" s="6">
        <v>-3.1859518819597719E-3</v>
      </c>
    </row>
    <row r="81" spans="1:4">
      <c r="A81" s="5" t="s">
        <v>24</v>
      </c>
      <c r="B81" s="5" t="s">
        <v>201</v>
      </c>
      <c r="C81" s="5" t="s">
        <v>171</v>
      </c>
      <c r="D81" s="6">
        <v>-4.0505414761350866E-3</v>
      </c>
    </row>
    <row r="82" spans="1:4">
      <c r="A82" s="5" t="s">
        <v>24</v>
      </c>
      <c r="B82" s="5" t="s">
        <v>201</v>
      </c>
      <c r="C82" s="5" t="s">
        <v>167</v>
      </c>
      <c r="D82" s="6">
        <v>-5.8892766746716507E-3</v>
      </c>
    </row>
    <row r="83" spans="1:4">
      <c r="A83" s="5" t="s">
        <v>24</v>
      </c>
      <c r="B83" s="5" t="s">
        <v>202</v>
      </c>
      <c r="C83" s="5" t="s">
        <v>161</v>
      </c>
      <c r="D83" s="6">
        <v>-9.2572376210372353E-3</v>
      </c>
    </row>
    <row r="84" spans="1:4">
      <c r="A84" s="5" t="s">
        <v>24</v>
      </c>
      <c r="B84" s="5" t="s">
        <v>202</v>
      </c>
      <c r="C84" s="5" t="s">
        <v>163</v>
      </c>
      <c r="D84" s="6">
        <v>-8.3727694028670665E-3</v>
      </c>
    </row>
    <row r="85" spans="1:4">
      <c r="A85" s="5" t="s">
        <v>24</v>
      </c>
      <c r="B85" s="5" t="s">
        <v>202</v>
      </c>
      <c r="C85" s="5" t="s">
        <v>165</v>
      </c>
      <c r="D85" s="6">
        <v>-7.350586324319397E-3</v>
      </c>
    </row>
    <row r="86" spans="1:4">
      <c r="A86" s="5" t="s">
        <v>24</v>
      </c>
      <c r="B86" s="5" t="s">
        <v>203</v>
      </c>
      <c r="C86" s="5" t="s">
        <v>171</v>
      </c>
      <c r="D86" s="6">
        <v>8.7286066577954968E-3</v>
      </c>
    </row>
    <row r="87" spans="1:4">
      <c r="A87" s="5" t="s">
        <v>24</v>
      </c>
      <c r="B87" s="5" t="s">
        <v>203</v>
      </c>
      <c r="C87" s="5" t="s">
        <v>169</v>
      </c>
      <c r="D87" s="6">
        <v>-4.4840050153912092E-3</v>
      </c>
    </row>
    <row r="88" spans="1:4">
      <c r="A88" s="5" t="s">
        <v>24</v>
      </c>
      <c r="B88" s="5" t="s">
        <v>203</v>
      </c>
      <c r="C88" s="5" t="s">
        <v>165</v>
      </c>
      <c r="D88" s="6">
        <v>-7.3763943659826336E-3</v>
      </c>
    </row>
    <row r="89" spans="1:4">
      <c r="A89" s="5" t="s">
        <v>24</v>
      </c>
      <c r="B89" s="5" t="s">
        <v>204</v>
      </c>
      <c r="C89" s="5" t="s">
        <v>163</v>
      </c>
      <c r="D89" s="6">
        <v>-1.3424641776110311E-2</v>
      </c>
    </row>
    <row r="90" spans="1:4">
      <c r="A90" s="5" t="s">
        <v>24</v>
      </c>
      <c r="B90" s="5" t="s">
        <v>204</v>
      </c>
      <c r="C90" s="5" t="s">
        <v>159</v>
      </c>
      <c r="D90" s="6">
        <v>-1.0123187867946051E-2</v>
      </c>
    </row>
    <row r="91" spans="1:4">
      <c r="A91" s="5" t="s">
        <v>24</v>
      </c>
      <c r="B91" s="5" t="s">
        <v>204</v>
      </c>
      <c r="C91" s="5" t="s">
        <v>167</v>
      </c>
      <c r="D91" s="6">
        <v>-8.0652969133540187E-3</v>
      </c>
    </row>
    <row r="92" spans="1:4">
      <c r="A92" s="5" t="s">
        <v>24</v>
      </c>
      <c r="B92" s="5" t="s">
        <v>205</v>
      </c>
      <c r="C92" s="5" t="s">
        <v>167</v>
      </c>
      <c r="D92" s="6">
        <v>-3.6320416097587499E-3</v>
      </c>
    </row>
    <row r="93" spans="1:4">
      <c r="A93" s="5" t="s">
        <v>24</v>
      </c>
      <c r="B93" s="5" t="s">
        <v>205</v>
      </c>
      <c r="C93" s="5" t="s">
        <v>169</v>
      </c>
      <c r="D93" s="6">
        <v>-5.6810357772489562E-3</v>
      </c>
    </row>
    <row r="94" spans="1:4">
      <c r="A94" s="5" t="s">
        <v>24</v>
      </c>
      <c r="B94" s="5" t="s">
        <v>205</v>
      </c>
      <c r="C94" s="5" t="s">
        <v>161</v>
      </c>
      <c r="D94" s="6">
        <v>-8.6750053823280958E-3</v>
      </c>
    </row>
    <row r="95" spans="1:4">
      <c r="A95" s="5" t="s">
        <v>24</v>
      </c>
      <c r="B95" s="5" t="s">
        <v>206</v>
      </c>
      <c r="C95" s="5" t="s">
        <v>171</v>
      </c>
      <c r="D95" s="6">
        <v>-3.338131544728408E-2</v>
      </c>
    </row>
    <row r="96" spans="1:4">
      <c r="A96" s="5" t="s">
        <v>24</v>
      </c>
      <c r="B96" s="5" t="s">
        <v>206</v>
      </c>
      <c r="C96" s="5" t="s">
        <v>159</v>
      </c>
      <c r="D96" s="6">
        <v>-1.9335827622541019E-2</v>
      </c>
    </row>
    <row r="97" spans="1:4">
      <c r="A97" s="5" t="s">
        <v>24</v>
      </c>
      <c r="B97" s="5" t="s">
        <v>206</v>
      </c>
      <c r="C97" s="5" t="s">
        <v>163</v>
      </c>
      <c r="D97" s="6">
        <v>-1.067226398542802E-2</v>
      </c>
    </row>
    <row r="98" spans="1:4">
      <c r="A98" s="5" t="s">
        <v>25</v>
      </c>
      <c r="B98" s="5" t="s">
        <v>199</v>
      </c>
      <c r="C98" s="5" t="s">
        <v>157</v>
      </c>
      <c r="D98" s="6">
        <v>3.8866416604050138E-3</v>
      </c>
    </row>
    <row r="99" spans="1:4">
      <c r="A99" s="5" t="s">
        <v>25</v>
      </c>
      <c r="B99" s="5" t="s">
        <v>199</v>
      </c>
      <c r="C99" s="5" t="s">
        <v>152</v>
      </c>
      <c r="D99" s="6">
        <v>3.0919021109817219E-4</v>
      </c>
    </row>
    <row r="100" spans="1:4">
      <c r="A100" s="5" t="s">
        <v>25</v>
      </c>
      <c r="B100" s="5" t="s">
        <v>199</v>
      </c>
      <c r="C100" s="5" t="s">
        <v>155</v>
      </c>
      <c r="D100" s="6">
        <v>1.8263079421728301E-4</v>
      </c>
    </row>
    <row r="101" spans="1:4">
      <c r="A101" s="5" t="s">
        <v>25</v>
      </c>
      <c r="B101" s="5" t="s">
        <v>200</v>
      </c>
      <c r="C101" s="5" t="s">
        <v>155</v>
      </c>
      <c r="D101" s="6">
        <v>1.8263079421728301E-4</v>
      </c>
    </row>
    <row r="102" spans="1:4">
      <c r="A102" s="5" t="s">
        <v>25</v>
      </c>
      <c r="B102" s="5" t="s">
        <v>200</v>
      </c>
      <c r="C102" s="5" t="s">
        <v>152</v>
      </c>
      <c r="D102" s="6">
        <v>3.0919021109817219E-4</v>
      </c>
    </row>
    <row r="103" spans="1:4">
      <c r="A103" s="5" t="s">
        <v>25</v>
      </c>
      <c r="B103" s="5" t="s">
        <v>200</v>
      </c>
      <c r="C103" s="5" t="s">
        <v>157</v>
      </c>
      <c r="D103" s="6">
        <v>3.8866416604050138E-3</v>
      </c>
    </row>
    <row r="104" spans="1:4">
      <c r="A104" s="5" t="s">
        <v>25</v>
      </c>
      <c r="B104" s="5" t="s">
        <v>201</v>
      </c>
      <c r="C104" s="5" t="s">
        <v>152</v>
      </c>
      <c r="D104" s="6">
        <v>1.2521552712016311E-3</v>
      </c>
    </row>
    <row r="105" spans="1:4">
      <c r="A105" s="5" t="s">
        <v>25</v>
      </c>
      <c r="B105" s="5" t="s">
        <v>201</v>
      </c>
      <c r="C105" s="5" t="s">
        <v>157</v>
      </c>
      <c r="D105" s="6">
        <v>-8.0934456567357171E-4</v>
      </c>
    </row>
    <row r="106" spans="1:4">
      <c r="A106" s="5" t="s">
        <v>25</v>
      </c>
      <c r="B106" s="5" t="s">
        <v>201</v>
      </c>
      <c r="C106" s="5" t="s">
        <v>155</v>
      </c>
      <c r="D106" s="6">
        <v>-1.885655331259917E-2</v>
      </c>
    </row>
    <row r="107" spans="1:4">
      <c r="A107" s="5" t="s">
        <v>25</v>
      </c>
      <c r="B107" s="5" t="s">
        <v>202</v>
      </c>
      <c r="C107" s="5" t="s">
        <v>155</v>
      </c>
      <c r="D107" s="6">
        <v>-1.885655331259917E-2</v>
      </c>
    </row>
    <row r="108" spans="1:4">
      <c r="A108" s="5" t="s">
        <v>25</v>
      </c>
      <c r="B108" s="5" t="s">
        <v>202</v>
      </c>
      <c r="C108" s="5" t="s">
        <v>157</v>
      </c>
      <c r="D108" s="6">
        <v>-8.0934456567357171E-4</v>
      </c>
    </row>
    <row r="109" spans="1:4">
      <c r="A109" s="5" t="s">
        <v>25</v>
      </c>
      <c r="B109" s="5" t="s">
        <v>202</v>
      </c>
      <c r="C109" s="5" t="s">
        <v>152</v>
      </c>
      <c r="D109" s="6">
        <v>1.2521552712016311E-3</v>
      </c>
    </row>
    <row r="110" spans="1:4">
      <c r="A110" s="5" t="s">
        <v>25</v>
      </c>
      <c r="B110" s="5" t="s">
        <v>203</v>
      </c>
      <c r="C110" s="5" t="s">
        <v>152</v>
      </c>
      <c r="D110" s="6">
        <v>2.2607050205161849E-2</v>
      </c>
    </row>
    <row r="111" spans="1:4">
      <c r="A111" s="5" t="s">
        <v>25</v>
      </c>
      <c r="B111" s="5" t="s">
        <v>203</v>
      </c>
      <c r="C111" s="5" t="s">
        <v>157</v>
      </c>
      <c r="D111" s="6">
        <v>-1.91195932217509E-2</v>
      </c>
    </row>
    <row r="112" spans="1:4">
      <c r="A112" s="5" t="s">
        <v>25</v>
      </c>
      <c r="B112" s="5" t="s">
        <v>203</v>
      </c>
      <c r="C112" s="5" t="s">
        <v>155</v>
      </c>
      <c r="D112" s="6">
        <v>-6.1359744595467003E-2</v>
      </c>
    </row>
    <row r="113" spans="1:4">
      <c r="A113" s="5" t="s">
        <v>25</v>
      </c>
      <c r="B113" s="5" t="s">
        <v>204</v>
      </c>
      <c r="C113" s="5" t="s">
        <v>155</v>
      </c>
      <c r="D113" s="6">
        <v>-6.1359744595467003E-2</v>
      </c>
    </row>
    <row r="114" spans="1:4">
      <c r="A114" s="5" t="s">
        <v>25</v>
      </c>
      <c r="B114" s="5" t="s">
        <v>204</v>
      </c>
      <c r="C114" s="5" t="s">
        <v>157</v>
      </c>
      <c r="D114" s="6">
        <v>-1.91195932217509E-2</v>
      </c>
    </row>
    <row r="115" spans="1:4">
      <c r="A115" s="5" t="s">
        <v>25</v>
      </c>
      <c r="B115" s="5" t="s">
        <v>204</v>
      </c>
      <c r="C115" s="5" t="s">
        <v>152</v>
      </c>
      <c r="D115" s="6">
        <v>2.2607050205161849E-2</v>
      </c>
    </row>
    <row r="116" spans="1:4">
      <c r="A116" s="5" t="s">
        <v>25</v>
      </c>
      <c r="B116" s="5" t="s">
        <v>205</v>
      </c>
      <c r="C116" s="5" t="s">
        <v>152</v>
      </c>
      <c r="D116" s="6">
        <v>9.6827523983359001E-3</v>
      </c>
    </row>
    <row r="117" spans="1:4">
      <c r="A117" s="5" t="s">
        <v>25</v>
      </c>
      <c r="B117" s="5" t="s">
        <v>205</v>
      </c>
      <c r="C117" s="5" t="s">
        <v>157</v>
      </c>
      <c r="D117" s="6">
        <v>-3.8572719627342322E-2</v>
      </c>
    </row>
    <row r="118" spans="1:4">
      <c r="A118" s="5" t="s">
        <v>25</v>
      </c>
      <c r="B118" s="5" t="s">
        <v>205</v>
      </c>
      <c r="C118" s="5" t="s">
        <v>155</v>
      </c>
      <c r="D118" s="6">
        <v>-5.9770804447047153E-2</v>
      </c>
    </row>
    <row r="119" spans="1:4">
      <c r="A119" s="5" t="s">
        <v>25</v>
      </c>
      <c r="B119" s="5" t="s">
        <v>206</v>
      </c>
      <c r="C119" s="5" t="s">
        <v>155</v>
      </c>
      <c r="D119" s="6">
        <v>-5.9770804447047153E-2</v>
      </c>
    </row>
    <row r="120" spans="1:4">
      <c r="A120" s="5" t="s">
        <v>25</v>
      </c>
      <c r="B120" s="5" t="s">
        <v>206</v>
      </c>
      <c r="C120" s="5" t="s">
        <v>157</v>
      </c>
      <c r="D120" s="6">
        <v>-3.8572719627342322E-2</v>
      </c>
    </row>
    <row r="121" spans="1:4">
      <c r="A121" s="5" t="s">
        <v>25</v>
      </c>
      <c r="B121" s="5" t="s">
        <v>206</v>
      </c>
      <c r="C121" s="5" t="s">
        <v>152</v>
      </c>
      <c r="D121" s="6">
        <v>9.6827523983359001E-3</v>
      </c>
    </row>
    <row r="122" spans="1:4">
      <c r="A122" s="5" t="s">
        <v>26</v>
      </c>
      <c r="B122" s="5" t="s">
        <v>199</v>
      </c>
      <c r="C122" s="5" t="s">
        <v>195</v>
      </c>
      <c r="D122" s="6">
        <v>4.788193323441492E-3</v>
      </c>
    </row>
    <row r="123" spans="1:4">
      <c r="A123" s="5" t="s">
        <v>26</v>
      </c>
      <c r="B123" s="5" t="s">
        <v>199</v>
      </c>
      <c r="C123" s="5" t="s">
        <v>191</v>
      </c>
      <c r="D123" s="6">
        <v>4.5257602470587148E-3</v>
      </c>
    </row>
    <row r="124" spans="1:4">
      <c r="A124" s="5" t="s">
        <v>26</v>
      </c>
      <c r="B124" s="5" t="s">
        <v>199</v>
      </c>
      <c r="C124" s="5" t="s">
        <v>187</v>
      </c>
      <c r="D124" s="6">
        <v>4.7758889336365262E-4</v>
      </c>
    </row>
    <row r="125" spans="1:4">
      <c r="A125" s="5" t="s">
        <v>26</v>
      </c>
      <c r="B125" s="5" t="s">
        <v>200</v>
      </c>
      <c r="C125" s="5" t="s">
        <v>193</v>
      </c>
      <c r="D125" s="6">
        <v>-1.2940252275981941E-3</v>
      </c>
    </row>
    <row r="126" spans="1:4">
      <c r="A126" s="5" t="s">
        <v>26</v>
      </c>
      <c r="B126" s="5" t="s">
        <v>200</v>
      </c>
      <c r="C126" s="5" t="s">
        <v>189</v>
      </c>
      <c r="D126" s="6">
        <v>-1.6565963054933819E-4</v>
      </c>
    </row>
    <row r="127" spans="1:4">
      <c r="A127" s="5" t="s">
        <v>26</v>
      </c>
      <c r="B127" s="5" t="s">
        <v>200</v>
      </c>
      <c r="C127" s="5" t="s">
        <v>185</v>
      </c>
      <c r="D127" s="6">
        <v>2.2883275306040399E-4</v>
      </c>
    </row>
    <row r="128" spans="1:4">
      <c r="A128" s="5" t="s">
        <v>26</v>
      </c>
      <c r="B128" s="5" t="s">
        <v>201</v>
      </c>
      <c r="C128" s="5" t="s">
        <v>191</v>
      </c>
      <c r="D128" s="6">
        <v>5.2388886960345422E-3</v>
      </c>
    </row>
    <row r="129" spans="1:4">
      <c r="A129" s="5" t="s">
        <v>26</v>
      </c>
      <c r="B129" s="5" t="s">
        <v>201</v>
      </c>
      <c r="C129" s="5" t="s">
        <v>189</v>
      </c>
      <c r="D129" s="6">
        <v>9.4256041019221326E-4</v>
      </c>
    </row>
    <row r="130" spans="1:4">
      <c r="A130" s="5" t="s">
        <v>26</v>
      </c>
      <c r="B130" s="5" t="s">
        <v>201</v>
      </c>
      <c r="C130" s="5" t="s">
        <v>193</v>
      </c>
      <c r="D130" s="6">
        <v>2.5518762308107679E-4</v>
      </c>
    </row>
    <row r="131" spans="1:4">
      <c r="A131" s="5" t="s">
        <v>26</v>
      </c>
      <c r="B131" s="5" t="s">
        <v>202</v>
      </c>
      <c r="C131" s="5" t="s">
        <v>195</v>
      </c>
      <c r="D131" s="6">
        <v>-3.9072066424704994E-3</v>
      </c>
    </row>
    <row r="132" spans="1:4">
      <c r="A132" s="5" t="s">
        <v>26</v>
      </c>
      <c r="B132" s="5" t="s">
        <v>202</v>
      </c>
      <c r="C132" s="5" t="s">
        <v>185</v>
      </c>
      <c r="D132" s="6">
        <v>-3.2080808664637171E-3</v>
      </c>
    </row>
    <row r="133" spans="1:4">
      <c r="A133" s="5" t="s">
        <v>26</v>
      </c>
      <c r="B133" s="5" t="s">
        <v>202</v>
      </c>
      <c r="C133" s="5" t="s">
        <v>187</v>
      </c>
      <c r="D133" s="6">
        <v>-2.9337178429200139E-3</v>
      </c>
    </row>
    <row r="134" spans="1:4">
      <c r="A134" s="5" t="s">
        <v>26</v>
      </c>
      <c r="B134" s="5" t="s">
        <v>203</v>
      </c>
      <c r="C134" s="5" t="s">
        <v>195</v>
      </c>
      <c r="D134" s="6">
        <v>1.9904526170802218E-2</v>
      </c>
    </row>
    <row r="135" spans="1:4">
      <c r="A135" s="5" t="s">
        <v>26</v>
      </c>
      <c r="B135" s="5" t="s">
        <v>203</v>
      </c>
      <c r="C135" s="5" t="s">
        <v>193</v>
      </c>
      <c r="D135" s="6">
        <v>1.1623488295035161E-2</v>
      </c>
    </row>
    <row r="136" spans="1:4">
      <c r="A136" s="5" t="s">
        <v>26</v>
      </c>
      <c r="B136" s="5" t="s">
        <v>203</v>
      </c>
      <c r="C136" s="5" t="s">
        <v>191</v>
      </c>
      <c r="D136" s="6">
        <v>1.123864609341785E-2</v>
      </c>
    </row>
    <row r="137" spans="1:4">
      <c r="A137" s="5" t="s">
        <v>26</v>
      </c>
      <c r="B137" s="5" t="s">
        <v>204</v>
      </c>
      <c r="C137" s="5" t="s">
        <v>185</v>
      </c>
      <c r="D137" s="6">
        <v>-1.0009325507241E-2</v>
      </c>
    </row>
    <row r="138" spans="1:4">
      <c r="A138" s="5" t="s">
        <v>26</v>
      </c>
      <c r="B138" s="5" t="s">
        <v>204</v>
      </c>
      <c r="C138" s="5" t="s">
        <v>187</v>
      </c>
      <c r="D138" s="6">
        <v>-9.4300718902609795E-3</v>
      </c>
    </row>
    <row r="139" spans="1:4">
      <c r="A139" s="5" t="s">
        <v>26</v>
      </c>
      <c r="B139" s="5" t="s">
        <v>204</v>
      </c>
      <c r="C139" s="5" t="s">
        <v>189</v>
      </c>
      <c r="D139" s="6">
        <v>5.6039929718647574E-3</v>
      </c>
    </row>
    <row r="140" spans="1:4">
      <c r="A140" s="5" t="s">
        <v>26</v>
      </c>
      <c r="B140" s="5" t="s">
        <v>205</v>
      </c>
      <c r="C140" s="5" t="s">
        <v>193</v>
      </c>
      <c r="D140" s="6">
        <v>2.108117683065288E-2</v>
      </c>
    </row>
    <row r="141" spans="1:4">
      <c r="A141" s="5" t="s">
        <v>26</v>
      </c>
      <c r="B141" s="5" t="s">
        <v>205</v>
      </c>
      <c r="C141" s="5" t="s">
        <v>185</v>
      </c>
      <c r="D141" s="6">
        <v>-8.1214962286182046E-4</v>
      </c>
    </row>
    <row r="142" spans="1:4">
      <c r="A142" s="5" t="s">
        <v>26</v>
      </c>
      <c r="B142" s="5" t="s">
        <v>205</v>
      </c>
      <c r="C142" s="5" t="s">
        <v>191</v>
      </c>
      <c r="D142" s="6">
        <v>-9.4261220710695204E-4</v>
      </c>
    </row>
    <row r="143" spans="1:4">
      <c r="A143" s="5" t="s">
        <v>26</v>
      </c>
      <c r="B143" s="5" t="s">
        <v>206</v>
      </c>
      <c r="C143" s="5" t="s">
        <v>195</v>
      </c>
      <c r="D143" s="6">
        <v>-6.7598873659053274E-2</v>
      </c>
    </row>
    <row r="144" spans="1:4">
      <c r="A144" s="5" t="s">
        <v>26</v>
      </c>
      <c r="B144" s="5" t="s">
        <v>206</v>
      </c>
      <c r="C144" s="5" t="s">
        <v>189</v>
      </c>
      <c r="D144" s="6">
        <v>-4.9641082642860969E-2</v>
      </c>
    </row>
    <row r="145" spans="1:4">
      <c r="A145" s="5" t="s">
        <v>26</v>
      </c>
      <c r="B145" s="5" t="s">
        <v>206</v>
      </c>
      <c r="C145" s="5" t="s">
        <v>187</v>
      </c>
      <c r="D145" s="6">
        <v>-1.1915613750482199E-2</v>
      </c>
    </row>
    <row r="146" spans="1:4">
      <c r="A146" s="5" t="s">
        <v>27</v>
      </c>
      <c r="B146" s="5" t="s">
        <v>199</v>
      </c>
      <c r="C146" s="5" t="s">
        <v>117</v>
      </c>
      <c r="D146" s="6">
        <v>4.9960746017156943E-3</v>
      </c>
    </row>
    <row r="147" spans="1:4">
      <c r="A147" s="5" t="s">
        <v>27</v>
      </c>
      <c r="B147" s="5" t="s">
        <v>199</v>
      </c>
      <c r="C147" s="5" t="s">
        <v>123</v>
      </c>
      <c r="D147" s="6">
        <v>1.8530950472377899E-6</v>
      </c>
    </row>
    <row r="148" spans="1:4">
      <c r="A148" s="5" t="s">
        <v>27</v>
      </c>
      <c r="B148" s="5" t="s">
        <v>199</v>
      </c>
      <c r="C148" s="5" t="s">
        <v>129</v>
      </c>
      <c r="D148" s="6">
        <v>-1.5761172554534179E-4</v>
      </c>
    </row>
    <row r="149" spans="1:4">
      <c r="A149" s="5" t="s">
        <v>27</v>
      </c>
      <c r="B149" s="5" t="s">
        <v>200</v>
      </c>
      <c r="C149" s="5" t="s">
        <v>131</v>
      </c>
      <c r="D149" s="6">
        <v>-3.3116744229786019E-3</v>
      </c>
    </row>
    <row r="150" spans="1:4">
      <c r="A150" s="5" t="s">
        <v>27</v>
      </c>
      <c r="B150" s="5" t="s">
        <v>200</v>
      </c>
      <c r="C150" s="5" t="s">
        <v>127</v>
      </c>
      <c r="D150" s="6">
        <v>-2.784585140206013E-3</v>
      </c>
    </row>
    <row r="151" spans="1:4">
      <c r="A151" s="5" t="s">
        <v>27</v>
      </c>
      <c r="B151" s="5" t="s">
        <v>200</v>
      </c>
      <c r="C151" s="5" t="s">
        <v>133</v>
      </c>
      <c r="D151" s="6">
        <v>-2.4494544184883419E-3</v>
      </c>
    </row>
    <row r="152" spans="1:4">
      <c r="A152" s="5" t="s">
        <v>27</v>
      </c>
      <c r="B152" s="5" t="s">
        <v>201</v>
      </c>
      <c r="C152" s="5" t="s">
        <v>129</v>
      </c>
      <c r="D152" s="6">
        <v>2.6173912603478671E-3</v>
      </c>
    </row>
    <row r="153" spans="1:4">
      <c r="A153" s="5" t="s">
        <v>27</v>
      </c>
      <c r="B153" s="5" t="s">
        <v>201</v>
      </c>
      <c r="C153" s="5" t="s">
        <v>123</v>
      </c>
      <c r="D153" s="6">
        <v>-4.2045075517845986E-3</v>
      </c>
    </row>
    <row r="154" spans="1:4">
      <c r="A154" s="5" t="s">
        <v>27</v>
      </c>
      <c r="B154" s="5" t="s">
        <v>201</v>
      </c>
      <c r="C154" s="5" t="s">
        <v>117</v>
      </c>
      <c r="D154" s="6">
        <v>-4.7216627734987006E-3</v>
      </c>
    </row>
    <row r="155" spans="1:4">
      <c r="A155" s="5" t="s">
        <v>27</v>
      </c>
      <c r="B155" s="5" t="s">
        <v>202</v>
      </c>
      <c r="C155" s="5" t="s">
        <v>121</v>
      </c>
      <c r="D155" s="6">
        <v>-1.011929755780985E-2</v>
      </c>
    </row>
    <row r="156" spans="1:4">
      <c r="A156" s="5" t="s">
        <v>27</v>
      </c>
      <c r="B156" s="5" t="s">
        <v>202</v>
      </c>
      <c r="C156" s="5" t="s">
        <v>125</v>
      </c>
      <c r="D156" s="6">
        <v>-7.2335449932427152E-3</v>
      </c>
    </row>
    <row r="157" spans="1:4">
      <c r="A157" s="5" t="s">
        <v>27</v>
      </c>
      <c r="B157" s="5" t="s">
        <v>202</v>
      </c>
      <c r="C157" s="5" t="s">
        <v>131</v>
      </c>
      <c r="D157" s="6">
        <v>-7.0982893227720606E-3</v>
      </c>
    </row>
    <row r="158" spans="1:4">
      <c r="A158" s="5" t="s">
        <v>27</v>
      </c>
      <c r="B158" s="5" t="s">
        <v>203</v>
      </c>
      <c r="C158" s="5" t="s">
        <v>129</v>
      </c>
      <c r="D158" s="6">
        <v>2.9255116756734138E-2</v>
      </c>
    </row>
    <row r="159" spans="1:4">
      <c r="A159" s="5" t="s">
        <v>27</v>
      </c>
      <c r="B159" s="5" t="s">
        <v>203</v>
      </c>
      <c r="C159" s="5" t="s">
        <v>127</v>
      </c>
      <c r="D159" s="6">
        <v>2.8912366649167989E-2</v>
      </c>
    </row>
    <row r="160" spans="1:4">
      <c r="A160" s="5" t="s">
        <v>27</v>
      </c>
      <c r="B160" s="5" t="s">
        <v>203</v>
      </c>
      <c r="C160" s="5" t="s">
        <v>117</v>
      </c>
      <c r="D160" s="6">
        <v>1.061855296849859E-2</v>
      </c>
    </row>
    <row r="161" spans="1:4">
      <c r="A161" s="5" t="s">
        <v>27</v>
      </c>
      <c r="B161" s="5" t="s">
        <v>204</v>
      </c>
      <c r="C161" s="5" t="s">
        <v>133</v>
      </c>
      <c r="D161" s="6">
        <v>-2.1276376802644409E-2</v>
      </c>
    </row>
    <row r="162" spans="1:4">
      <c r="A162" s="5" t="s">
        <v>27</v>
      </c>
      <c r="B162" s="5" t="s">
        <v>204</v>
      </c>
      <c r="C162" s="5" t="s">
        <v>131</v>
      </c>
      <c r="D162" s="6">
        <v>-8.2840498271980045E-3</v>
      </c>
    </row>
    <row r="163" spans="1:4">
      <c r="A163" s="5" t="s">
        <v>27</v>
      </c>
      <c r="B163" s="5" t="s">
        <v>204</v>
      </c>
      <c r="C163" s="5" t="s">
        <v>119</v>
      </c>
      <c r="D163" s="6">
        <v>-7.2380988152472847E-3</v>
      </c>
    </row>
    <row r="164" spans="1:4">
      <c r="A164" s="5" t="s">
        <v>27</v>
      </c>
      <c r="B164" s="5" t="s">
        <v>205</v>
      </c>
      <c r="C164" s="5" t="s">
        <v>125</v>
      </c>
      <c r="D164" s="6">
        <v>3.536270988346807E-3</v>
      </c>
    </row>
    <row r="165" spans="1:4">
      <c r="A165" s="5" t="s">
        <v>27</v>
      </c>
      <c r="B165" s="5" t="s">
        <v>205</v>
      </c>
      <c r="C165" s="5" t="s">
        <v>117</v>
      </c>
      <c r="D165" s="6">
        <v>2.246160552648948E-3</v>
      </c>
    </row>
    <row r="166" spans="1:4">
      <c r="A166" s="5" t="s">
        <v>27</v>
      </c>
      <c r="B166" s="5" t="s">
        <v>205</v>
      </c>
      <c r="C166" s="5" t="s">
        <v>129</v>
      </c>
      <c r="D166" s="6">
        <v>-1.1760680781404961E-2</v>
      </c>
    </row>
    <row r="167" spans="1:4">
      <c r="A167" s="5" t="s">
        <v>27</v>
      </c>
      <c r="B167" s="5" t="s">
        <v>206</v>
      </c>
      <c r="C167" s="5" t="s">
        <v>119</v>
      </c>
      <c r="D167" s="6">
        <v>-3.6999870136046747E-2</v>
      </c>
    </row>
    <row r="168" spans="1:4">
      <c r="A168" s="5" t="s">
        <v>27</v>
      </c>
      <c r="B168" s="5" t="s">
        <v>206</v>
      </c>
      <c r="C168" s="5" t="s">
        <v>127</v>
      </c>
      <c r="D168" s="6">
        <v>-3.1847272793552289E-2</v>
      </c>
    </row>
    <row r="169" spans="1:4">
      <c r="A169" s="5" t="s">
        <v>27</v>
      </c>
      <c r="B169" s="5" t="s">
        <v>206</v>
      </c>
      <c r="C169" s="5" t="s">
        <v>133</v>
      </c>
      <c r="D169" s="6">
        <v>-2.4189504574749901E-2</v>
      </c>
    </row>
    <row r="170" spans="1:4">
      <c r="A170" s="5" t="s">
        <v>28</v>
      </c>
      <c r="B170" s="5" t="s">
        <v>199</v>
      </c>
      <c r="C170" s="5" t="s">
        <v>183</v>
      </c>
      <c r="D170" s="6">
        <v>3.5722062722253942E-3</v>
      </c>
    </row>
    <row r="171" spans="1:4">
      <c r="A171" s="5" t="s">
        <v>28</v>
      </c>
      <c r="B171" s="5" t="s">
        <v>199</v>
      </c>
      <c r="C171" s="5" t="s">
        <v>181</v>
      </c>
      <c r="D171" s="6">
        <v>3.6562484383913702E-4</v>
      </c>
    </row>
    <row r="172" spans="1:4">
      <c r="A172" s="5" t="s">
        <v>28</v>
      </c>
      <c r="B172" s="5" t="s">
        <v>199</v>
      </c>
      <c r="C172" s="5" t="s">
        <v>177</v>
      </c>
      <c r="D172" s="6">
        <v>1.462863890346888E-4</v>
      </c>
    </row>
    <row r="173" spans="1:4">
      <c r="A173" s="5" t="s">
        <v>28</v>
      </c>
      <c r="B173" s="5" t="s">
        <v>200</v>
      </c>
      <c r="C173" s="5" t="s">
        <v>175</v>
      </c>
      <c r="D173" s="6">
        <v>-2.5555891502816639E-3</v>
      </c>
    </row>
    <row r="174" spans="1:4">
      <c r="A174" s="5" t="s">
        <v>28</v>
      </c>
      <c r="B174" s="5" t="s">
        <v>200</v>
      </c>
      <c r="C174" s="5" t="s">
        <v>179</v>
      </c>
      <c r="D174" s="6">
        <v>-1.78612661504098E-3</v>
      </c>
    </row>
    <row r="175" spans="1:4">
      <c r="A175" s="5" t="s">
        <v>28</v>
      </c>
      <c r="B175" s="5" t="s">
        <v>200</v>
      </c>
      <c r="C175" s="5" t="s">
        <v>173</v>
      </c>
      <c r="D175" s="6">
        <v>-1.697406320578021E-3</v>
      </c>
    </row>
    <row r="176" spans="1:4">
      <c r="A176" s="5" t="s">
        <v>28</v>
      </c>
      <c r="B176" s="5" t="s">
        <v>201</v>
      </c>
      <c r="C176" s="5" t="s">
        <v>181</v>
      </c>
      <c r="D176" s="6">
        <v>2.3292727586699722E-3</v>
      </c>
    </row>
    <row r="177" spans="1:4">
      <c r="A177" s="5" t="s">
        <v>28</v>
      </c>
      <c r="B177" s="5" t="s">
        <v>201</v>
      </c>
      <c r="C177" s="5" t="s">
        <v>183</v>
      </c>
      <c r="D177" s="6">
        <v>-9.386764942401371E-3</v>
      </c>
    </row>
    <row r="178" spans="1:4">
      <c r="A178" s="5" t="s">
        <v>28</v>
      </c>
      <c r="B178" s="5" t="s">
        <v>201</v>
      </c>
      <c r="C178" s="5" t="s">
        <v>177</v>
      </c>
      <c r="D178" s="6">
        <v>-1.1595864579473061E-2</v>
      </c>
    </row>
    <row r="179" spans="1:4">
      <c r="A179" s="5" t="s">
        <v>28</v>
      </c>
      <c r="B179" s="5" t="s">
        <v>202</v>
      </c>
      <c r="C179" s="5" t="s">
        <v>173</v>
      </c>
      <c r="D179" s="6">
        <v>-1.473305885459549E-2</v>
      </c>
    </row>
    <row r="180" spans="1:4">
      <c r="A180" s="5" t="s">
        <v>28</v>
      </c>
      <c r="B180" s="5" t="s">
        <v>202</v>
      </c>
      <c r="C180" s="5" t="s">
        <v>179</v>
      </c>
      <c r="D180" s="6">
        <v>-1.3737963256471791E-2</v>
      </c>
    </row>
    <row r="181" spans="1:4">
      <c r="A181" s="5" t="s">
        <v>28</v>
      </c>
      <c r="B181" s="5" t="s">
        <v>202</v>
      </c>
      <c r="C181" s="5" t="s">
        <v>175</v>
      </c>
      <c r="D181" s="6">
        <v>-1.3166810966507811E-2</v>
      </c>
    </row>
    <row r="182" spans="1:4">
      <c r="A182" s="5" t="s">
        <v>28</v>
      </c>
      <c r="B182" s="5" t="s">
        <v>203</v>
      </c>
      <c r="C182" s="5" t="s">
        <v>181</v>
      </c>
      <c r="D182" s="6">
        <v>1.156240824944617E-2</v>
      </c>
    </row>
    <row r="183" spans="1:4">
      <c r="A183" s="5" t="s">
        <v>28</v>
      </c>
      <c r="B183" s="5" t="s">
        <v>203</v>
      </c>
      <c r="C183" s="5" t="s">
        <v>179</v>
      </c>
      <c r="D183" s="6">
        <v>-3.3729231577533749E-3</v>
      </c>
    </row>
    <row r="184" spans="1:4">
      <c r="A184" s="5" t="s">
        <v>28</v>
      </c>
      <c r="B184" s="5" t="s">
        <v>203</v>
      </c>
      <c r="C184" s="5" t="s">
        <v>177</v>
      </c>
      <c r="D184" s="6">
        <v>-1.07391666793086E-2</v>
      </c>
    </row>
    <row r="185" spans="1:4">
      <c r="A185" s="5" t="s">
        <v>28</v>
      </c>
      <c r="B185" s="5" t="s">
        <v>204</v>
      </c>
      <c r="C185" s="5" t="s">
        <v>173</v>
      </c>
      <c r="D185" s="6">
        <v>-2.308586085990387E-2</v>
      </c>
    </row>
    <row r="186" spans="1:4">
      <c r="A186" s="5" t="s">
        <v>28</v>
      </c>
      <c r="B186" s="5" t="s">
        <v>204</v>
      </c>
      <c r="C186" s="5" t="s">
        <v>175</v>
      </c>
      <c r="D186" s="6">
        <v>-1.5577519834923909E-2</v>
      </c>
    </row>
    <row r="187" spans="1:4">
      <c r="A187" s="5" t="s">
        <v>28</v>
      </c>
      <c r="B187" s="5" t="s">
        <v>204</v>
      </c>
      <c r="C187" s="5" t="s">
        <v>183</v>
      </c>
      <c r="D187" s="6">
        <v>-1.135014373680528E-2</v>
      </c>
    </row>
    <row r="188" spans="1:4">
      <c r="A188" s="5" t="s">
        <v>28</v>
      </c>
      <c r="B188" s="5" t="s">
        <v>205</v>
      </c>
      <c r="C188" s="5" t="s">
        <v>173</v>
      </c>
      <c r="D188" s="6">
        <v>-1.792333907985048E-2</v>
      </c>
    </row>
    <row r="189" spans="1:4">
      <c r="A189" s="5" t="s">
        <v>28</v>
      </c>
      <c r="B189" s="5" t="s">
        <v>205</v>
      </c>
      <c r="C189" s="5" t="s">
        <v>183</v>
      </c>
      <c r="D189" s="6">
        <v>-2.1212200984631301E-2</v>
      </c>
    </row>
    <row r="190" spans="1:4">
      <c r="A190" s="5" t="s">
        <v>28</v>
      </c>
      <c r="B190" s="5" t="s">
        <v>205</v>
      </c>
      <c r="C190" s="5" t="s">
        <v>179</v>
      </c>
      <c r="D190" s="6">
        <v>-2.3583826072839431E-2</v>
      </c>
    </row>
    <row r="191" spans="1:4">
      <c r="A191" s="5" t="s">
        <v>28</v>
      </c>
      <c r="B191" s="5" t="s">
        <v>206</v>
      </c>
      <c r="C191" s="5" t="s">
        <v>175</v>
      </c>
      <c r="D191" s="6">
        <v>-4.3288747634679423E-2</v>
      </c>
    </row>
    <row r="192" spans="1:4">
      <c r="A192" s="5" t="s">
        <v>28</v>
      </c>
      <c r="B192" s="5" t="s">
        <v>206</v>
      </c>
      <c r="C192" s="5" t="s">
        <v>181</v>
      </c>
      <c r="D192" s="6">
        <v>-3.036621389910886E-2</v>
      </c>
    </row>
    <row r="193" spans="1:4">
      <c r="A193" s="5" t="s">
        <v>28</v>
      </c>
      <c r="B193" s="5" t="s">
        <v>206</v>
      </c>
      <c r="C193" s="5" t="s">
        <v>177</v>
      </c>
      <c r="D193" s="6">
        <v>-2.7283400738205881E-2</v>
      </c>
    </row>
    <row r="194" spans="1:4">
      <c r="A194" s="5" t="s">
        <v>29</v>
      </c>
      <c r="B194" s="5" t="s">
        <v>199</v>
      </c>
      <c r="C194" s="5" t="s">
        <v>79</v>
      </c>
      <c r="D194" s="6">
        <v>-3.7220999536013992E-3</v>
      </c>
    </row>
    <row r="195" spans="1:4">
      <c r="A195" s="5" t="s">
        <v>29</v>
      </c>
      <c r="B195" s="5" t="s">
        <v>199</v>
      </c>
      <c r="C195" s="5" t="s">
        <v>82</v>
      </c>
      <c r="D195" s="6">
        <v>-3.737861340124919E-3</v>
      </c>
    </row>
    <row r="196" spans="1:4">
      <c r="A196" s="5" t="s">
        <v>29</v>
      </c>
      <c r="B196" s="5" t="s">
        <v>199</v>
      </c>
      <c r="C196" s="5" t="s">
        <v>84</v>
      </c>
      <c r="D196" s="6">
        <v>-3.7673822662294132E-3</v>
      </c>
    </row>
    <row r="197" spans="1:4">
      <c r="A197" s="5" t="s">
        <v>29</v>
      </c>
      <c r="B197" s="5" t="s">
        <v>200</v>
      </c>
      <c r="C197" s="5" t="s">
        <v>84</v>
      </c>
      <c r="D197" s="6">
        <v>-3.7673822662294132E-3</v>
      </c>
    </row>
    <row r="198" spans="1:4">
      <c r="A198" s="5" t="s">
        <v>29</v>
      </c>
      <c r="B198" s="5" t="s">
        <v>200</v>
      </c>
      <c r="C198" s="5" t="s">
        <v>82</v>
      </c>
      <c r="D198" s="6">
        <v>-3.737861340124919E-3</v>
      </c>
    </row>
    <row r="199" spans="1:4">
      <c r="A199" s="5" t="s">
        <v>29</v>
      </c>
      <c r="B199" s="5" t="s">
        <v>200</v>
      </c>
      <c r="C199" s="5" t="s">
        <v>79</v>
      </c>
      <c r="D199" s="6">
        <v>-3.7220999536013992E-3</v>
      </c>
    </row>
    <row r="200" spans="1:4">
      <c r="A200" s="5" t="s">
        <v>29</v>
      </c>
      <c r="B200" s="5" t="s">
        <v>201</v>
      </c>
      <c r="C200" s="5" t="s">
        <v>84</v>
      </c>
      <c r="D200" s="6">
        <v>-6.6209521893697554E-3</v>
      </c>
    </row>
    <row r="201" spans="1:4">
      <c r="A201" s="5" t="s">
        <v>29</v>
      </c>
      <c r="B201" s="5" t="s">
        <v>201</v>
      </c>
      <c r="C201" s="5" t="s">
        <v>79</v>
      </c>
      <c r="D201" s="6">
        <v>-1.5955343387881071E-2</v>
      </c>
    </row>
    <row r="202" spans="1:4">
      <c r="A202" s="5" t="s">
        <v>29</v>
      </c>
      <c r="B202" s="5" t="s">
        <v>201</v>
      </c>
      <c r="C202" s="5" t="s">
        <v>82</v>
      </c>
      <c r="D202" s="6">
        <v>-1.6246940645328022E-2</v>
      </c>
    </row>
    <row r="203" spans="1:4">
      <c r="A203" s="5" t="s">
        <v>29</v>
      </c>
      <c r="B203" s="5" t="s">
        <v>202</v>
      </c>
      <c r="C203" s="5" t="s">
        <v>82</v>
      </c>
      <c r="D203" s="6">
        <v>-1.6246940645328022E-2</v>
      </c>
    </row>
    <row r="204" spans="1:4">
      <c r="A204" s="5" t="s">
        <v>29</v>
      </c>
      <c r="B204" s="5" t="s">
        <v>202</v>
      </c>
      <c r="C204" s="5" t="s">
        <v>79</v>
      </c>
      <c r="D204" s="6">
        <v>-1.5955343387881071E-2</v>
      </c>
    </row>
    <row r="205" spans="1:4">
      <c r="A205" s="5" t="s">
        <v>29</v>
      </c>
      <c r="B205" s="5" t="s">
        <v>202</v>
      </c>
      <c r="C205" s="5" t="s">
        <v>84</v>
      </c>
      <c r="D205" s="6">
        <v>-6.6209521893697554E-3</v>
      </c>
    </row>
    <row r="206" spans="1:4">
      <c r="A206" s="5" t="s">
        <v>29</v>
      </c>
      <c r="B206" s="5" t="s">
        <v>203</v>
      </c>
      <c r="C206" s="5" t="s">
        <v>79</v>
      </c>
      <c r="D206" s="6">
        <v>-2.9423699456443929E-2</v>
      </c>
    </row>
    <row r="207" spans="1:4">
      <c r="A207" s="5" t="s">
        <v>29</v>
      </c>
      <c r="B207" s="5" t="s">
        <v>203</v>
      </c>
      <c r="C207" s="5" t="s">
        <v>84</v>
      </c>
      <c r="D207" s="6">
        <v>-3.1407346125654323E-2</v>
      </c>
    </row>
    <row r="208" spans="1:4">
      <c r="A208" s="5" t="s">
        <v>29</v>
      </c>
      <c r="B208" s="5" t="s">
        <v>203</v>
      </c>
      <c r="C208" s="5" t="s">
        <v>82</v>
      </c>
      <c r="D208" s="6">
        <v>-3.7145395724811979E-2</v>
      </c>
    </row>
    <row r="209" spans="1:4">
      <c r="A209" s="5" t="s">
        <v>29</v>
      </c>
      <c r="B209" s="5" t="s">
        <v>204</v>
      </c>
      <c r="C209" s="5" t="s">
        <v>82</v>
      </c>
      <c r="D209" s="6">
        <v>-3.7145395724811979E-2</v>
      </c>
    </row>
    <row r="210" spans="1:4">
      <c r="A210" s="5" t="s">
        <v>29</v>
      </c>
      <c r="B210" s="5" t="s">
        <v>204</v>
      </c>
      <c r="C210" s="5" t="s">
        <v>84</v>
      </c>
      <c r="D210" s="6">
        <v>-3.1407346125654323E-2</v>
      </c>
    </row>
    <row r="211" spans="1:4">
      <c r="A211" s="5" t="s">
        <v>29</v>
      </c>
      <c r="B211" s="5" t="s">
        <v>204</v>
      </c>
      <c r="C211" s="5" t="s">
        <v>79</v>
      </c>
      <c r="D211" s="6">
        <v>-2.9423699456443929E-2</v>
      </c>
    </row>
    <row r="212" spans="1:4">
      <c r="A212" s="5" t="s">
        <v>29</v>
      </c>
      <c r="B212" s="5" t="s">
        <v>205</v>
      </c>
      <c r="C212" s="5" t="s">
        <v>79</v>
      </c>
      <c r="D212" s="6">
        <v>-4.0389397371569581E-2</v>
      </c>
    </row>
    <row r="213" spans="1:4">
      <c r="A213" s="5" t="s">
        <v>29</v>
      </c>
      <c r="B213" s="5" t="s">
        <v>205</v>
      </c>
      <c r="C213" s="5" t="s">
        <v>84</v>
      </c>
      <c r="D213" s="6">
        <v>-4.7956273560910777E-2</v>
      </c>
    </row>
    <row r="214" spans="1:4">
      <c r="A214" s="5" t="s">
        <v>29</v>
      </c>
      <c r="B214" s="5" t="s">
        <v>205</v>
      </c>
      <c r="C214" s="5" t="s">
        <v>82</v>
      </c>
      <c r="D214" s="6">
        <v>-6.129797241551882E-2</v>
      </c>
    </row>
    <row r="215" spans="1:4">
      <c r="A215" s="5" t="s">
        <v>29</v>
      </c>
      <c r="B215" s="5" t="s">
        <v>206</v>
      </c>
      <c r="C215" s="5" t="s">
        <v>82</v>
      </c>
      <c r="D215" s="6">
        <v>-6.129797241551882E-2</v>
      </c>
    </row>
    <row r="216" spans="1:4">
      <c r="A216" s="5" t="s">
        <v>29</v>
      </c>
      <c r="B216" s="5" t="s">
        <v>206</v>
      </c>
      <c r="C216" s="5" t="s">
        <v>84</v>
      </c>
      <c r="D216" s="6">
        <v>-4.7956273560910777E-2</v>
      </c>
    </row>
    <row r="217" spans="1:4">
      <c r="A217" s="5" t="s">
        <v>29</v>
      </c>
      <c r="B217" s="5" t="s">
        <v>206</v>
      </c>
      <c r="C217" s="5" t="s">
        <v>79</v>
      </c>
      <c r="D217" s="6">
        <v>-4.0389397371569581E-2</v>
      </c>
    </row>
    <row r="218" spans="1:4">
      <c r="A218" s="5" t="s">
        <v>30</v>
      </c>
      <c r="B218" s="5" t="s">
        <v>199</v>
      </c>
      <c r="C218" s="5" t="s">
        <v>77</v>
      </c>
      <c r="D218" s="6">
        <v>5.6008858521829274E-3</v>
      </c>
    </row>
    <row r="219" spans="1:4">
      <c r="A219" s="5" t="s">
        <v>30</v>
      </c>
      <c r="B219" s="5" t="s">
        <v>199</v>
      </c>
      <c r="C219" s="5" t="s">
        <v>75</v>
      </c>
      <c r="D219" s="6">
        <v>1.366679795347991E-3</v>
      </c>
    </row>
    <row r="220" spans="1:4">
      <c r="A220" s="5" t="s">
        <v>30</v>
      </c>
      <c r="B220" s="5" t="s">
        <v>199</v>
      </c>
      <c r="C220" s="5" t="s">
        <v>71</v>
      </c>
      <c r="D220" s="6">
        <v>1.245673875873614E-3</v>
      </c>
    </row>
    <row r="221" spans="1:4">
      <c r="A221" s="5" t="s">
        <v>30</v>
      </c>
      <c r="B221" s="5" t="s">
        <v>200</v>
      </c>
      <c r="C221" s="5" t="s">
        <v>73</v>
      </c>
      <c r="D221" s="6">
        <v>-3.673452888486623E-3</v>
      </c>
    </row>
    <row r="222" spans="1:4">
      <c r="A222" s="5" t="s">
        <v>30</v>
      </c>
      <c r="B222" s="5" t="s">
        <v>200</v>
      </c>
      <c r="C222" s="5" t="s">
        <v>65</v>
      </c>
      <c r="D222" s="6">
        <v>-9.0448976709099431E-4</v>
      </c>
    </row>
    <row r="223" spans="1:4">
      <c r="A223" s="5" t="s">
        <v>30</v>
      </c>
      <c r="B223" s="5" t="s">
        <v>200</v>
      </c>
      <c r="C223" s="5" t="s">
        <v>67</v>
      </c>
      <c r="D223" s="6">
        <v>-3.091240937504379E-5</v>
      </c>
    </row>
    <row r="224" spans="1:4">
      <c r="A224" s="5" t="s">
        <v>30</v>
      </c>
      <c r="B224" s="5" t="s">
        <v>201</v>
      </c>
      <c r="C224" s="5" t="s">
        <v>77</v>
      </c>
      <c r="D224" s="6">
        <v>1.110982157362983E-2</v>
      </c>
    </row>
    <row r="225" spans="1:4">
      <c r="A225" s="5" t="s">
        <v>30</v>
      </c>
      <c r="B225" s="5" t="s">
        <v>201</v>
      </c>
      <c r="C225" s="5" t="s">
        <v>67</v>
      </c>
      <c r="D225" s="6">
        <v>5.6284750509277047E-3</v>
      </c>
    </row>
    <row r="226" spans="1:4">
      <c r="A226" s="5" t="s">
        <v>30</v>
      </c>
      <c r="B226" s="5" t="s">
        <v>201</v>
      </c>
      <c r="C226" s="5" t="s">
        <v>69</v>
      </c>
      <c r="D226" s="6">
        <v>1.732284611115377E-3</v>
      </c>
    </row>
    <row r="227" spans="1:4">
      <c r="A227" s="5" t="s">
        <v>30</v>
      </c>
      <c r="B227" s="5" t="s">
        <v>202</v>
      </c>
      <c r="C227" s="5" t="s">
        <v>73</v>
      </c>
      <c r="D227" s="6">
        <v>-2.338891825388072E-2</v>
      </c>
    </row>
    <row r="228" spans="1:4">
      <c r="A228" s="5" t="s">
        <v>30</v>
      </c>
      <c r="B228" s="5" t="s">
        <v>202</v>
      </c>
      <c r="C228" s="5" t="s">
        <v>71</v>
      </c>
      <c r="D228" s="6">
        <v>-7.3659249521141413E-3</v>
      </c>
    </row>
    <row r="229" spans="1:4">
      <c r="A229" s="5" t="s">
        <v>30</v>
      </c>
      <c r="B229" s="5" t="s">
        <v>202</v>
      </c>
      <c r="C229" s="5" t="s">
        <v>65</v>
      </c>
      <c r="D229" s="6">
        <v>-7.1973610038196254E-3</v>
      </c>
    </row>
    <row r="230" spans="1:4">
      <c r="A230" s="5" t="s">
        <v>30</v>
      </c>
      <c r="B230" s="5" t="s">
        <v>203</v>
      </c>
      <c r="C230" s="5" t="s">
        <v>75</v>
      </c>
      <c r="D230" s="6">
        <v>2.0714397690274701E-2</v>
      </c>
    </row>
    <row r="231" spans="1:4">
      <c r="A231" s="5" t="s">
        <v>30</v>
      </c>
      <c r="B231" s="5" t="s">
        <v>203</v>
      </c>
      <c r="C231" s="5" t="s">
        <v>77</v>
      </c>
      <c r="D231" s="6">
        <v>1.7943423830557269E-2</v>
      </c>
    </row>
    <row r="232" spans="1:4">
      <c r="A232" s="5" t="s">
        <v>30</v>
      </c>
      <c r="B232" s="5" t="s">
        <v>203</v>
      </c>
      <c r="C232" s="5" t="s">
        <v>73</v>
      </c>
      <c r="D232" s="6">
        <v>1.3268131894966241E-2</v>
      </c>
    </row>
    <row r="233" spans="1:4">
      <c r="A233" s="5" t="s">
        <v>30</v>
      </c>
      <c r="B233" s="5" t="s">
        <v>204</v>
      </c>
      <c r="C233" s="5" t="s">
        <v>71</v>
      </c>
      <c r="D233" s="6">
        <v>-1.8971748298817391E-2</v>
      </c>
    </row>
    <row r="234" spans="1:4">
      <c r="A234" s="5" t="s">
        <v>30</v>
      </c>
      <c r="B234" s="5" t="s">
        <v>204</v>
      </c>
      <c r="C234" s="5" t="s">
        <v>67</v>
      </c>
      <c r="D234" s="6">
        <v>-7.2221221216033837E-3</v>
      </c>
    </row>
    <row r="235" spans="1:4">
      <c r="A235" s="5" t="s">
        <v>30</v>
      </c>
      <c r="B235" s="5" t="s">
        <v>204</v>
      </c>
      <c r="C235" s="5" t="s">
        <v>65</v>
      </c>
      <c r="D235" s="6">
        <v>-5.83549235474079E-3</v>
      </c>
    </row>
    <row r="236" spans="1:4">
      <c r="A236" s="5" t="s">
        <v>30</v>
      </c>
      <c r="B236" s="5" t="s">
        <v>205</v>
      </c>
      <c r="C236" s="5" t="s">
        <v>77</v>
      </c>
      <c r="D236" s="6">
        <v>2.016359353411839E-3</v>
      </c>
    </row>
    <row r="237" spans="1:4">
      <c r="A237" s="5" t="s">
        <v>30</v>
      </c>
      <c r="B237" s="5" t="s">
        <v>205</v>
      </c>
      <c r="C237" s="5" t="s">
        <v>75</v>
      </c>
      <c r="D237" s="6">
        <v>-1.6342449673474889E-2</v>
      </c>
    </row>
    <row r="238" spans="1:4">
      <c r="A238" s="5" t="s">
        <v>30</v>
      </c>
      <c r="B238" s="5" t="s">
        <v>205</v>
      </c>
      <c r="C238" s="5" t="s">
        <v>65</v>
      </c>
      <c r="D238" s="6">
        <v>-1.7760584804608549E-2</v>
      </c>
    </row>
    <row r="239" spans="1:4">
      <c r="A239" s="5" t="s">
        <v>30</v>
      </c>
      <c r="B239" s="5" t="s">
        <v>206</v>
      </c>
      <c r="C239" s="5" t="s">
        <v>73</v>
      </c>
      <c r="D239" s="6">
        <v>-4.2156099036840977E-2</v>
      </c>
    </row>
    <row r="240" spans="1:4">
      <c r="A240" s="5" t="s">
        <v>30</v>
      </c>
      <c r="B240" s="5" t="s">
        <v>206</v>
      </c>
      <c r="C240" s="5" t="s">
        <v>71</v>
      </c>
      <c r="D240" s="6">
        <v>-3.413998816572391E-2</v>
      </c>
    </row>
    <row r="241" spans="1:4">
      <c r="A241" s="5" t="s">
        <v>30</v>
      </c>
      <c r="B241" s="5" t="s">
        <v>206</v>
      </c>
      <c r="C241" s="5" t="s">
        <v>67</v>
      </c>
      <c r="D241" s="6">
        <v>-3.3215759731261237E-2</v>
      </c>
    </row>
    <row r="242" spans="1:4">
      <c r="A242" s="5" t="s">
        <v>31</v>
      </c>
      <c r="B242" s="5" t="s">
        <v>199</v>
      </c>
      <c r="C242" s="5" t="s">
        <v>141</v>
      </c>
      <c r="D242" s="6">
        <v>3.164342839083234E-3</v>
      </c>
    </row>
    <row r="243" spans="1:4">
      <c r="A243" s="5" t="s">
        <v>31</v>
      </c>
      <c r="B243" s="5" t="s">
        <v>199</v>
      </c>
      <c r="C243" s="5" t="s">
        <v>147</v>
      </c>
      <c r="D243" s="6">
        <v>2.3591130164627161E-3</v>
      </c>
    </row>
    <row r="244" spans="1:4">
      <c r="A244" s="5" t="s">
        <v>31</v>
      </c>
      <c r="B244" s="5" t="s">
        <v>199</v>
      </c>
      <c r="C244" s="5" t="s">
        <v>145</v>
      </c>
      <c r="D244" s="6">
        <v>1.710581139823836E-3</v>
      </c>
    </row>
    <row r="245" spans="1:4">
      <c r="A245" s="5" t="s">
        <v>31</v>
      </c>
      <c r="B245" s="5" t="s">
        <v>200</v>
      </c>
      <c r="C245" s="5" t="s">
        <v>139</v>
      </c>
      <c r="D245" s="6">
        <v>-2.5877852295439758E-3</v>
      </c>
    </row>
    <row r="246" spans="1:4">
      <c r="A246" s="5" t="s">
        <v>31</v>
      </c>
      <c r="B246" s="5" t="s">
        <v>200</v>
      </c>
      <c r="C246" s="5" t="s">
        <v>149</v>
      </c>
      <c r="D246" s="6">
        <v>-8.7057157194721235E-4</v>
      </c>
    </row>
    <row r="247" spans="1:4">
      <c r="A247" s="5" t="s">
        <v>31</v>
      </c>
      <c r="B247" s="5" t="s">
        <v>200</v>
      </c>
      <c r="C247" s="5" t="s">
        <v>135</v>
      </c>
      <c r="D247" s="6">
        <v>-3.4217457848591259E-4</v>
      </c>
    </row>
    <row r="248" spans="1:4">
      <c r="A248" s="5" t="s">
        <v>31</v>
      </c>
      <c r="B248" s="5" t="s">
        <v>201</v>
      </c>
      <c r="C248" s="5" t="s">
        <v>135</v>
      </c>
      <c r="D248" s="6">
        <v>4.3029152314464081E-3</v>
      </c>
    </row>
    <row r="249" spans="1:4">
      <c r="A249" s="5" t="s">
        <v>31</v>
      </c>
      <c r="B249" s="5" t="s">
        <v>201</v>
      </c>
      <c r="C249" s="5" t="s">
        <v>145</v>
      </c>
      <c r="D249" s="6">
        <v>3.9472875867704038E-3</v>
      </c>
    </row>
    <row r="250" spans="1:4">
      <c r="A250" s="5" t="s">
        <v>31</v>
      </c>
      <c r="B250" s="5" t="s">
        <v>201</v>
      </c>
      <c r="C250" s="5" t="s">
        <v>149</v>
      </c>
      <c r="D250" s="6">
        <v>2.815765915636204E-3</v>
      </c>
    </row>
    <row r="251" spans="1:4">
      <c r="A251" s="5" t="s">
        <v>31</v>
      </c>
      <c r="B251" s="5" t="s">
        <v>202</v>
      </c>
      <c r="C251" s="5" t="s">
        <v>139</v>
      </c>
      <c r="D251" s="6">
        <v>-2.055828847776495E-2</v>
      </c>
    </row>
    <row r="252" spans="1:4">
      <c r="A252" s="5" t="s">
        <v>31</v>
      </c>
      <c r="B252" s="5" t="s">
        <v>202</v>
      </c>
      <c r="C252" s="5" t="s">
        <v>137</v>
      </c>
      <c r="D252" s="6">
        <v>-4.6496768354279414E-3</v>
      </c>
    </row>
    <row r="253" spans="1:4">
      <c r="A253" s="5" t="s">
        <v>31</v>
      </c>
      <c r="B253" s="5" t="s">
        <v>202</v>
      </c>
      <c r="C253" s="5" t="s">
        <v>147</v>
      </c>
      <c r="D253" s="6">
        <v>-1.8355519217981009E-3</v>
      </c>
    </row>
    <row r="254" spans="1:4">
      <c r="A254" s="5" t="s">
        <v>31</v>
      </c>
      <c r="B254" s="5" t="s">
        <v>203</v>
      </c>
      <c r="C254" s="5" t="s">
        <v>145</v>
      </c>
      <c r="D254" s="6">
        <v>1.8020458801612679E-2</v>
      </c>
    </row>
    <row r="255" spans="1:4">
      <c r="A255" s="5" t="s">
        <v>31</v>
      </c>
      <c r="B255" s="5" t="s">
        <v>203</v>
      </c>
      <c r="C255" s="5" t="s">
        <v>149</v>
      </c>
      <c r="D255" s="6">
        <v>1.7030295199207349E-2</v>
      </c>
    </row>
    <row r="256" spans="1:4">
      <c r="A256" s="5" t="s">
        <v>31</v>
      </c>
      <c r="B256" s="5" t="s">
        <v>203</v>
      </c>
      <c r="C256" s="5" t="s">
        <v>135</v>
      </c>
      <c r="D256" s="6">
        <v>6.203259134689304E-3</v>
      </c>
    </row>
    <row r="257" spans="1:4">
      <c r="A257" s="5" t="s">
        <v>31</v>
      </c>
      <c r="B257" s="5" t="s">
        <v>204</v>
      </c>
      <c r="C257" s="5" t="s">
        <v>147</v>
      </c>
      <c r="D257" s="6">
        <v>-1.42346057786959E-2</v>
      </c>
    </row>
    <row r="258" spans="1:4">
      <c r="A258" s="5" t="s">
        <v>31</v>
      </c>
      <c r="B258" s="5" t="s">
        <v>204</v>
      </c>
      <c r="C258" s="5" t="s">
        <v>143</v>
      </c>
      <c r="D258" s="6">
        <v>-1.243720459537812E-2</v>
      </c>
    </row>
    <row r="259" spans="1:4">
      <c r="A259" s="5" t="s">
        <v>31</v>
      </c>
      <c r="B259" s="5" t="s">
        <v>204</v>
      </c>
      <c r="C259" s="5" t="s">
        <v>139</v>
      </c>
      <c r="D259" s="6">
        <v>-4.782001448523282E-3</v>
      </c>
    </row>
    <row r="260" spans="1:4">
      <c r="A260" s="5" t="s">
        <v>31</v>
      </c>
      <c r="B260" s="5" t="s">
        <v>205</v>
      </c>
      <c r="C260" s="5" t="s">
        <v>139</v>
      </c>
      <c r="D260" s="6">
        <v>4.4504425763636501E-3</v>
      </c>
    </row>
    <row r="261" spans="1:4">
      <c r="A261" s="5" t="s">
        <v>31</v>
      </c>
      <c r="B261" s="5" t="s">
        <v>205</v>
      </c>
      <c r="C261" s="5" t="s">
        <v>135</v>
      </c>
      <c r="D261" s="6">
        <v>3.5850215079215601E-3</v>
      </c>
    </row>
    <row r="262" spans="1:4">
      <c r="A262" s="5" t="s">
        <v>31</v>
      </c>
      <c r="B262" s="5" t="s">
        <v>205</v>
      </c>
      <c r="C262" s="5" t="s">
        <v>147</v>
      </c>
      <c r="D262" s="6">
        <v>-1.025010151320932E-2</v>
      </c>
    </row>
    <row r="263" spans="1:4">
      <c r="A263" s="5" t="s">
        <v>31</v>
      </c>
      <c r="B263" s="5" t="s">
        <v>206</v>
      </c>
      <c r="C263" s="5" t="s">
        <v>143</v>
      </c>
      <c r="D263" s="6">
        <v>-5.3589476578271213E-2</v>
      </c>
    </row>
    <row r="264" spans="1:4">
      <c r="A264" s="5" t="s">
        <v>31</v>
      </c>
      <c r="B264" s="5" t="s">
        <v>206</v>
      </c>
      <c r="C264" s="5" t="s">
        <v>145</v>
      </c>
      <c r="D264" s="6">
        <v>-3.734325725084682E-2</v>
      </c>
    </row>
    <row r="265" spans="1:4">
      <c r="A265" s="5" t="s">
        <v>31</v>
      </c>
      <c r="B265" s="5" t="s">
        <v>206</v>
      </c>
      <c r="C265" s="5" t="s">
        <v>141</v>
      </c>
      <c r="D265" s="6">
        <v>-3.692216226620075E-2</v>
      </c>
    </row>
    <row r="266" spans="1:4">
      <c r="A266" s="5" t="s">
        <v>32</v>
      </c>
      <c r="B266" s="5" t="s">
        <v>199</v>
      </c>
      <c r="C266" s="5" t="s">
        <v>94</v>
      </c>
      <c r="D266" s="6">
        <v>-8.3314005295490447E-4</v>
      </c>
    </row>
    <row r="267" spans="1:4">
      <c r="A267" s="5" t="s">
        <v>32</v>
      </c>
      <c r="B267" s="5" t="s">
        <v>199</v>
      </c>
      <c r="C267" s="5" t="s">
        <v>96</v>
      </c>
      <c r="D267" s="6">
        <v>-2.168957225772785E-3</v>
      </c>
    </row>
    <row r="268" spans="1:4">
      <c r="A268" s="5" t="s">
        <v>32</v>
      </c>
      <c r="B268" s="5" t="s">
        <v>199</v>
      </c>
      <c r="C268" s="5" t="s">
        <v>98</v>
      </c>
      <c r="D268" s="6">
        <v>-2.5350744664126728E-3</v>
      </c>
    </row>
    <row r="269" spans="1:4">
      <c r="A269" s="5" t="s">
        <v>32</v>
      </c>
      <c r="B269" s="5" t="s">
        <v>200</v>
      </c>
      <c r="C269" s="5" t="s">
        <v>88</v>
      </c>
      <c r="D269" s="6">
        <v>-4.7668651529847927E-3</v>
      </c>
    </row>
    <row r="270" spans="1:4">
      <c r="A270" s="5" t="s">
        <v>32</v>
      </c>
      <c r="B270" s="5" t="s">
        <v>200</v>
      </c>
      <c r="C270" s="5" t="s">
        <v>90</v>
      </c>
      <c r="D270" s="6">
        <v>-3.6752034608776062E-3</v>
      </c>
    </row>
    <row r="271" spans="1:4">
      <c r="A271" s="5" t="s">
        <v>32</v>
      </c>
      <c r="B271" s="5" t="s">
        <v>200</v>
      </c>
      <c r="C271" s="5" t="s">
        <v>92</v>
      </c>
      <c r="D271" s="6">
        <v>-3.0668873488710769E-3</v>
      </c>
    </row>
    <row r="272" spans="1:4">
      <c r="A272" s="5" t="s">
        <v>32</v>
      </c>
      <c r="B272" s="5" t="s">
        <v>201</v>
      </c>
      <c r="C272" s="5" t="s">
        <v>88</v>
      </c>
      <c r="D272" s="6">
        <v>-3.192016318376813E-3</v>
      </c>
    </row>
    <row r="273" spans="1:4">
      <c r="A273" s="5" t="s">
        <v>32</v>
      </c>
      <c r="B273" s="5" t="s">
        <v>201</v>
      </c>
      <c r="C273" s="5" t="s">
        <v>94</v>
      </c>
      <c r="D273" s="6">
        <v>-4.144842503533165E-3</v>
      </c>
    </row>
    <row r="274" spans="1:4">
      <c r="A274" s="5" t="s">
        <v>32</v>
      </c>
      <c r="B274" s="5" t="s">
        <v>201</v>
      </c>
      <c r="C274" s="5" t="s">
        <v>96</v>
      </c>
      <c r="D274" s="6">
        <v>-8.8175283755207289E-3</v>
      </c>
    </row>
    <row r="275" spans="1:4">
      <c r="A275" s="5" t="s">
        <v>32</v>
      </c>
      <c r="B275" s="5" t="s">
        <v>202</v>
      </c>
      <c r="C275" s="5" t="s">
        <v>90</v>
      </c>
      <c r="D275" s="6">
        <v>-1.8729161710554089E-2</v>
      </c>
    </row>
    <row r="276" spans="1:4">
      <c r="A276" s="5" t="s">
        <v>32</v>
      </c>
      <c r="B276" s="5" t="s">
        <v>202</v>
      </c>
      <c r="C276" s="5" t="s">
        <v>92</v>
      </c>
      <c r="D276" s="6">
        <v>-1.367569364045919E-2</v>
      </c>
    </row>
    <row r="277" spans="1:4">
      <c r="A277" s="5" t="s">
        <v>32</v>
      </c>
      <c r="B277" s="5" t="s">
        <v>202</v>
      </c>
      <c r="C277" s="5" t="s">
        <v>98</v>
      </c>
      <c r="D277" s="6">
        <v>-1.3007338987058831E-2</v>
      </c>
    </row>
    <row r="278" spans="1:4">
      <c r="A278" s="5" t="s">
        <v>32</v>
      </c>
      <c r="B278" s="5" t="s">
        <v>203</v>
      </c>
      <c r="C278" s="5" t="s">
        <v>98</v>
      </c>
      <c r="D278" s="6">
        <v>2.7931524717338171E-2</v>
      </c>
    </row>
    <row r="279" spans="1:4">
      <c r="A279" s="5" t="s">
        <v>32</v>
      </c>
      <c r="B279" s="5" t="s">
        <v>203</v>
      </c>
      <c r="C279" s="5" t="s">
        <v>96</v>
      </c>
      <c r="D279" s="6">
        <v>5.2699623906128524E-3</v>
      </c>
    </row>
    <row r="280" spans="1:4">
      <c r="A280" s="5" t="s">
        <v>32</v>
      </c>
      <c r="B280" s="5" t="s">
        <v>203</v>
      </c>
      <c r="C280" s="5" t="s">
        <v>86</v>
      </c>
      <c r="D280" s="6">
        <v>4.3486841759203176E-3</v>
      </c>
    </row>
    <row r="281" spans="1:4">
      <c r="A281" s="5" t="s">
        <v>32</v>
      </c>
      <c r="B281" s="5" t="s">
        <v>204</v>
      </c>
      <c r="C281" s="5" t="s">
        <v>90</v>
      </c>
      <c r="D281" s="6">
        <v>-9.847122375359927E-3</v>
      </c>
    </row>
    <row r="282" spans="1:4">
      <c r="A282" s="5" t="s">
        <v>32</v>
      </c>
      <c r="B282" s="5" t="s">
        <v>204</v>
      </c>
      <c r="C282" s="5" t="s">
        <v>94</v>
      </c>
      <c r="D282" s="6">
        <v>-8.4859551018916669E-3</v>
      </c>
    </row>
    <row r="283" spans="1:4">
      <c r="A283" s="5" t="s">
        <v>32</v>
      </c>
      <c r="B283" s="5" t="s">
        <v>204</v>
      </c>
      <c r="C283" s="5" t="s">
        <v>88</v>
      </c>
      <c r="D283" s="6">
        <v>-2.6357893054035041E-3</v>
      </c>
    </row>
    <row r="284" spans="1:4">
      <c r="A284" s="5" t="s">
        <v>32</v>
      </c>
      <c r="B284" s="5" t="s">
        <v>205</v>
      </c>
      <c r="C284" s="5" t="s">
        <v>88</v>
      </c>
      <c r="D284" s="6">
        <v>8.9863309687635718E-3</v>
      </c>
    </row>
    <row r="285" spans="1:4">
      <c r="A285" s="5" t="s">
        <v>32</v>
      </c>
      <c r="B285" s="5" t="s">
        <v>205</v>
      </c>
      <c r="C285" s="5" t="s">
        <v>86</v>
      </c>
      <c r="D285" s="6">
        <v>8.5634406448986677E-3</v>
      </c>
    </row>
    <row r="286" spans="1:4">
      <c r="A286" s="5" t="s">
        <v>32</v>
      </c>
      <c r="B286" s="5" t="s">
        <v>205</v>
      </c>
      <c r="C286" s="5" t="s">
        <v>94</v>
      </c>
      <c r="D286" s="6">
        <v>-2.1093751702989851E-2</v>
      </c>
    </row>
    <row r="287" spans="1:4">
      <c r="A287" s="5" t="s">
        <v>32</v>
      </c>
      <c r="B287" s="5" t="s">
        <v>206</v>
      </c>
      <c r="C287" s="5" t="s">
        <v>90</v>
      </c>
      <c r="D287" s="6">
        <v>-6.2870813953384869E-2</v>
      </c>
    </row>
    <row r="288" spans="1:4">
      <c r="A288" s="5" t="s">
        <v>32</v>
      </c>
      <c r="B288" s="5" t="s">
        <v>206</v>
      </c>
      <c r="C288" s="5" t="s">
        <v>92</v>
      </c>
      <c r="D288" s="6">
        <v>-5.3777653513482501E-2</v>
      </c>
    </row>
    <row r="289" spans="1:4">
      <c r="A289" s="5" t="s">
        <v>32</v>
      </c>
      <c r="B289" s="5" t="s">
        <v>206</v>
      </c>
      <c r="C289" s="5" t="s">
        <v>96</v>
      </c>
      <c r="D289" s="6">
        <v>-4.0668658323698613E-2</v>
      </c>
    </row>
  </sheetData>
  <autoFilter ref="A1:D2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.7109375" customWidth="1"/>
    <col min="2" max="2" width="100.7109375" customWidth="1"/>
  </cols>
  <sheetData>
    <row r="1" spans="1:2">
      <c r="A1" s="4" t="s">
        <v>207</v>
      </c>
      <c r="B1" s="4" t="s">
        <v>208</v>
      </c>
    </row>
    <row r="2" spans="1:2">
      <c r="A2" s="5" t="s">
        <v>209</v>
      </c>
      <c r="B2" s="5" t="s">
        <v>210</v>
      </c>
    </row>
    <row r="3" spans="1:2">
      <c r="A3" s="5" t="s">
        <v>4</v>
      </c>
      <c r="B3" s="5" t="s">
        <v>10</v>
      </c>
    </row>
    <row r="4" spans="1:2">
      <c r="A4" s="5" t="s">
        <v>211</v>
      </c>
      <c r="B4" s="5" t="s">
        <v>212</v>
      </c>
    </row>
    <row r="5" spans="1:2">
      <c r="A5" s="5" t="s">
        <v>213</v>
      </c>
      <c r="B5" s="5" t="s">
        <v>214</v>
      </c>
    </row>
    <row r="6" spans="1:2">
      <c r="A6" s="5" t="s">
        <v>215</v>
      </c>
      <c r="B6" s="5" t="s">
        <v>216</v>
      </c>
    </row>
    <row r="7" spans="1:2">
      <c r="A7" s="5" t="s">
        <v>217</v>
      </c>
      <c r="B7" s="5" t="s">
        <v>218</v>
      </c>
    </row>
    <row r="8" spans="1:2">
      <c r="A8" s="5" t="s">
        <v>219</v>
      </c>
      <c r="B8" s="5" t="s">
        <v>220</v>
      </c>
    </row>
    <row r="9" spans="1:2">
      <c r="A9" s="5" t="s">
        <v>221</v>
      </c>
      <c r="B9" s="5" t="s">
        <v>222</v>
      </c>
    </row>
    <row r="10" spans="1:2">
      <c r="A10" s="5" t="s">
        <v>223</v>
      </c>
      <c r="B10" s="5" t="s">
        <v>224</v>
      </c>
    </row>
    <row r="11" spans="1:2">
      <c r="A11" s="5" t="s">
        <v>3</v>
      </c>
      <c r="B11" s="5" t="s">
        <v>225</v>
      </c>
    </row>
    <row r="12" spans="1:2">
      <c r="A12" s="5" t="s">
        <v>226</v>
      </c>
      <c r="B12" s="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Stage_Performance</vt:lpstr>
      <vt:lpstr>Stock_Returns</vt:lpstr>
      <vt:lpstr>Contributors</vt:lpstr>
      <vt:lpstr>Methodology</vt:lpstr>
    </vt:vector>
  </TitlesOfParts>
  <Company>NPS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dc:description>Calculated from BQuant_Master.xlsx</dc:description>
  <cp:lastModifiedBy>infomax</cp:lastModifiedBy>
  <dcterms:created xsi:type="dcterms:W3CDTF">2026-09-03T01:31:18Z</dcterms:created>
  <dcterms:modified xsi:type="dcterms:W3CDTF">2026-09-03T01:34:27Z</dcterms:modified>
</cp:coreProperties>
</file>