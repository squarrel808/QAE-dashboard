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_Performance" sheetId="1" r:id="rId1"/>
    <sheet name="Stock_Returns" sheetId="2" r:id="rId2"/>
    <sheet name="Contributors" sheetId="3" r:id="rId3"/>
    <sheet name="Methodology" sheetId="4" r:id="rId4"/>
  </sheets>
  <definedNames>
    <definedName name="_xlnm._FilterDatabase" localSheetId="2" hidden="1">Contributors!$A$1:$D$289</definedName>
    <definedName name="_xlnm._FilterDatabase" localSheetId="0" hidden="1">Stage_Performance!$A$5:$L$17</definedName>
    <definedName name="_xlnm._FilterDatabase" localSheetId="1" hidden="1">Stock_Returns!$A$1:$R$74</definedName>
  </definedNames>
  <calcPr calcId="124519" fullCalcOnLoad="1"/>
</workbook>
</file>

<file path=xl/sharedStrings.xml><?xml version="1.0" encoding="utf-8"?>
<sst xmlns="http://schemas.openxmlformats.org/spreadsheetml/2006/main" count="1326" uniqueCount="230">
  <si>
    <t>US AI Value Chain — Calculation &amp; Verification</t>
  </si>
  <si>
    <t>As of 2026-09-09 | Expanded classification | Shares-weighted aggregate Price</t>
  </si>
  <si>
    <t>Benchmark proxies</t>
  </si>
  <si>
    <t>Benchmark</t>
  </si>
  <si>
    <t>As of</t>
  </si>
  <si>
    <t>1D</t>
  </si>
  <si>
    <t>1W</t>
  </si>
  <si>
    <t>1M</t>
  </si>
  <si>
    <t>3M</t>
  </si>
  <si>
    <t>SPX_share_weight_proxy</t>
  </si>
  <si>
    <t>2026-09-09</t>
  </si>
  <si>
    <t>NDX_share_weight_proxy</t>
  </si>
  <si>
    <t>Rank</t>
  </si>
  <si>
    <t>Value Chain</t>
  </si>
  <si>
    <t>Members</t>
  </si>
  <si>
    <t>Month 1</t>
  </si>
  <si>
    <t>Month 2</t>
  </si>
  <si>
    <t>Month 3</t>
  </si>
  <si>
    <t>Max Drawdown</t>
  </si>
  <si>
    <t>Method</t>
  </si>
  <si>
    <t>사이버보안</t>
  </si>
  <si>
    <t>Aggregate Price = sum(Price × Shares) / sum(Shares); dividends excluded</t>
  </si>
  <si>
    <t>AI 소프트웨어·데이터</t>
  </si>
  <si>
    <t>서버·스토리지</t>
  </si>
  <si>
    <t>전력 생산</t>
  </si>
  <si>
    <t>AI 연산·메모리</t>
  </si>
  <si>
    <t>엣지·Physical AI</t>
  </si>
  <si>
    <t>하이퍼스케일러·플랫폼</t>
  </si>
  <si>
    <t>네트워크·광통신</t>
  </si>
  <si>
    <t>전력·냉각 장비</t>
  </si>
  <si>
    <t>데이터센터 REIT·운영사</t>
  </si>
  <si>
    <t>파운드리·반도체 장비·EDA</t>
  </si>
  <si>
    <t>E&amp;C·설계·전기공사</t>
  </si>
  <si>
    <t>Ticker</t>
  </si>
  <si>
    <t>Company</t>
  </si>
  <si>
    <t>GICS Sector</t>
  </si>
  <si>
    <t>Confidence</t>
  </si>
  <si>
    <t>3M Start Price</t>
  </si>
  <si>
    <t>1M Start Price</t>
  </si>
  <si>
    <t>1W Start Price</t>
  </si>
  <si>
    <t>Previous Price</t>
  </si>
  <si>
    <t>End Price</t>
  </si>
  <si>
    <t>3M Max Drawdown</t>
  </si>
  <si>
    <t>ACN</t>
  </si>
  <si>
    <t>Accenture PLC</t>
  </si>
  <si>
    <t>Information Technology</t>
  </si>
  <si>
    <t>Adjacent</t>
  </si>
  <si>
    <t>ADBE</t>
  </si>
  <si>
    <t>Adobe Inc</t>
  </si>
  <si>
    <t>Core</t>
  </si>
  <si>
    <t>APP</t>
  </si>
  <si>
    <t>AppLovin Corp</t>
  </si>
  <si>
    <t>Communication Services</t>
  </si>
  <si>
    <t>CRM</t>
  </si>
  <si>
    <t>Salesforce Inc</t>
  </si>
  <si>
    <t>DDOG</t>
  </si>
  <si>
    <t>Datadog Inc</t>
  </si>
  <si>
    <t>INTU</t>
  </si>
  <si>
    <t>Intuit Inc</t>
  </si>
  <si>
    <t>NOW</t>
  </si>
  <si>
    <t>ServiceNow Inc</t>
  </si>
  <si>
    <t>PLTR</t>
  </si>
  <si>
    <t>Palantir Technologies Inc</t>
  </si>
  <si>
    <t>WDAY</t>
  </si>
  <si>
    <t>Workday Inc</t>
  </si>
  <si>
    <t>AMD</t>
  </si>
  <si>
    <t>Advanced Micro Devices Inc</t>
  </si>
  <si>
    <t>AVGO</t>
  </si>
  <si>
    <t>Broadcom Inc</t>
  </si>
  <si>
    <t>INTC</t>
  </si>
  <si>
    <t>Intel Corp</t>
  </si>
  <si>
    <t>MPWR</t>
  </si>
  <si>
    <t>Monolithic Power Systems Inc</t>
  </si>
  <si>
    <t>MRVL</t>
  </si>
  <si>
    <t>Marvell Technology Inc</t>
  </si>
  <si>
    <t>MU</t>
  </si>
  <si>
    <t>Micron Technology Inc</t>
  </si>
  <si>
    <t>NVDA</t>
  </si>
  <si>
    <t>NVIDIA Corp</t>
  </si>
  <si>
    <t>EME</t>
  </si>
  <si>
    <t>EMCOR Group Inc</t>
  </si>
  <si>
    <t>Industrials</t>
  </si>
  <si>
    <t>FIX</t>
  </si>
  <si>
    <t>Comfort Systems USA Inc</t>
  </si>
  <si>
    <t>PWR</t>
  </si>
  <si>
    <t>Quanta Services Inc</t>
  </si>
  <si>
    <t>ANET</t>
  </si>
  <si>
    <t>Arista Networks Inc</t>
  </si>
  <si>
    <t>APH</t>
  </si>
  <si>
    <t>Amphenol Corp</t>
  </si>
  <si>
    <t>CIEN</t>
  </si>
  <si>
    <t>Ciena Corp</t>
  </si>
  <si>
    <t>COHR</t>
  </si>
  <si>
    <t>Coherent Corp</t>
  </si>
  <si>
    <t>CSCO</t>
  </si>
  <si>
    <t>Cisco Systems Inc</t>
  </si>
  <si>
    <t>GLW</t>
  </si>
  <si>
    <t>Corning Inc</t>
  </si>
  <si>
    <t>LITE</t>
  </si>
  <si>
    <t>Lumentum Holdings Inc</t>
  </si>
  <si>
    <t>DLR</t>
  </si>
  <si>
    <t>Digital Realty Trust Inc</t>
  </si>
  <si>
    <t>Real Estate</t>
  </si>
  <si>
    <t>EQIX</t>
  </si>
  <si>
    <t>Equinix Inc</t>
  </si>
  <si>
    <t>IRM</t>
  </si>
  <si>
    <t>Iron Mountain Inc</t>
  </si>
  <si>
    <t>AKAM</t>
  </si>
  <si>
    <t>Akamai Technologies Inc</t>
  </si>
  <si>
    <t>CRWD</t>
  </si>
  <si>
    <t>Crowdstrike Holdings Inc</t>
  </si>
  <si>
    <t>FTNT</t>
  </si>
  <si>
    <t>Fortinet Inc</t>
  </si>
  <si>
    <t>GEN</t>
  </si>
  <si>
    <t>Gen Digital Inc</t>
  </si>
  <si>
    <t>PANW</t>
  </si>
  <si>
    <t>Palo Alto Networks Inc</t>
  </si>
  <si>
    <t>DELL</t>
  </si>
  <si>
    <t>Dell Technologies Inc</t>
  </si>
  <si>
    <t>FLEX</t>
  </si>
  <si>
    <t>Flex Ltd</t>
  </si>
  <si>
    <t>HPE</t>
  </si>
  <si>
    <t>Hewlett Packard Enterprise Co</t>
  </si>
  <si>
    <t>JBL</t>
  </si>
  <si>
    <t>Jabil Inc</t>
  </si>
  <si>
    <t>NTAP</t>
  </si>
  <si>
    <t>NetApp Inc</t>
  </si>
  <si>
    <t>SMCI</t>
  </si>
  <si>
    <t>Super Micro Computer Inc</t>
  </si>
  <si>
    <t>SNDK</t>
  </si>
  <si>
    <t>Sandisk Corp</t>
  </si>
  <si>
    <t>STX</t>
  </si>
  <si>
    <t>Seagate Technology Holdings PL</t>
  </si>
  <si>
    <t>WDC</t>
  </si>
  <si>
    <t>Western Digital Corp</t>
  </si>
  <si>
    <t>AAPL</t>
  </si>
  <si>
    <t>Apple Inc</t>
  </si>
  <si>
    <t>ADI</t>
  </si>
  <si>
    <t>Analog Devices Inc</t>
  </si>
  <si>
    <t>AXON</t>
  </si>
  <si>
    <t>Axon Enterprise Inc</t>
  </si>
  <si>
    <t>NXPI</t>
  </si>
  <si>
    <t>NXP Semiconductors NV</t>
  </si>
  <si>
    <t>ON</t>
  </si>
  <si>
    <t>ON Semiconductor Corp</t>
  </si>
  <si>
    <t>QCOM</t>
  </si>
  <si>
    <t>QUALCOMM Inc</t>
  </si>
  <si>
    <t>ROK</t>
  </si>
  <si>
    <t>Rockwell Automation Inc</t>
  </si>
  <si>
    <t>TSLA</t>
  </si>
  <si>
    <t>Tesla Inc</t>
  </si>
  <si>
    <t>Consumer Discretionary</t>
  </si>
  <si>
    <t>CEG</t>
  </si>
  <si>
    <t>Constellation Energy Corp</t>
  </si>
  <si>
    <t>Utilities</t>
  </si>
  <si>
    <t>NRG</t>
  </si>
  <si>
    <t>NRG Energy Inc</t>
  </si>
  <si>
    <t>VST</t>
  </si>
  <si>
    <t>Vistra Corp</t>
  </si>
  <si>
    <t>CARR</t>
  </si>
  <si>
    <t>Carrier Global Corp</t>
  </si>
  <si>
    <t>ETN</t>
  </si>
  <si>
    <t>Eaton Corp PLC</t>
  </si>
  <si>
    <t>GEV</t>
  </si>
  <si>
    <t>GE Vernova Inc</t>
  </si>
  <si>
    <t>HUBB</t>
  </si>
  <si>
    <t>Hubbell Inc</t>
  </si>
  <si>
    <t>JCI</t>
  </si>
  <si>
    <t>Johnson Controls International</t>
  </si>
  <si>
    <t>TT</t>
  </si>
  <si>
    <t>Trane Technologies PLC</t>
  </si>
  <si>
    <t>VRT</t>
  </si>
  <si>
    <t>Vertiv Holdings Co</t>
  </si>
  <si>
    <t>AMAT</t>
  </si>
  <si>
    <t>Applied Materials Inc</t>
  </si>
  <si>
    <t>CDNS</t>
  </si>
  <si>
    <t>Cadence Design Systems Inc</t>
  </si>
  <si>
    <t>KLAC</t>
  </si>
  <si>
    <t>KLA Corp</t>
  </si>
  <si>
    <t>LRCX</t>
  </si>
  <si>
    <t>Lam Research Corp</t>
  </si>
  <si>
    <t>SNPS</t>
  </si>
  <si>
    <t>Synopsys Inc</t>
  </si>
  <si>
    <t>TER</t>
  </si>
  <si>
    <t>Teradyne Inc</t>
  </si>
  <si>
    <t>AMZN</t>
  </si>
  <si>
    <t>Amazon.com Inc</t>
  </si>
  <si>
    <t>GOOGL</t>
  </si>
  <si>
    <t>Alphabet Inc</t>
  </si>
  <si>
    <t>IBM</t>
  </si>
  <si>
    <t>International Business Machine</t>
  </si>
  <si>
    <t>META</t>
  </si>
  <si>
    <t>Meta Platforms Inc</t>
  </si>
  <si>
    <t>MSFT</t>
  </si>
  <si>
    <t>Microsoft Corp</t>
  </si>
  <si>
    <t>ORCL</t>
  </si>
  <si>
    <t>Oracle Corp</t>
  </si>
  <si>
    <t>Period</t>
  </si>
  <si>
    <t>Shares-based price contribution</t>
  </si>
  <si>
    <t>1D Top</t>
  </si>
  <si>
    <t>1D Bottom</t>
  </si>
  <si>
    <t>1W Top</t>
  </si>
  <si>
    <t>1W Bottom</t>
  </si>
  <si>
    <t>1M Top</t>
  </si>
  <si>
    <t>1M Bottom</t>
  </si>
  <si>
    <t>3M Top</t>
  </si>
  <si>
    <t>3M Bottom</t>
  </si>
  <si>
    <t>Item</t>
  </si>
  <si>
    <t>Definition</t>
  </si>
  <si>
    <t>Source</t>
  </si>
  <si>
    <t>C:\Users\infomax\Documents\python\QAE\데일리시황\BQL\Rawfile\BQuant_Master.xlsx</t>
  </si>
  <si>
    <t>Previous</t>
  </si>
  <si>
    <t>2026-09-08</t>
  </si>
  <si>
    <t>1W start</t>
  </si>
  <si>
    <t>2026-09-02</t>
  </si>
  <si>
    <t>1M start</t>
  </si>
  <si>
    <t>2026-08-07</t>
  </si>
  <si>
    <t>3M start</t>
  </si>
  <si>
    <t>2026-06-09</t>
  </si>
  <si>
    <t>Month boundaries</t>
  </si>
  <si>
    <t>2026-06-09 / 2026-07-09 / 2026-08-07 / 2026-09-09</t>
  </si>
  <si>
    <t>Basket</t>
  </si>
  <si>
    <t>Aggregate Price = sum(Price × Shares) / sum(Shares); returns are changes in that aggregate Price; dividends excluded</t>
  </si>
  <si>
    <t>Shares</t>
  </si>
  <si>
    <t>Derived as Bloomberg Market Cap / Price because the current BQuant panel has no separate shares field</t>
  </si>
  <si>
    <t>Contribution</t>
  </si>
  <si>
    <t>Start-date shares × price change / start aggregate value; attribution approximation</t>
  </si>
  <si>
    <t>SPX and NDX current-constituent shares-weighted aggregate-price proxies; not SPY/QQQ ETF total returns</t>
  </si>
  <si>
    <t>Bias</t>
  </si>
  <si>
    <t>Current membership is backfilled; survivorship bias exists</t>
  </si>
</sst>
</file>

<file path=xl/styles.xml><?xml version="1.0" encoding="utf-8"?>
<styleSheet xmlns="http://schemas.openxmlformats.org/spreadsheetml/2006/main">
  <numFmts count="3">
    <numFmt numFmtId="164" formatCode="0.0%;(0.0%);-"/>
    <numFmt numFmtId="165" formatCode="#,##0"/>
    <numFmt numFmtId="166" formatCode="#,##0.00"/>
  </numFmts>
  <fonts count="6">
    <font>
      <sz val="11"/>
      <color theme="1"/>
      <name val="Calibri"/>
      <family val="2"/>
      <scheme val="minor"/>
    </font>
    <font>
      <b/>
      <sz val="18"/>
      <color rgb="FF102A43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.7109375" customWidth="1"/>
    <col min="2" max="2" width="29.7109375" customWidth="1"/>
    <col min="3" max="11" width="14.7109375" customWidth="1"/>
    <col min="12" max="12" width="42.7109375" customWidth="1"/>
    <col min="14" max="19" width="18.7109375" customWidth="1"/>
  </cols>
  <sheetData>
    <row r="1" spans="1:19">
      <c r="A1" s="1" t="s">
        <v>0</v>
      </c>
      <c r="N1" s="2" t="s">
        <v>2</v>
      </c>
    </row>
    <row r="2" spans="1:19">
      <c r="A2" s="3" t="s">
        <v>1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>
      <c r="N3" s="5" t="s">
        <v>9</v>
      </c>
      <c r="O3" s="5" t="s">
        <v>10</v>
      </c>
      <c r="P3" s="6">
        <v>-0.005771760528685221</v>
      </c>
      <c r="Q3" s="6">
        <v>-0.004113383253893543</v>
      </c>
      <c r="R3" s="6">
        <v>-0.01892556176549809</v>
      </c>
      <c r="S3" s="6">
        <v>0.02413277496990895</v>
      </c>
    </row>
    <row r="4" spans="1:19">
      <c r="N4" s="5" t="s">
        <v>11</v>
      </c>
      <c r="O4" s="5" t="s">
        <v>10</v>
      </c>
      <c r="P4" s="6">
        <v>-0.007249899369746848</v>
      </c>
      <c r="Q4" s="6">
        <v>0.003766607348225204</v>
      </c>
      <c r="R4" s="6">
        <v>-0.01884393566535691</v>
      </c>
      <c r="S4" s="6">
        <v>0.01244502101498068</v>
      </c>
    </row>
    <row r="5" spans="1:19">
      <c r="A5" s="4" t="s">
        <v>12</v>
      </c>
      <c r="B5" s="4" t="s">
        <v>13</v>
      </c>
      <c r="C5" s="4" t="s">
        <v>14</v>
      </c>
      <c r="D5" s="4" t="s">
        <v>5</v>
      </c>
      <c r="E5" s="4" t="s">
        <v>6</v>
      </c>
      <c r="F5" s="4" t="s">
        <v>7</v>
      </c>
      <c r="G5" s="4" t="s">
        <v>15</v>
      </c>
      <c r="H5" s="4" t="s">
        <v>16</v>
      </c>
      <c r="I5" s="4" t="s">
        <v>17</v>
      </c>
      <c r="J5" s="4" t="s">
        <v>8</v>
      </c>
      <c r="K5" s="4" t="s">
        <v>18</v>
      </c>
      <c r="L5" s="4" t="s">
        <v>19</v>
      </c>
    </row>
    <row r="6" spans="1:19">
      <c r="A6" s="7">
        <v>1</v>
      </c>
      <c r="B6" s="5" t="s">
        <v>20</v>
      </c>
      <c r="C6" s="7">
        <v>5</v>
      </c>
      <c r="D6" s="6">
        <v>-0.005139063140804812</v>
      </c>
      <c r="E6" s="6">
        <v>0.01947085880603461</v>
      </c>
      <c r="F6" s="6">
        <v>-0.04731308578099369</v>
      </c>
      <c r="G6" s="6">
        <v>0.2324104445822435</v>
      </c>
      <c r="H6" s="6">
        <v>0.05388214379524681</v>
      </c>
      <c r="I6" s="6">
        <v>-0.04731308578099369</v>
      </c>
      <c r="J6" s="6">
        <v>0.2373643987657228</v>
      </c>
      <c r="K6" s="6">
        <v>-0.138429654912786</v>
      </c>
      <c r="L6" s="5" t="s">
        <v>21</v>
      </c>
    </row>
    <row r="7" spans="1:19">
      <c r="A7" s="7">
        <v>2</v>
      </c>
      <c r="B7" s="5" t="s">
        <v>22</v>
      </c>
      <c r="C7" s="7">
        <v>9</v>
      </c>
      <c r="D7" s="6">
        <v>-0.008143717294175068</v>
      </c>
      <c r="E7" s="6">
        <v>-0.03337840190167041</v>
      </c>
      <c r="F7" s="6">
        <v>0.0161915831743964</v>
      </c>
      <c r="G7" s="6">
        <v>-0.03040351609563829</v>
      </c>
      <c r="H7" s="6">
        <v>0.1235988512778949</v>
      </c>
      <c r="I7" s="6">
        <v>0.0161915831743964</v>
      </c>
      <c r="J7" s="6">
        <v>0.1070772133400131</v>
      </c>
      <c r="K7" s="6">
        <v>-0.1661783969749263</v>
      </c>
      <c r="L7" s="5" t="s">
        <v>21</v>
      </c>
    </row>
    <row r="8" spans="1:19">
      <c r="A8" s="7">
        <v>3</v>
      </c>
      <c r="B8" s="5" t="s">
        <v>23</v>
      </c>
      <c r="C8" s="7">
        <v>9</v>
      </c>
      <c r="D8" s="6">
        <v>0.003442007794588253</v>
      </c>
      <c r="E8" s="6">
        <v>0.09259867469210747</v>
      </c>
      <c r="F8" s="6">
        <v>0.1572997807553094</v>
      </c>
      <c r="G8" s="6">
        <v>0.077817037182069</v>
      </c>
      <c r="H8" s="6">
        <v>-0.1327061268034641</v>
      </c>
      <c r="I8" s="6">
        <v>0.1572997807553094</v>
      </c>
      <c r="J8" s="6">
        <v>0.08182544876788178</v>
      </c>
      <c r="K8" s="6">
        <v>-0.3207896574429642</v>
      </c>
      <c r="L8" s="5" t="s">
        <v>21</v>
      </c>
    </row>
    <row r="9" spans="1:19">
      <c r="A9" s="7">
        <v>4</v>
      </c>
      <c r="B9" s="5" t="s">
        <v>24</v>
      </c>
      <c r="C9" s="7">
        <v>3</v>
      </c>
      <c r="D9" s="6">
        <v>-0.01608876361979339</v>
      </c>
      <c r="E9" s="6">
        <v>0.02773552481390351</v>
      </c>
      <c r="F9" s="6">
        <v>0.06878538956759628</v>
      </c>
      <c r="G9" s="6">
        <v>0.03487410315398365</v>
      </c>
      <c r="H9" s="6">
        <v>-0.02450193345904272</v>
      </c>
      <c r="I9" s="6">
        <v>0.06878538956759628</v>
      </c>
      <c r="J9" s="6">
        <v>0.07895775409780903</v>
      </c>
      <c r="K9" s="6">
        <v>-0.1079326834278248</v>
      </c>
      <c r="L9" s="5" t="s">
        <v>21</v>
      </c>
    </row>
    <row r="10" spans="1:19">
      <c r="A10" s="7">
        <v>5</v>
      </c>
      <c r="B10" s="5" t="s">
        <v>25</v>
      </c>
      <c r="C10" s="7">
        <v>7</v>
      </c>
      <c r="D10" s="6">
        <v>0.0003666676675333491</v>
      </c>
      <c r="E10" s="6">
        <v>0.02720862203474761</v>
      </c>
      <c r="F10" s="6">
        <v>-0.0083531391536672</v>
      </c>
      <c r="G10" s="6">
        <v>0.009042778485918612</v>
      </c>
      <c r="H10" s="6">
        <v>0.03409610707475252</v>
      </c>
      <c r="I10" s="6">
        <v>-0.0083531391536672</v>
      </c>
      <c r="J10" s="6">
        <v>0.03473114936702726</v>
      </c>
      <c r="K10" s="6">
        <v>-0.1686351592092075</v>
      </c>
      <c r="L10" s="5" t="s">
        <v>21</v>
      </c>
    </row>
    <row r="11" spans="1:19">
      <c r="A11" s="7">
        <v>6</v>
      </c>
      <c r="B11" s="5" t="s">
        <v>26</v>
      </c>
      <c r="C11" s="7">
        <v>8</v>
      </c>
      <c r="D11" s="6">
        <v>-0.001918518645971257</v>
      </c>
      <c r="E11" s="6">
        <v>-0.0134149230917795</v>
      </c>
      <c r="F11" s="6">
        <v>0.02563109805964081</v>
      </c>
      <c r="G11" s="6">
        <v>0.06201884699185034</v>
      </c>
      <c r="H11" s="6">
        <v>-0.05607884835915988</v>
      </c>
      <c r="I11" s="6">
        <v>0.02563109805964081</v>
      </c>
      <c r="J11" s="6">
        <v>0.02815625630133045</v>
      </c>
      <c r="K11" s="6">
        <v>-0.1056377717102663</v>
      </c>
      <c r="L11" s="5" t="s">
        <v>21</v>
      </c>
    </row>
    <row r="12" spans="1:19">
      <c r="A12" s="7">
        <v>7</v>
      </c>
      <c r="B12" s="5" t="s">
        <v>27</v>
      </c>
      <c r="C12" s="7">
        <v>6</v>
      </c>
      <c r="D12" s="6">
        <v>-0.004151837626446553</v>
      </c>
      <c r="E12" s="6">
        <v>0.004982531921008615</v>
      </c>
      <c r="F12" s="6">
        <v>-0.02941957470912604</v>
      </c>
      <c r="G12" s="6">
        <v>-0.01765104216870061</v>
      </c>
      <c r="H12" s="6">
        <v>0.07817310349681006</v>
      </c>
      <c r="I12" s="6">
        <v>-0.02941957470912604</v>
      </c>
      <c r="J12" s="6">
        <v>0.02798271077815406</v>
      </c>
      <c r="K12" s="6">
        <v>-0.09897892128454622</v>
      </c>
      <c r="L12" s="5" t="s">
        <v>21</v>
      </c>
    </row>
    <row r="13" spans="1:19">
      <c r="A13" s="7">
        <v>8</v>
      </c>
      <c r="B13" s="5" t="s">
        <v>28</v>
      </c>
      <c r="C13" s="7">
        <v>7</v>
      </c>
      <c r="D13" s="6">
        <v>0.0003011458474231343</v>
      </c>
      <c r="E13" s="6">
        <v>0.04097725584606149</v>
      </c>
      <c r="F13" s="6">
        <v>-0.0433022381071998</v>
      </c>
      <c r="G13" s="6">
        <v>0.04465195454098936</v>
      </c>
      <c r="H13" s="6">
        <v>0.01112154221928874</v>
      </c>
      <c r="I13" s="6">
        <v>-0.0433022381071998</v>
      </c>
      <c r="J13" s="6">
        <v>0.01053123618317797</v>
      </c>
      <c r="K13" s="6">
        <v>-0.1928065076399543</v>
      </c>
      <c r="L13" s="5" t="s">
        <v>21</v>
      </c>
    </row>
    <row r="14" spans="1:19">
      <c r="A14" s="7">
        <v>9</v>
      </c>
      <c r="B14" s="5" t="s">
        <v>29</v>
      </c>
      <c r="C14" s="7">
        <v>7</v>
      </c>
      <c r="D14" s="6">
        <v>-0.02717156412460875</v>
      </c>
      <c r="E14" s="6">
        <v>0.03304505603585461</v>
      </c>
      <c r="F14" s="6">
        <v>-0.05850478055643182</v>
      </c>
      <c r="G14" s="6">
        <v>0.06232124959009133</v>
      </c>
      <c r="H14" s="6">
        <v>-0.02129150016782311</v>
      </c>
      <c r="I14" s="6">
        <v>-0.05850478055643182</v>
      </c>
      <c r="J14" s="6">
        <v>-0.02112474976870093</v>
      </c>
      <c r="K14" s="6">
        <v>-0.1902579979099628</v>
      </c>
      <c r="L14" s="5" t="s">
        <v>21</v>
      </c>
    </row>
    <row r="15" spans="1:19">
      <c r="A15" s="7">
        <v>10</v>
      </c>
      <c r="B15" s="5" t="s">
        <v>30</v>
      </c>
      <c r="C15" s="7">
        <v>3</v>
      </c>
      <c r="D15" s="6">
        <v>-0.001110291047510037</v>
      </c>
      <c r="E15" s="6">
        <v>0.02639581052407669</v>
      </c>
      <c r="F15" s="6">
        <v>-0.01651275351827131</v>
      </c>
      <c r="G15" s="6">
        <v>-0.03885467438203283</v>
      </c>
      <c r="H15" s="6">
        <v>0.0327355876326465</v>
      </c>
      <c r="I15" s="6">
        <v>-0.01651275351827131</v>
      </c>
      <c r="J15" s="6">
        <v>-0.02378172481811902</v>
      </c>
      <c r="K15" s="6">
        <v>-0.1172148803910718</v>
      </c>
      <c r="L15" s="5" t="s">
        <v>21</v>
      </c>
    </row>
    <row r="16" spans="1:19">
      <c r="A16" s="7">
        <v>11</v>
      </c>
      <c r="B16" s="5" t="s">
        <v>31</v>
      </c>
      <c r="C16" s="7">
        <v>6</v>
      </c>
      <c r="D16" s="6">
        <v>-0.01183159978131365</v>
      </c>
      <c r="E16" s="6">
        <v>0.05958731416239949</v>
      </c>
      <c r="F16" s="6">
        <v>-0.06785701939390199</v>
      </c>
      <c r="G16" s="6">
        <v>0.08758444945828403</v>
      </c>
      <c r="H16" s="6">
        <v>-0.1017463298863753</v>
      </c>
      <c r="I16" s="6">
        <v>-0.06785701939390199</v>
      </c>
      <c r="J16" s="6">
        <v>-0.08936461232392179</v>
      </c>
      <c r="K16" s="6">
        <v>-0.3814663995705128</v>
      </c>
      <c r="L16" s="5" t="s">
        <v>21</v>
      </c>
    </row>
    <row r="17" spans="1:12">
      <c r="A17" s="7">
        <v>12</v>
      </c>
      <c r="B17" s="5" t="s">
        <v>32</v>
      </c>
      <c r="C17" s="7">
        <v>3</v>
      </c>
      <c r="D17" s="6">
        <v>-0.02029795214260033</v>
      </c>
      <c r="E17" s="6">
        <v>0.02933812301487504</v>
      </c>
      <c r="F17" s="6">
        <v>-0.06255752907697421</v>
      </c>
      <c r="G17" s="6">
        <v>-0.03561886280752602</v>
      </c>
      <c r="H17" s="6">
        <v>-0.005369354600618381</v>
      </c>
      <c r="I17" s="6">
        <v>-0.06255752907697421</v>
      </c>
      <c r="J17" s="6">
        <v>-0.1008023387244197</v>
      </c>
      <c r="K17" s="6">
        <v>-0.2465331360210232</v>
      </c>
      <c r="L17" s="5" t="s">
        <v>21</v>
      </c>
    </row>
  </sheetData>
  <autoFilter ref="A5:L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31.7109375" customWidth="1"/>
    <col min="3" max="5" width="24.7109375" customWidth="1"/>
    <col min="6" max="18" width="14.7109375" customWidth="1"/>
  </cols>
  <sheetData>
    <row r="1" spans="1:18">
      <c r="A1" s="4" t="s">
        <v>33</v>
      </c>
      <c r="B1" s="4" t="s">
        <v>34</v>
      </c>
      <c r="C1" s="4" t="s">
        <v>13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5</v>
      </c>
      <c r="L1" s="4" t="s">
        <v>6</v>
      </c>
      <c r="M1" s="4" t="s">
        <v>7</v>
      </c>
      <c r="N1" s="4" t="s">
        <v>15</v>
      </c>
      <c r="O1" s="4" t="s">
        <v>16</v>
      </c>
      <c r="P1" s="4" t="s">
        <v>17</v>
      </c>
      <c r="Q1" s="4" t="s">
        <v>8</v>
      </c>
      <c r="R1" s="4" t="s">
        <v>42</v>
      </c>
    </row>
    <row r="2" spans="1:18">
      <c r="A2" s="5" t="s">
        <v>43</v>
      </c>
      <c r="B2" s="5" t="s">
        <v>44</v>
      </c>
      <c r="C2" s="5" t="s">
        <v>22</v>
      </c>
      <c r="D2" s="5" t="s">
        <v>45</v>
      </c>
      <c r="E2" s="5" t="s">
        <v>46</v>
      </c>
      <c r="F2" s="8">
        <v>173.47</v>
      </c>
      <c r="G2" s="8">
        <v>175.72</v>
      </c>
      <c r="H2" s="8">
        <v>187.68</v>
      </c>
      <c r="I2" s="8">
        <v>179.03</v>
      </c>
      <c r="J2" s="8">
        <v>175.8000030517578</v>
      </c>
      <c r="K2" s="6">
        <f>IFERROR(J2/I2-1,"")</f>
        <v>-0.01804165194795393</v>
      </c>
      <c r="L2" s="6">
        <f>IFERROR(J2/H2-1,"")</f>
        <v>-0.06329921647614123</v>
      </c>
      <c r="M2" s="6">
        <f>IFERROR(J2/G2-1,"")</f>
        <v>0.00045528711448783454</v>
      </c>
      <c r="N2" s="6">
        <v>-0.1983628293076612</v>
      </c>
      <c r="O2" s="6">
        <v>0.2636272112757083</v>
      </c>
      <c r="P2" s="6">
        <v>0.0004552871144878345</v>
      </c>
      <c r="Q2" s="6">
        <f>IFERROR(J2/F2-1,"")</f>
        <v>0.013431734892245473</v>
      </c>
      <c r="R2" s="6">
        <v>-0.2826425318498876</v>
      </c>
    </row>
    <row r="3" spans="1:18">
      <c r="A3" s="5" t="s">
        <v>47</v>
      </c>
      <c r="B3" s="5" t="s">
        <v>48</v>
      </c>
      <c r="C3" s="5" t="s">
        <v>22</v>
      </c>
      <c r="D3" s="5" t="s">
        <v>45</v>
      </c>
      <c r="E3" s="5" t="s">
        <v>49</v>
      </c>
      <c r="F3" s="8">
        <v>237.88</v>
      </c>
      <c r="G3" s="8">
        <v>265.21</v>
      </c>
      <c r="H3" s="8">
        <v>279.79</v>
      </c>
      <c r="I3" s="8">
        <v>257.26</v>
      </c>
      <c r="J3" s="8">
        <v>254.8600006103516</v>
      </c>
      <c r="K3" s="6">
        <f>IFERROR(J3/I3-1,"")</f>
        <v>-0.009329081045045484</v>
      </c>
      <c r="L3" s="6">
        <f>IFERROR(J3/H3-1,"")</f>
        <v>-0.08910253901014487</v>
      </c>
      <c r="M3" s="6">
        <f>IFERROR(J3/G3-1,"")</f>
        <v>-0.0390256754634003</v>
      </c>
      <c r="N3" s="6">
        <v>-0.06402387758533712</v>
      </c>
      <c r="O3" s="6">
        <v>0.1911520323377498</v>
      </c>
      <c r="P3" s="6">
        <v>-0.0390256754634003</v>
      </c>
      <c r="Q3" s="6">
        <f>IFERROR(J3/F3-1,"")</f>
        <v>0.07138053056310567</v>
      </c>
      <c r="R3" s="6">
        <v>-0.1869429964688079</v>
      </c>
    </row>
    <row r="4" spans="1:18">
      <c r="A4" s="5" t="s">
        <v>50</v>
      </c>
      <c r="B4" s="5" t="s">
        <v>51</v>
      </c>
      <c r="C4" s="5" t="s">
        <v>22</v>
      </c>
      <c r="D4" s="5" t="s">
        <v>52</v>
      </c>
      <c r="E4" s="5" t="s">
        <v>49</v>
      </c>
      <c r="F4" s="8">
        <v>520.84</v>
      </c>
      <c r="G4" s="8">
        <v>346.8</v>
      </c>
      <c r="H4" s="8">
        <v>319.05</v>
      </c>
      <c r="I4" s="8">
        <v>312.01</v>
      </c>
      <c r="J4" s="8">
        <v>305.0599975585938</v>
      </c>
      <c r="K4" s="6">
        <f>IFERROR(J4/I4-1,"")</f>
        <v>-0.022274934910439304</v>
      </c>
      <c r="L4" s="6">
        <f>IFERROR(J4/H4-1,"")</f>
        <v>-0.04384893415266011</v>
      </c>
      <c r="M4" s="6">
        <f>IFERROR(J4/G4-1,"")</f>
        <v>-0.12035756182643076</v>
      </c>
      <c r="N4" s="6">
        <v>-0.0007871899239690894</v>
      </c>
      <c r="O4" s="6">
        <v>-0.3336279614933804</v>
      </c>
      <c r="P4" s="6">
        <v>-0.1203575618264308</v>
      </c>
      <c r="Q4" s="6">
        <f>IFERROR(J4/F4-1,"")</f>
        <v>-0.4142923017460376</v>
      </c>
      <c r="R4" s="6">
        <v>-0.4711570818795275</v>
      </c>
    </row>
    <row r="5" spans="1:18">
      <c r="A5" s="5" t="s">
        <v>53</v>
      </c>
      <c r="B5" s="5" t="s">
        <v>54</v>
      </c>
      <c r="C5" s="5" t="s">
        <v>22</v>
      </c>
      <c r="D5" s="5" t="s">
        <v>45</v>
      </c>
      <c r="E5" s="5" t="s">
        <v>49</v>
      </c>
      <c r="F5" s="8">
        <v>175.35</v>
      </c>
      <c r="G5" s="8">
        <v>192.74</v>
      </c>
      <c r="H5" s="8">
        <v>256.93</v>
      </c>
      <c r="I5" s="8">
        <v>249.12</v>
      </c>
      <c r="J5" s="8">
        <v>244.1600036621094</v>
      </c>
      <c r="K5" s="6">
        <f>IFERROR(J5/I5-1,"")</f>
        <v>-0.019910068793716262</v>
      </c>
      <c r="L5" s="6">
        <f>IFERROR(J5/H5-1,"")</f>
        <v>-0.04970223927875528</v>
      </c>
      <c r="M5" s="6">
        <f>IFERROR(J5/G5-1,"")</f>
        <v>0.26678428796362663</v>
      </c>
      <c r="N5" s="6">
        <v>-0.07328200741374391</v>
      </c>
      <c r="O5" s="6">
        <v>0.1860923076923078</v>
      </c>
      <c r="P5" s="6">
        <v>0.2667842879636266</v>
      </c>
      <c r="Q5" s="6">
        <f>IFERROR(J5/F5-1,"")</f>
        <v>0.3924151905452491</v>
      </c>
      <c r="R5" s="6">
        <v>-0.1438836612489307</v>
      </c>
    </row>
    <row r="6" spans="1:18">
      <c r="A6" s="5" t="s">
        <v>55</v>
      </c>
      <c r="B6" s="5" t="s">
        <v>56</v>
      </c>
      <c r="C6" s="5" t="s">
        <v>22</v>
      </c>
      <c r="D6" s="5" t="s">
        <v>45</v>
      </c>
      <c r="E6" s="5" t="s">
        <v>46</v>
      </c>
      <c r="F6" s="8">
        <v>227.34</v>
      </c>
      <c r="G6" s="8">
        <v>233.93</v>
      </c>
      <c r="H6" s="8">
        <v>209.23</v>
      </c>
      <c r="I6" s="8">
        <v>210.23</v>
      </c>
      <c r="J6" s="8">
        <v>225.2700042724609</v>
      </c>
      <c r="K6" s="6">
        <f>IFERROR(J6/I6-1,"")</f>
        <v>0.07154071384893168</v>
      </c>
      <c r="L6" s="6">
        <f>IFERROR(J6/H6-1,"")</f>
        <v>0.07666206697156674</v>
      </c>
      <c r="M6" s="6">
        <f>IFERROR(J6/G6-1,"")</f>
        <v>-0.037019602990377876</v>
      </c>
      <c r="N6" s="6">
        <v>0.1832497580716108</v>
      </c>
      <c r="O6" s="6">
        <v>-0.1303717472118959</v>
      </c>
      <c r="P6" s="6">
        <v>-0.03701960299037788</v>
      </c>
      <c r="Q6" s="6">
        <f>IFERROR(J6/F6-1,"")</f>
        <v>-0.009105286036505178</v>
      </c>
      <c r="R6" s="6">
        <v>-0.2738851292729481</v>
      </c>
    </row>
    <row r="7" spans="1:18">
      <c r="A7" s="5" t="s">
        <v>57</v>
      </c>
      <c r="B7" s="5" t="s">
        <v>58</v>
      </c>
      <c r="C7" s="5" t="s">
        <v>22</v>
      </c>
      <c r="D7" s="5" t="s">
        <v>45</v>
      </c>
      <c r="E7" s="5" t="s">
        <v>46</v>
      </c>
      <c r="F7" s="8">
        <v>293.78</v>
      </c>
      <c r="G7" s="8">
        <v>325.25</v>
      </c>
      <c r="H7" s="8">
        <v>342.94</v>
      </c>
      <c r="I7" s="8">
        <v>318.93</v>
      </c>
      <c r="J7" s="8">
        <v>313.9400024414062</v>
      </c>
      <c r="K7" s="6">
        <f>IFERROR(J7/I7-1,"")</f>
        <v>-0.015646058879985603</v>
      </c>
      <c r="L7" s="6">
        <f>IFERROR(J7/H7-1,"")</f>
        <v>-0.08456289018077157</v>
      </c>
      <c r="M7" s="6">
        <f>IFERROR(J7/G7-1,"")</f>
        <v>-0.034773243838874146</v>
      </c>
      <c r="N7" s="6">
        <v>-0.06943971679488048</v>
      </c>
      <c r="O7" s="6">
        <v>0.1897358987489941</v>
      </c>
      <c r="P7" s="6">
        <v>-0.03477324383887415</v>
      </c>
      <c r="Q7" s="6">
        <f>IFERROR(J7/F7-1,"")</f>
        <v>0.06862278726055626</v>
      </c>
      <c r="R7" s="6">
        <v>-0.151330010701216</v>
      </c>
    </row>
    <row r="8" spans="1:18">
      <c r="A8" s="5" t="s">
        <v>59</v>
      </c>
      <c r="B8" s="5" t="s">
        <v>60</v>
      </c>
      <c r="C8" s="5" t="s">
        <v>22</v>
      </c>
      <c r="D8" s="5" t="s">
        <v>45</v>
      </c>
      <c r="E8" s="5" t="s">
        <v>49</v>
      </c>
      <c r="F8" s="8">
        <v>106.97</v>
      </c>
      <c r="G8" s="8">
        <v>124.88</v>
      </c>
      <c r="H8" s="8">
        <v>136.72</v>
      </c>
      <c r="I8" s="8">
        <v>134.21</v>
      </c>
      <c r="J8" s="8">
        <v>131.1100006103516</v>
      </c>
      <c r="K8" s="6">
        <f>IFERROR(J8/I8-1,"")</f>
        <v>-0.02309812524885191</v>
      </c>
      <c r="L8" s="6">
        <f>IFERROR(J8/H8-1,"")</f>
        <v>-0.04103276323616445</v>
      </c>
      <c r="M8" s="6">
        <f>IFERROR(J8/G8-1,"")</f>
        <v>0.0498878972641863</v>
      </c>
      <c r="N8" s="6">
        <v>0.01748153687949894</v>
      </c>
      <c r="O8" s="6">
        <v>0.1473722895994118</v>
      </c>
      <c r="P8" s="6">
        <v>0.0498878972641863</v>
      </c>
      <c r="Q8" s="6">
        <f>IFERROR(J8/F8-1,"")</f>
        <v>0.22567075451389718</v>
      </c>
      <c r="R8" s="6">
        <v>-0.1736473126011145</v>
      </c>
    </row>
    <row r="9" spans="1:18">
      <c r="A9" s="5" t="s">
        <v>61</v>
      </c>
      <c r="B9" s="5" t="s">
        <v>62</v>
      </c>
      <c r="C9" s="5" t="s">
        <v>22</v>
      </c>
      <c r="D9" s="5" t="s">
        <v>45</v>
      </c>
      <c r="E9" s="5" t="s">
        <v>49</v>
      </c>
      <c r="F9" s="8">
        <v>132.07</v>
      </c>
      <c r="G9" s="8">
        <v>172.01</v>
      </c>
      <c r="H9" s="8">
        <v>169.46</v>
      </c>
      <c r="I9" s="8">
        <v>170.3</v>
      </c>
      <c r="J9" s="8">
        <v>169.5299987792969</v>
      </c>
      <c r="K9" s="6">
        <f>IFERROR(J9/I9-1,"")</f>
        <v>-0.004521439933664717</v>
      </c>
      <c r="L9" s="6">
        <f>IFERROR(J9/H9-1,"")</f>
        <v>0.00041306962880272025</v>
      </c>
      <c r="M9" s="6">
        <f>IFERROR(J9/G9-1,"")</f>
        <v>-0.014417773505628118</v>
      </c>
      <c r="N9" s="6">
        <v>-0.02294237904141749</v>
      </c>
      <c r="O9" s="6">
        <v>0.3329975201487911</v>
      </c>
      <c r="P9" s="6">
        <v>-0.01441777350562812</v>
      </c>
      <c r="Q9" s="6">
        <f>IFERROR(J9/F9-1,"")</f>
        <v>0.28363745573784294</v>
      </c>
      <c r="R9" s="6">
        <v>-0.2036968302278971</v>
      </c>
    </row>
    <row r="10" spans="1:18">
      <c r="A10" s="5" t="s">
        <v>63</v>
      </c>
      <c r="B10" s="5" t="s">
        <v>64</v>
      </c>
      <c r="C10" s="5" t="s">
        <v>22</v>
      </c>
      <c r="D10" s="5" t="s">
        <v>45</v>
      </c>
      <c r="E10" s="5" t="s">
        <v>46</v>
      </c>
      <c r="F10" s="8">
        <v>140.23</v>
      </c>
      <c r="G10" s="8">
        <v>179.64</v>
      </c>
      <c r="H10" s="8">
        <v>200.87</v>
      </c>
      <c r="I10" s="8">
        <v>186.28</v>
      </c>
      <c r="J10" s="8">
        <v>186.0500030517578</v>
      </c>
      <c r="K10" s="6">
        <f>IFERROR(J10/I10-1,"")</f>
        <v>-0.001234684068296077</v>
      </c>
      <c r="L10" s="6">
        <f>IFERROR(J10/H10-1,"")</f>
        <v>-0.07377904589158257</v>
      </c>
      <c r="M10" s="6">
        <f>IFERROR(J10/G10-1,"")</f>
        <v>0.035682493051424125</v>
      </c>
      <c r="N10" s="6">
        <v>-0.01347785780503452</v>
      </c>
      <c r="O10" s="6">
        <v>0.2985398294058117</v>
      </c>
      <c r="P10" s="6">
        <v>0.03568249305142412</v>
      </c>
      <c r="Q10" s="6">
        <f>IFERROR(J10/F10-1,"")</f>
        <v>0.3267489342634089</v>
      </c>
      <c r="R10" s="6">
        <v>-0.1938957427084075</v>
      </c>
    </row>
    <row r="11" spans="1:18">
      <c r="A11" s="5" t="s">
        <v>65</v>
      </c>
      <c r="B11" s="5" t="s">
        <v>66</v>
      </c>
      <c r="C11" s="5" t="s">
        <v>25</v>
      </c>
      <c r="D11" s="5" t="s">
        <v>45</v>
      </c>
      <c r="E11" s="5" t="s">
        <v>49</v>
      </c>
      <c r="F11" s="8">
        <v>475.505</v>
      </c>
      <c r="G11" s="8">
        <v>483.36</v>
      </c>
      <c r="H11" s="8">
        <v>457.06</v>
      </c>
      <c r="I11" s="8">
        <v>505.74</v>
      </c>
      <c r="J11" s="8">
        <v>521.094970703125</v>
      </c>
      <c r="K11" s="6">
        <f>IFERROR(J11/I11-1,"")</f>
        <v>0.030361392618984073</v>
      </c>
      <c r="L11" s="6">
        <f>IFERROR(J11/H11-1,"")</f>
        <v>0.14010189188098932</v>
      </c>
      <c r="M11" s="6">
        <f>IFERROR(J11/G11-1,"")</f>
        <v>0.07806804597634276</v>
      </c>
      <c r="N11" s="6">
        <v>0.1497670897256602</v>
      </c>
      <c r="O11" s="6">
        <v>-0.115891132572432</v>
      </c>
      <c r="P11" s="6">
        <v>0.07806804597634276</v>
      </c>
      <c r="Q11" s="6">
        <f>IFERROR(J11/F11-1,"")</f>
        <v>0.09587695335091118</v>
      </c>
      <c r="R11" s="6">
        <v>-0.260539498373242</v>
      </c>
    </row>
    <row r="12" spans="1:18">
      <c r="A12" s="5" t="s">
        <v>67</v>
      </c>
      <c r="B12" s="5" t="s">
        <v>68</v>
      </c>
      <c r="C12" s="5" t="s">
        <v>25</v>
      </c>
      <c r="D12" s="5" t="s">
        <v>45</v>
      </c>
      <c r="E12" s="5" t="s">
        <v>49</v>
      </c>
      <c r="F12" s="8">
        <v>392.16</v>
      </c>
      <c r="G12" s="8">
        <v>427.76</v>
      </c>
      <c r="H12" s="8">
        <v>367.24</v>
      </c>
      <c r="I12" s="8">
        <v>368.56</v>
      </c>
      <c r="J12" s="8">
        <v>364.3800048828125</v>
      </c>
      <c r="K12" s="6">
        <f>IFERROR(J12/I12-1,"")</f>
        <v>-0.011341423695429564</v>
      </c>
      <c r="L12" s="6">
        <f>IFERROR(J12/H12-1,"")</f>
        <v>-0.007787809381296973</v>
      </c>
      <c r="M12" s="6">
        <f>IFERROR(J12/G12-1,"")</f>
        <v>-0.14816718514397675</v>
      </c>
      <c r="N12" s="6">
        <v>0.02282231742146057</v>
      </c>
      <c r="O12" s="6">
        <v>0.06644062725935518</v>
      </c>
      <c r="P12" s="6">
        <v>-0.1481671851439768</v>
      </c>
      <c r="Q12" s="6">
        <f>IFERROR(J12/F12-1,"")</f>
        <v>-0.07083842084146141</v>
      </c>
      <c r="R12" s="6">
        <v>-0.1687161024873761</v>
      </c>
    </row>
    <row r="13" spans="1:18">
      <c r="A13" s="5" t="s">
        <v>69</v>
      </c>
      <c r="B13" s="5" t="s">
        <v>70</v>
      </c>
      <c r="C13" s="5" t="s">
        <v>25</v>
      </c>
      <c r="D13" s="5" t="s">
        <v>45</v>
      </c>
      <c r="E13" s="5" t="s">
        <v>46</v>
      </c>
      <c r="F13" s="8">
        <v>107.92</v>
      </c>
      <c r="G13" s="8">
        <v>101.65</v>
      </c>
      <c r="H13" s="8">
        <v>90.05</v>
      </c>
      <c r="I13" s="8">
        <v>104.47</v>
      </c>
      <c r="J13" s="8">
        <v>106.2399978637695</v>
      </c>
      <c r="K13" s="6">
        <f>IFERROR(J13/I13-1,"")</f>
        <v>0.016942642517177253</v>
      </c>
      <c r="L13" s="6">
        <f>IFERROR(J13/H13-1,"")</f>
        <v>0.17978898238500274</v>
      </c>
      <c r="M13" s="6">
        <f>IFERROR(J13/G13-1,"")</f>
        <v>0.04515492241780117</v>
      </c>
      <c r="N13" s="6">
        <v>0.04280948851000743</v>
      </c>
      <c r="O13" s="6">
        <v>-0.09676559445530475</v>
      </c>
      <c r="P13" s="6">
        <v>0.04515492241780117</v>
      </c>
      <c r="Q13" s="6">
        <f>IFERROR(J13/F13-1,"")</f>
        <v>-0.01556710652548643</v>
      </c>
      <c r="R13" s="6">
        <v>-0.4190435646374344</v>
      </c>
    </row>
    <row r="14" spans="1:18">
      <c r="A14" s="5" t="s">
        <v>71</v>
      </c>
      <c r="B14" s="5" t="s">
        <v>72</v>
      </c>
      <c r="C14" s="5" t="s">
        <v>25</v>
      </c>
      <c r="D14" s="5" t="s">
        <v>45</v>
      </c>
      <c r="E14" s="5" t="s">
        <v>46</v>
      </c>
      <c r="F14" s="8">
        <v>1531.98</v>
      </c>
      <c r="G14" s="8">
        <v>1401.54</v>
      </c>
      <c r="H14" s="8">
        <v>1219.36</v>
      </c>
      <c r="I14" s="8">
        <v>1218.5</v>
      </c>
      <c r="J14" s="8">
        <v>1203.75</v>
      </c>
      <c r="K14" s="6">
        <f>IFERROR(J14/I14-1,"")</f>
        <v>-0.01210504718916705</v>
      </c>
      <c r="L14" s="6">
        <f>IFERROR(J14/H14-1,"")</f>
        <v>-0.012801797664348413</v>
      </c>
      <c r="M14" s="6">
        <f>IFERROR(J14/G14-1,"")</f>
        <v>-0.1411233357592363</v>
      </c>
      <c r="N14" s="6">
        <v>-0.1030365931670125</v>
      </c>
      <c r="O14" s="6">
        <v>0.01994716657084838</v>
      </c>
      <c r="P14" s="6">
        <v>-0.1411233357592363</v>
      </c>
      <c r="Q14" s="6">
        <f>IFERROR(J14/F14-1,"")</f>
        <v>-0.21425214428386796</v>
      </c>
      <c r="R14" s="6">
        <v>-0.2714656628073764</v>
      </c>
    </row>
    <row r="15" spans="1:18">
      <c r="A15" s="5" t="s">
        <v>73</v>
      </c>
      <c r="B15" s="5" t="s">
        <v>74</v>
      </c>
      <c r="C15" s="5" t="s">
        <v>25</v>
      </c>
      <c r="D15" s="5" t="s">
        <v>45</v>
      </c>
      <c r="E15" s="5" t="s">
        <v>49</v>
      </c>
      <c r="F15" s="8">
        <v>266.88</v>
      </c>
      <c r="G15" s="8">
        <v>218.72</v>
      </c>
      <c r="H15" s="8">
        <v>206.48</v>
      </c>
      <c r="I15" s="8">
        <v>225.41</v>
      </c>
      <c r="J15" s="8">
        <v>235.0099945068359</v>
      </c>
      <c r="K15" s="6">
        <f>IFERROR(J15/I15-1,"")</f>
        <v>0.04258903556557336</v>
      </c>
      <c r="L15" s="6">
        <f>IFERROR(J15/H15-1,"")</f>
        <v>0.13817316208270003</v>
      </c>
      <c r="M15" s="6">
        <f>IFERROR(J15/G15-1,"")</f>
        <v>0.0744787605469821</v>
      </c>
      <c r="N15" s="6">
        <v>-0.08846672661870503</v>
      </c>
      <c r="O15" s="6">
        <v>-0.1009166769433141</v>
      </c>
      <c r="P15" s="6">
        <v>0.0744787605469821</v>
      </c>
      <c r="Q15" s="6">
        <f>IFERROR(J15/F15-1,"")</f>
        <v>-0.11941698700975756</v>
      </c>
      <c r="R15" s="6">
        <v>-0.4738875652005924</v>
      </c>
    </row>
    <row r="16" spans="1:18">
      <c r="A16" s="5" t="s">
        <v>75</v>
      </c>
      <c r="B16" s="5" t="s">
        <v>76</v>
      </c>
      <c r="C16" s="5" t="s">
        <v>25</v>
      </c>
      <c r="D16" s="5" t="s">
        <v>45</v>
      </c>
      <c r="E16" s="5" t="s">
        <v>49</v>
      </c>
      <c r="F16" s="8">
        <v>935.89</v>
      </c>
      <c r="G16" s="8">
        <v>877.5700000000001</v>
      </c>
      <c r="H16" s="8">
        <v>956.08</v>
      </c>
      <c r="I16" s="8">
        <v>1000.26</v>
      </c>
      <c r="J16" s="8">
        <v>1027.77001953125</v>
      </c>
      <c r="K16" s="6">
        <f>IFERROR(J16/I16-1,"")</f>
        <v>0.027502868785365786</v>
      </c>
      <c r="L16" s="6">
        <f>IFERROR(J16/H16-1,"")</f>
        <v>0.07498328542721322</v>
      </c>
      <c r="M16" s="6">
        <f>IFERROR(J16/G16-1,"")</f>
        <v>0.17115446007868318</v>
      </c>
      <c r="N16" s="6">
        <v>0.0595689664383634</v>
      </c>
      <c r="O16" s="6">
        <v>-0.1150316647170343</v>
      </c>
      <c r="P16" s="6">
        <v>0.1711544600786832</v>
      </c>
      <c r="Q16" s="6">
        <f>IFERROR(J16/F16-1,"")</f>
        <v>0.09817395156615638</v>
      </c>
      <c r="R16" s="6">
        <v>-0.3910478262302647</v>
      </c>
    </row>
    <row r="17" spans="1:18">
      <c r="A17" s="5" t="s">
        <v>77</v>
      </c>
      <c r="B17" s="5" t="s">
        <v>78</v>
      </c>
      <c r="C17" s="5" t="s">
        <v>25</v>
      </c>
      <c r="D17" s="5" t="s">
        <v>45</v>
      </c>
      <c r="E17" s="5" t="s">
        <v>49</v>
      </c>
      <c r="F17" s="8">
        <v>208.19</v>
      </c>
      <c r="G17" s="8">
        <v>223.96</v>
      </c>
      <c r="H17" s="8">
        <v>224.41</v>
      </c>
      <c r="I17" s="8">
        <v>225.73</v>
      </c>
      <c r="J17" s="8">
        <v>223.6699981689453</v>
      </c>
      <c r="K17" s="6">
        <f>IFERROR(J17/I17-1,"")</f>
        <v>-0.009125955039448352</v>
      </c>
      <c r="L17" s="6">
        <f>IFERROR(J17/H17-1,"")</f>
        <v>-0.0032975439198551504</v>
      </c>
      <c r="M17" s="6">
        <f>IFERROR(J17/G17-1,"")</f>
        <v>-0.0012948822604692545</v>
      </c>
      <c r="N17" s="6">
        <v>-0.02598587828425958</v>
      </c>
      <c r="O17" s="6">
        <v>0.104448170431009</v>
      </c>
      <c r="P17" s="6">
        <v>-0.001294882260469254</v>
      </c>
      <c r="Q17" s="6">
        <f>IFERROR(J17/F17-1,"")</f>
        <v>0.07435514755245354</v>
      </c>
      <c r="R17" s="6">
        <v>-0.1058352941176471</v>
      </c>
    </row>
    <row r="18" spans="1:18">
      <c r="A18" s="5" t="s">
        <v>79</v>
      </c>
      <c r="B18" s="5" t="s">
        <v>80</v>
      </c>
      <c r="C18" s="5" t="s">
        <v>32</v>
      </c>
      <c r="D18" s="5" t="s">
        <v>81</v>
      </c>
      <c r="E18" s="5" t="s">
        <v>46</v>
      </c>
      <c r="F18" s="8">
        <v>827.78</v>
      </c>
      <c r="G18" s="8">
        <v>816.9</v>
      </c>
      <c r="H18" s="8">
        <v>734.26</v>
      </c>
      <c r="I18" s="8">
        <v>773.16</v>
      </c>
      <c r="J18" s="8">
        <v>754.2899780273438</v>
      </c>
      <c r="K18" s="6">
        <f>IFERROR(J18/I18-1,"")</f>
        <v>-0.02440636087311321</v>
      </c>
      <c r="L18" s="6">
        <f>IFERROR(J18/H18-1,"")</f>
        <v>0.027279135493345263</v>
      </c>
      <c r="M18" s="6">
        <f>IFERROR(J18/G18-1,"")</f>
        <v>-0.07664343490348413</v>
      </c>
      <c r="N18" s="6">
        <v>-0.0536011983860446</v>
      </c>
      <c r="O18" s="6">
        <v>0.04274900754394251</v>
      </c>
      <c r="P18" s="6">
        <v>-0.07664343490348413</v>
      </c>
      <c r="Q18" s="6">
        <f>IFERROR(J18/F18-1,"")</f>
        <v>-0.08877965398131893</v>
      </c>
      <c r="R18" s="6">
        <v>-0.2260381180370131</v>
      </c>
    </row>
    <row r="19" spans="1:18">
      <c r="A19" s="5" t="s">
        <v>82</v>
      </c>
      <c r="B19" s="5" t="s">
        <v>83</v>
      </c>
      <c r="C19" s="5" t="s">
        <v>32</v>
      </c>
      <c r="D19" s="5" t="s">
        <v>81</v>
      </c>
      <c r="E19" s="5" t="s">
        <v>46</v>
      </c>
      <c r="F19" s="8">
        <v>1831.56</v>
      </c>
      <c r="G19" s="8">
        <v>1694.55</v>
      </c>
      <c r="H19" s="8">
        <v>1560.13</v>
      </c>
      <c r="I19" s="8">
        <v>1648.47</v>
      </c>
      <c r="J19" s="8">
        <v>1615.140014648438</v>
      </c>
      <c r="K19" s="6">
        <f>IFERROR(J19/I19-1,"")</f>
        <v>-0.02021873940779151</v>
      </c>
      <c r="L19" s="6">
        <f>IFERROR(J19/H19-1,"")</f>
        <v>0.035259891578546476</v>
      </c>
      <c r="M19" s="6">
        <f>IFERROR(J19/G19-1,"")</f>
        <v>-0.04686199011629166</v>
      </c>
      <c r="N19" s="6">
        <v>-0.02737557055187922</v>
      </c>
      <c r="O19" s="6">
        <v>-0.0487644687945572</v>
      </c>
      <c r="P19" s="6">
        <v>-0.04686199011629166</v>
      </c>
      <c r="Q19" s="6">
        <f>IFERROR(J19/F19-1,"")</f>
        <v>-0.11816155919083293</v>
      </c>
      <c r="R19" s="6">
        <v>-0.2650749330997673</v>
      </c>
    </row>
    <row r="20" spans="1:18">
      <c r="A20" s="5" t="s">
        <v>84</v>
      </c>
      <c r="B20" s="5" t="s">
        <v>85</v>
      </c>
      <c r="C20" s="5" t="s">
        <v>32</v>
      </c>
      <c r="D20" s="5" t="s">
        <v>81</v>
      </c>
      <c r="E20" s="5" t="s">
        <v>49</v>
      </c>
      <c r="F20" s="8">
        <v>691.95</v>
      </c>
      <c r="G20" s="8">
        <v>671.86</v>
      </c>
      <c r="H20" s="8">
        <v>610.78</v>
      </c>
      <c r="I20" s="8">
        <v>639.05</v>
      </c>
      <c r="J20" s="8">
        <v>626.97998046875</v>
      </c>
      <c r="K20" s="6">
        <f>IFERROR(J20/I20-1,"")</f>
        <v>-0.018887441563649077</v>
      </c>
      <c r="L20" s="6">
        <f>IFERROR(J20/H20-1,"")</f>
        <v>0.026523429825387357</v>
      </c>
      <c r="M20" s="6">
        <f>IFERROR(J20/G20-1,"")</f>
        <v>-0.06679965994589654</v>
      </c>
      <c r="N20" s="6">
        <v>-0.03436664498879993</v>
      </c>
      <c r="O20" s="6">
        <v>0.005522546657287908</v>
      </c>
      <c r="P20" s="6">
        <v>-0.06679965994589654</v>
      </c>
      <c r="Q20" s="6">
        <f>IFERROR(J20/F20-1,"")</f>
        <v>-0.09389409571681484</v>
      </c>
      <c r="R20" s="6">
        <v>-0.2418461372172832</v>
      </c>
    </row>
    <row r="21" spans="1:18">
      <c r="A21" s="5" t="s">
        <v>86</v>
      </c>
      <c r="B21" s="5" t="s">
        <v>87</v>
      </c>
      <c r="C21" s="5" t="s">
        <v>28</v>
      </c>
      <c r="D21" s="5" t="s">
        <v>45</v>
      </c>
      <c r="E21" s="5" t="s">
        <v>49</v>
      </c>
      <c r="F21" s="8">
        <v>152.16</v>
      </c>
      <c r="G21" s="8">
        <v>188.67</v>
      </c>
      <c r="H21" s="8">
        <v>186.1</v>
      </c>
      <c r="I21" s="8">
        <v>194.96</v>
      </c>
      <c r="J21" s="8">
        <v>192.9299926757812</v>
      </c>
      <c r="K21" s="6">
        <f>IFERROR(J21/I21-1,"")</f>
        <v>-0.01041242985339974</v>
      </c>
      <c r="L21" s="6">
        <f>IFERROR(J21/H21-1,"")</f>
        <v>0.03670065919280607</v>
      </c>
      <c r="M21" s="6">
        <f>IFERROR(J21/G21-1,"")</f>
        <v>0.022579067555950738</v>
      </c>
      <c r="N21" s="6">
        <v>0.2137881177707677</v>
      </c>
      <c r="O21" s="6">
        <v>0.02154962369375713</v>
      </c>
      <c r="P21" s="6">
        <v>0.02257906755595074</v>
      </c>
      <c r="Q21" s="6">
        <f>IFERROR(J21/F21-1,"")</f>
        <v>0.2679415922435673</v>
      </c>
      <c r="R21" s="6">
        <v>-0.1550599058622165</v>
      </c>
    </row>
    <row r="22" spans="1:18">
      <c r="A22" s="5" t="s">
        <v>88</v>
      </c>
      <c r="B22" s="5" t="s">
        <v>89</v>
      </c>
      <c r="C22" s="5" t="s">
        <v>28</v>
      </c>
      <c r="D22" s="5" t="s">
        <v>45</v>
      </c>
      <c r="E22" s="5" t="s">
        <v>46</v>
      </c>
      <c r="F22" s="8">
        <v>77.035</v>
      </c>
      <c r="G22" s="8">
        <v>84.59</v>
      </c>
      <c r="H22" s="8">
        <v>80.04000000000001</v>
      </c>
      <c r="I22" s="8">
        <v>81.76000000000001</v>
      </c>
      <c r="J22" s="8">
        <v>81.33999633789062</v>
      </c>
      <c r="K22" s="6">
        <f>IFERROR(J22/I22-1,"")</f>
        <v>-0.005137031092335875</v>
      </c>
      <c r="L22" s="6">
        <f>IFERROR(J22/H22-1,"")</f>
        <v>0.016241833306979148</v>
      </c>
      <c r="M22" s="6">
        <f>IFERROR(J22/G22-1,"")</f>
        <v>-0.03842066038668135</v>
      </c>
      <c r="N22" s="6">
        <v>0.05302784448627262</v>
      </c>
      <c r="O22" s="6">
        <v>0.04277613412228787</v>
      </c>
      <c r="P22" s="6">
        <v>-0.03842066038668135</v>
      </c>
      <c r="Q22" s="6">
        <f>IFERROR(J22/F22-1,"")</f>
        <v>0.055883641693913466</v>
      </c>
      <c r="R22" s="6">
        <v>-0.1841538112522686</v>
      </c>
    </row>
    <row r="23" spans="1:18">
      <c r="A23" s="5" t="s">
        <v>90</v>
      </c>
      <c r="B23" s="5" t="s">
        <v>91</v>
      </c>
      <c r="C23" s="5" t="s">
        <v>28</v>
      </c>
      <c r="D23" s="5" t="s">
        <v>45</v>
      </c>
      <c r="E23" s="5" t="s">
        <v>49</v>
      </c>
      <c r="F23" s="8">
        <v>439.34</v>
      </c>
      <c r="G23" s="8">
        <v>412.39</v>
      </c>
      <c r="H23" s="8">
        <v>354.16</v>
      </c>
      <c r="I23" s="8">
        <v>341.29</v>
      </c>
      <c r="J23" s="8">
        <v>338</v>
      </c>
      <c r="K23" s="6">
        <f>IFERROR(J23/I23-1,"")</f>
        <v>-0.00963989568988255</v>
      </c>
      <c r="L23" s="6">
        <f>IFERROR(J23/H23-1,"")</f>
        <v>-0.04562909419471428</v>
      </c>
      <c r="M23" s="6">
        <f>IFERROR(J23/G23-1,"")</f>
        <v>-0.18038749727199976</v>
      </c>
      <c r="N23" s="6">
        <v>0.05235125415395814</v>
      </c>
      <c r="O23" s="6">
        <v>-0.1080373750919237</v>
      </c>
      <c r="P23" s="6">
        <v>-0.1803874972719998</v>
      </c>
      <c r="Q23" s="6">
        <f>IFERROR(J23/F23-1,"")</f>
        <v>-0.2306641780853097</v>
      </c>
      <c r="R23" s="6">
        <v>-0.352862035225049</v>
      </c>
    </row>
    <row r="24" spans="1:18">
      <c r="A24" s="5" t="s">
        <v>92</v>
      </c>
      <c r="B24" s="5" t="s">
        <v>93</v>
      </c>
      <c r="C24" s="5" t="s">
        <v>28</v>
      </c>
      <c r="D24" s="5" t="s">
        <v>45</v>
      </c>
      <c r="E24" s="5" t="s">
        <v>49</v>
      </c>
      <c r="F24" s="8">
        <v>355.94</v>
      </c>
      <c r="G24" s="8">
        <v>379.13</v>
      </c>
      <c r="H24" s="8">
        <v>268.64</v>
      </c>
      <c r="I24" s="8">
        <v>301.88</v>
      </c>
      <c r="J24" s="8">
        <v>303.4800109863281</v>
      </c>
      <c r="K24" s="6">
        <f>IFERROR(J24/I24-1,"")</f>
        <v>0.005300155645713955</v>
      </c>
      <c r="L24" s="6">
        <f>IFERROR(J24/H24-1,"")</f>
        <v>0.12969033273648067</v>
      </c>
      <c r="M24" s="6">
        <f>IFERROR(J24/G24-1,"")</f>
        <v>-0.19953575030641701</v>
      </c>
      <c r="N24" s="6">
        <v>-0.08063156711805353</v>
      </c>
      <c r="O24" s="6">
        <v>0.1585686346412418</v>
      </c>
      <c r="P24" s="6">
        <v>-0.199535750306417</v>
      </c>
      <c r="Q24" s="6">
        <f>IFERROR(J24/F24-1,"")</f>
        <v>-0.14738435976195952</v>
      </c>
      <c r="R24" s="6">
        <v>-0.4781188304973206</v>
      </c>
    </row>
    <row r="25" spans="1:18">
      <c r="A25" s="5" t="s">
        <v>94</v>
      </c>
      <c r="B25" s="5" t="s">
        <v>95</v>
      </c>
      <c r="C25" s="5" t="s">
        <v>28</v>
      </c>
      <c r="D25" s="5" t="s">
        <v>45</v>
      </c>
      <c r="E25" s="5" t="s">
        <v>49</v>
      </c>
      <c r="F25" s="8">
        <v>120.36</v>
      </c>
      <c r="G25" s="8">
        <v>121.43</v>
      </c>
      <c r="H25" s="8">
        <v>109.455</v>
      </c>
      <c r="I25" s="8">
        <v>109.17</v>
      </c>
      <c r="J25" s="8">
        <v>109.4300003051758</v>
      </c>
      <c r="K25" s="6">
        <f>IFERROR(J25/I25-1,"")</f>
        <v>0.002381609463916856</v>
      </c>
      <c r="L25" s="6">
        <f>IFERROR(J25/H25-1,"")</f>
        <v>-0.00022840157895209767</v>
      </c>
      <c r="M25" s="6">
        <f>IFERROR(J25/G25-1,"")</f>
        <v>-0.0988223642825019</v>
      </c>
      <c r="N25" s="6">
        <v>-0.01703223662346287</v>
      </c>
      <c r="O25" s="6">
        <v>0.02637139717690817</v>
      </c>
      <c r="P25" s="6">
        <v>-0.09882236428250191</v>
      </c>
      <c r="Q25" s="6">
        <f>IFERROR(J25/F25-1,"")</f>
        <v>-0.09081089809591392</v>
      </c>
      <c r="R25" s="6">
        <v>-0.1232644494672264</v>
      </c>
    </row>
    <row r="26" spans="1:18">
      <c r="A26" s="5" t="s">
        <v>96</v>
      </c>
      <c r="B26" s="5" t="s">
        <v>97</v>
      </c>
      <c r="C26" s="5" t="s">
        <v>28</v>
      </c>
      <c r="D26" s="5" t="s">
        <v>45</v>
      </c>
      <c r="E26" s="5" t="s">
        <v>46</v>
      </c>
      <c r="F26" s="8">
        <v>173.94</v>
      </c>
      <c r="G26" s="8">
        <v>165.68</v>
      </c>
      <c r="H26" s="8">
        <v>144.13</v>
      </c>
      <c r="I26" s="8">
        <v>165.96</v>
      </c>
      <c r="J26" s="8">
        <v>168.4600067138672</v>
      </c>
      <c r="K26" s="6">
        <f>IFERROR(J26/I26-1,"")</f>
        <v>0.015063911266975039</v>
      </c>
      <c r="L26" s="6">
        <f>IFERROR(J26/H26-1,"")</f>
        <v>0.168805985664797</v>
      </c>
      <c r="M26" s="6">
        <f>IFERROR(J26/G26-1,"")</f>
        <v>0.016779374178338857</v>
      </c>
      <c r="N26" s="6">
        <v>0.106013567896976</v>
      </c>
      <c r="O26" s="6">
        <v>-0.1387878157812662</v>
      </c>
      <c r="P26" s="6">
        <v>0.01677937417833886</v>
      </c>
      <c r="Q26" s="6">
        <f>IFERROR(J26/F26-1,"")</f>
        <v>-0.03150507810815695</v>
      </c>
      <c r="R26" s="6">
        <v>-0.5148421917165318</v>
      </c>
    </row>
    <row r="27" spans="1:18">
      <c r="A27" s="5" t="s">
        <v>98</v>
      </c>
      <c r="B27" s="5" t="s">
        <v>99</v>
      </c>
      <c r="C27" s="5" t="s">
        <v>28</v>
      </c>
      <c r="D27" s="5" t="s">
        <v>45</v>
      </c>
      <c r="E27" s="5" t="s">
        <v>46</v>
      </c>
      <c r="F27" s="8">
        <v>821.76</v>
      </c>
      <c r="G27" s="8">
        <v>890.17</v>
      </c>
      <c r="H27" s="8">
        <v>870.58</v>
      </c>
      <c r="I27" s="8">
        <v>978.535</v>
      </c>
      <c r="J27" s="8">
        <v>988.97998046875</v>
      </c>
      <c r="K27" s="6">
        <f>IFERROR(J27/I27-1,"")</f>
        <v>0.010674100025803934</v>
      </c>
      <c r="L27" s="6">
        <f>IFERROR(J27/H27-1,"")</f>
        <v>0.1360012640638999</v>
      </c>
      <c r="M27" s="6">
        <f>IFERROR(J27/G27-1,"")</f>
        <v>0.1110012474794142</v>
      </c>
      <c r="N27" s="6">
        <v>-0.04379624221183798</v>
      </c>
      <c r="O27" s="6">
        <v>0.1328633060564797</v>
      </c>
      <c r="P27" s="6">
        <v>0.1110012474794142</v>
      </c>
      <c r="Q27" s="6">
        <f>IFERROR(J27/F27-1,"")</f>
        <v>0.20349004632587375</v>
      </c>
      <c r="R27" s="6">
        <v>-0.3707429693702728</v>
      </c>
    </row>
    <row r="28" spans="1:18">
      <c r="A28" s="5" t="s">
        <v>100</v>
      </c>
      <c r="B28" s="5" t="s">
        <v>101</v>
      </c>
      <c r="C28" s="5" t="s">
        <v>30</v>
      </c>
      <c r="D28" s="5" t="s">
        <v>102</v>
      </c>
      <c r="E28" s="5" t="s">
        <v>49</v>
      </c>
      <c r="F28" s="8">
        <v>184.93</v>
      </c>
      <c r="G28" s="8">
        <v>193.8</v>
      </c>
      <c r="H28" s="8">
        <v>183.76</v>
      </c>
      <c r="I28" s="8">
        <v>189.5</v>
      </c>
      <c r="J28" s="8">
        <v>189.0800018310547</v>
      </c>
      <c r="K28" s="6">
        <f>IFERROR(J28/I28-1,"")</f>
        <v>-0.0022163491764923826</v>
      </c>
      <c r="L28" s="6">
        <f>IFERROR(J28/H28-1,"")</f>
        <v>0.028950815362726923</v>
      </c>
      <c r="M28" s="6">
        <f>IFERROR(J28/G28-1,"")</f>
        <v>-0.024354995711792227</v>
      </c>
      <c r="N28" s="6">
        <v>-0.03028172822148922</v>
      </c>
      <c r="O28" s="6">
        <v>0.0806892321418613</v>
      </c>
      <c r="P28" s="6">
        <v>-0.02435499571179223</v>
      </c>
      <c r="Q28" s="6">
        <f>IFERROR(J28/F28-1,"")</f>
        <v>0.022440933494050075</v>
      </c>
      <c r="R28" s="6">
        <v>-0.1147079881354197</v>
      </c>
    </row>
    <row r="29" spans="1:18">
      <c r="A29" s="5" t="s">
        <v>103</v>
      </c>
      <c r="B29" s="5" t="s">
        <v>104</v>
      </c>
      <c r="C29" s="5" t="s">
        <v>30</v>
      </c>
      <c r="D29" s="5" t="s">
        <v>102</v>
      </c>
      <c r="E29" s="5" t="s">
        <v>49</v>
      </c>
      <c r="F29" s="8">
        <v>1059.84</v>
      </c>
      <c r="G29" s="8">
        <v>1042.62</v>
      </c>
      <c r="H29" s="8">
        <v>1019.24</v>
      </c>
      <c r="I29" s="8">
        <v>1041.21</v>
      </c>
      <c r="J29" s="8">
        <v>1043.06005859375</v>
      </c>
      <c r="K29" s="6">
        <f>IFERROR(J29/I29-1,"")</f>
        <v>0.0017768352145579591</v>
      </c>
      <c r="L29" s="6">
        <f>IFERROR(J29/H29-1,"")</f>
        <v>0.023370411869383156</v>
      </c>
      <c r="M29" s="6">
        <f>IFERROR(J29/G29-1,"")</f>
        <v>0.0004220699715620224</v>
      </c>
      <c r="N29" s="6">
        <v>-0.02356016002415462</v>
      </c>
      <c r="O29" s="6">
        <v>0.00748886333549148</v>
      </c>
      <c r="P29" s="6">
        <v>0.0004220699715620224</v>
      </c>
      <c r="Q29" s="6">
        <f>IFERROR(J29/F29-1,"")</f>
        <v>-0.015832523216947725</v>
      </c>
      <c r="R29" s="6">
        <v>-0.104933957022779</v>
      </c>
    </row>
    <row r="30" spans="1:18">
      <c r="A30" s="5" t="s">
        <v>105</v>
      </c>
      <c r="B30" s="5" t="s">
        <v>106</v>
      </c>
      <c r="C30" s="5" t="s">
        <v>30</v>
      </c>
      <c r="D30" s="5" t="s">
        <v>102</v>
      </c>
      <c r="E30" s="5" t="s">
        <v>46</v>
      </c>
      <c r="F30" s="8">
        <v>126.14</v>
      </c>
      <c r="G30" s="8">
        <v>121.15</v>
      </c>
      <c r="H30" s="8">
        <v>111.84</v>
      </c>
      <c r="I30" s="8">
        <v>116.08</v>
      </c>
      <c r="J30" s="8">
        <v>115.2200012207031</v>
      </c>
      <c r="K30" s="6">
        <f>IFERROR(J30/I30-1,"")</f>
        <v>-0.007408673150386846</v>
      </c>
      <c r="L30" s="6">
        <f>IFERROR(J30/H30-1,"")</f>
        <v>0.03022175626522805</v>
      </c>
      <c r="M30" s="6">
        <f>IFERROR(J30/G30-1,"")</f>
        <v>-0.04894757556167484</v>
      </c>
      <c r="N30" s="6">
        <v>-0.05279847788171865</v>
      </c>
      <c r="O30" s="6">
        <v>0.0139772346836291</v>
      </c>
      <c r="P30" s="6">
        <v>-0.04894757556167484</v>
      </c>
      <c r="Q30" s="6">
        <f>IFERROR(J30/F30-1,"")</f>
        <v>-0.08657046757013565</v>
      </c>
      <c r="R30" s="6">
        <v>-0.1594769277017887</v>
      </c>
    </row>
    <row r="31" spans="1:18">
      <c r="A31" s="5" t="s">
        <v>107</v>
      </c>
      <c r="B31" s="5" t="s">
        <v>108</v>
      </c>
      <c r="C31" s="5" t="s">
        <v>20</v>
      </c>
      <c r="D31" s="5" t="s">
        <v>45</v>
      </c>
      <c r="E31" s="5" t="s">
        <v>46</v>
      </c>
      <c r="F31" s="8">
        <v>137.81</v>
      </c>
      <c r="G31" s="8">
        <v>110.54</v>
      </c>
      <c r="H31" s="8">
        <v>105.09</v>
      </c>
      <c r="I31" s="8">
        <v>105.61</v>
      </c>
      <c r="J31" s="8">
        <v>110.75</v>
      </c>
      <c r="K31" s="6">
        <f>IFERROR(J31/I31-1,"")</f>
        <v>0.04866963355742837</v>
      </c>
      <c r="L31" s="6">
        <f>IFERROR(J31/H31-1,"")</f>
        <v>0.05385859739271104</v>
      </c>
      <c r="M31" s="6">
        <f>IFERROR(J31/G31-1,"")</f>
        <v>0.0018997647910257154</v>
      </c>
      <c r="N31" s="6">
        <v>-0.06015528626369637</v>
      </c>
      <c r="O31" s="6">
        <v>-0.1465410747374923</v>
      </c>
      <c r="P31" s="6">
        <v>0.001899764791025715</v>
      </c>
      <c r="Q31" s="6">
        <f>IFERROR(J31/F31-1,"")</f>
        <v>-0.19635730353385095</v>
      </c>
      <c r="R31" s="6">
        <v>-0.2374283433713084</v>
      </c>
    </row>
    <row r="32" spans="1:18">
      <c r="A32" s="5" t="s">
        <v>109</v>
      </c>
      <c r="B32" s="5" t="s">
        <v>110</v>
      </c>
      <c r="C32" s="5" t="s">
        <v>20</v>
      </c>
      <c r="D32" s="5" t="s">
        <v>45</v>
      </c>
      <c r="E32" s="5" t="s">
        <v>49</v>
      </c>
      <c r="F32" s="8">
        <v>161.2325</v>
      </c>
      <c r="G32" s="8">
        <v>214.42</v>
      </c>
      <c r="H32" s="8">
        <v>203.42</v>
      </c>
      <c r="I32" s="8">
        <v>210.02</v>
      </c>
      <c r="J32" s="8">
        <v>207.8000030517578</v>
      </c>
      <c r="K32" s="6">
        <f>IFERROR(J32/I32-1,"")</f>
        <v>-0.010570407333788223</v>
      </c>
      <c r="L32" s="6">
        <f>IFERROR(J32/H32-1,"")</f>
        <v>0.02153182111767693</v>
      </c>
      <c r="M32" s="6">
        <f>IFERROR(J32/G32-1,"")</f>
        <v>-0.030873971403050926</v>
      </c>
      <c r="N32" s="6">
        <v>0.230521141829346</v>
      </c>
      <c r="O32" s="6">
        <v>0.08074596774193532</v>
      </c>
      <c r="P32" s="6">
        <v>-0.03087397140305093</v>
      </c>
      <c r="Q32" s="6">
        <f>IFERROR(J32/F32-1,"")</f>
        <v>0.2888220616299928</v>
      </c>
      <c r="R32" s="6">
        <v>-0.178025096439498</v>
      </c>
    </row>
    <row r="33" spans="1:18">
      <c r="A33" s="5" t="s">
        <v>111</v>
      </c>
      <c r="B33" s="5" t="s">
        <v>112</v>
      </c>
      <c r="C33" s="5" t="s">
        <v>20</v>
      </c>
      <c r="D33" s="5" t="s">
        <v>45</v>
      </c>
      <c r="E33" s="5" t="s">
        <v>49</v>
      </c>
      <c r="F33" s="8">
        <v>138.39</v>
      </c>
      <c r="G33" s="8">
        <v>159.64</v>
      </c>
      <c r="H33" s="8">
        <v>154.54</v>
      </c>
      <c r="I33" s="8">
        <v>157.47</v>
      </c>
      <c r="J33" s="8">
        <v>157.2200012207031</v>
      </c>
      <c r="K33" s="6">
        <f>IFERROR(J33/I33-1,"")</f>
        <v>-0.0015875962360888396</v>
      </c>
      <c r="L33" s="6">
        <f>IFERROR(J33/H33-1,"")</f>
        <v>0.017341796432658985</v>
      </c>
      <c r="M33" s="6">
        <f>IFERROR(J33/G33-1,"")</f>
        <v>-0.015159100346384902</v>
      </c>
      <c r="N33" s="6">
        <v>0.1831057157309055</v>
      </c>
      <c r="O33" s="6">
        <v>-0.02498015024735845</v>
      </c>
      <c r="P33" s="6">
        <v>-0.0151591003463849</v>
      </c>
      <c r="Q33" s="6">
        <f>IFERROR(J33/F33-1,"")</f>
        <v>0.1360647533832149</v>
      </c>
      <c r="R33" s="6">
        <v>-0.1055677740479223</v>
      </c>
    </row>
    <row r="34" spans="1:18">
      <c r="A34" s="5" t="s">
        <v>113</v>
      </c>
      <c r="B34" s="5" t="s">
        <v>114</v>
      </c>
      <c r="C34" s="5" t="s">
        <v>20</v>
      </c>
      <c r="D34" s="5" t="s">
        <v>45</v>
      </c>
      <c r="E34" s="5" t="s">
        <v>46</v>
      </c>
      <c r="F34" s="8">
        <v>24.97</v>
      </c>
      <c r="G34" s="8">
        <v>29.17</v>
      </c>
      <c r="H34" s="8">
        <v>30.65</v>
      </c>
      <c r="I34" s="8">
        <v>29.81</v>
      </c>
      <c r="J34" s="8">
        <v>29.76000022888184</v>
      </c>
      <c r="K34" s="6">
        <f>IFERROR(J34/I34-1,"")</f>
        <v>-0.0016772818221455488</v>
      </c>
      <c r="L34" s="6">
        <f>IFERROR(J34/H34-1,"")</f>
        <v>-0.029037512923920317</v>
      </c>
      <c r="M34" s="6">
        <f>IFERROR(J34/G34-1,"")</f>
        <v>0.020226267702496914</v>
      </c>
      <c r="N34" s="6">
        <v>0.04084901882258718</v>
      </c>
      <c r="O34" s="6">
        <v>0.1223547518276262</v>
      </c>
      <c r="P34" s="6">
        <v>0.02022626770249691</v>
      </c>
      <c r="Q34" s="6">
        <f>IFERROR(J34/F34-1,"")</f>
        <v>0.19183020540175577</v>
      </c>
      <c r="R34" s="6">
        <v>-0.07849419303163785</v>
      </c>
    </row>
    <row r="35" spans="1:18">
      <c r="A35" s="5" t="s">
        <v>115</v>
      </c>
      <c r="B35" s="5" t="s">
        <v>116</v>
      </c>
      <c r="C35" s="5" t="s">
        <v>20</v>
      </c>
      <c r="D35" s="5" t="s">
        <v>45</v>
      </c>
      <c r="E35" s="5" t="s">
        <v>49</v>
      </c>
      <c r="F35" s="8">
        <v>260.52</v>
      </c>
      <c r="G35" s="8">
        <v>363.86</v>
      </c>
      <c r="H35" s="8">
        <v>328.48</v>
      </c>
      <c r="I35" s="8">
        <v>336.98</v>
      </c>
      <c r="J35" s="8">
        <v>335.1000061035156</v>
      </c>
      <c r="K35" s="6">
        <f>IFERROR(J35/I35-1,"")</f>
        <v>-0.005578947998351236</v>
      </c>
      <c r="L35" s="6">
        <f>IFERROR(J35/H35-1,"")</f>
        <v>0.02015345258011325</v>
      </c>
      <c r="M35" s="6">
        <f>IFERROR(J35/G35-1,"")</f>
        <v>-0.07904137277107781</v>
      </c>
      <c r="N35" s="6">
        <v>0.2985951174573931</v>
      </c>
      <c r="O35" s="6">
        <v>0.07552244982412581</v>
      </c>
      <c r="P35" s="6">
        <v>-0.07904137277107781</v>
      </c>
      <c r="Q35" s="6">
        <f>IFERROR(J35/F35-1,"")</f>
        <v>0.28627363006109174</v>
      </c>
      <c r="R35" s="6">
        <v>-0.1705050505050505</v>
      </c>
    </row>
    <row r="36" spans="1:18">
      <c r="A36" s="5" t="s">
        <v>117</v>
      </c>
      <c r="B36" s="5" t="s">
        <v>118</v>
      </c>
      <c r="C36" s="5" t="s">
        <v>23</v>
      </c>
      <c r="D36" s="5" t="s">
        <v>45</v>
      </c>
      <c r="E36" s="5" t="s">
        <v>49</v>
      </c>
      <c r="F36" s="8">
        <v>381.78</v>
      </c>
      <c r="G36" s="8">
        <v>453.77</v>
      </c>
      <c r="H36" s="8">
        <v>492.2</v>
      </c>
      <c r="I36" s="8">
        <v>533.88</v>
      </c>
      <c r="J36" s="8">
        <v>535.25</v>
      </c>
      <c r="K36" s="6">
        <f>IFERROR(J36/I36-1,"")</f>
        <v>0.0025661197272794922</v>
      </c>
      <c r="L36" s="6">
        <f>IFERROR(J36/H36-1,"")</f>
        <v>0.08746444534741982</v>
      </c>
      <c r="M36" s="6">
        <f>IFERROR(J36/G36-1,"")</f>
        <v>0.17956233334067928</v>
      </c>
      <c r="N36" s="6">
        <v>0.1792655456021794</v>
      </c>
      <c r="O36" s="6">
        <v>0.007885033983385803</v>
      </c>
      <c r="P36" s="6">
        <v>0.1795623333406793</v>
      </c>
      <c r="Q36" s="6">
        <f>IFERROR(J36/F36-1,"")</f>
        <v>0.4019854366389022</v>
      </c>
      <c r="R36" s="6">
        <v>-0.1921143506578661</v>
      </c>
    </row>
    <row r="37" spans="1:18">
      <c r="A37" s="5" t="s">
        <v>119</v>
      </c>
      <c r="B37" s="5" t="s">
        <v>120</v>
      </c>
      <c r="C37" s="5" t="s">
        <v>23</v>
      </c>
      <c r="D37" s="5" t="s">
        <v>45</v>
      </c>
      <c r="E37" s="5" t="s">
        <v>46</v>
      </c>
      <c r="F37" s="8">
        <v>147.21</v>
      </c>
      <c r="G37" s="8">
        <v>121.35</v>
      </c>
      <c r="H37" s="8">
        <v>105.95</v>
      </c>
      <c r="I37" s="8">
        <v>114.31</v>
      </c>
      <c r="J37" s="8">
        <v>112.6800003051758</v>
      </c>
      <c r="K37" s="6">
        <f>IFERROR(J37/I37-1,"")</f>
        <v>-0.014259467192933362</v>
      </c>
      <c r="L37" s="6">
        <f>IFERROR(J37/H37-1,"")</f>
        <v>0.06352053143157899</v>
      </c>
      <c r="M37" s="6">
        <f>IFERROR(J37/G37-1,"")</f>
        <v>-0.07144622739863371</v>
      </c>
      <c r="N37" s="6">
        <v>-0.04938523198152311</v>
      </c>
      <c r="O37" s="6">
        <v>-0.1328426468486494</v>
      </c>
      <c r="P37" s="6">
        <v>-0.07144622739863371</v>
      </c>
      <c r="Q37" s="6">
        <f>IFERROR(J37/F37-1,"")</f>
        <v>-0.2345628672972231</v>
      </c>
      <c r="R37" s="6">
        <v>-0.3643487381995434</v>
      </c>
    </row>
    <row r="38" spans="1:18">
      <c r="A38" s="5" t="s">
        <v>121</v>
      </c>
      <c r="B38" s="5" t="s">
        <v>122</v>
      </c>
      <c r="C38" s="5" t="s">
        <v>23</v>
      </c>
      <c r="D38" s="5" t="s">
        <v>45</v>
      </c>
      <c r="E38" s="5" t="s">
        <v>49</v>
      </c>
      <c r="F38" s="8">
        <v>48.27</v>
      </c>
      <c r="G38" s="8">
        <v>53.22</v>
      </c>
      <c r="H38" s="8">
        <v>51.83</v>
      </c>
      <c r="I38" s="8">
        <v>56.03</v>
      </c>
      <c r="J38" s="8">
        <v>58.90000152587891</v>
      </c>
      <c r="K38" s="6">
        <f>IFERROR(J38/I38-1,"")</f>
        <v>0.05122258657645751</v>
      </c>
      <c r="L38" s="6">
        <f>IFERROR(J38/H38-1,"")</f>
        <v>0.1364075154520339</v>
      </c>
      <c r="M38" s="6">
        <f>IFERROR(J38/G38-1,"")</f>
        <v>0.10672682310933701</v>
      </c>
      <c r="N38" s="6">
        <v>0.01740211311373518</v>
      </c>
      <c r="O38" s="6">
        <v>0.08368967623701895</v>
      </c>
      <c r="P38" s="6">
        <v>0.106726823109337</v>
      </c>
      <c r="Q38" s="6">
        <f>IFERROR(J38/F38-1,"")</f>
        <v>0.22021962970538445</v>
      </c>
      <c r="R38" s="6">
        <v>-0.1589147286821707</v>
      </c>
    </row>
    <row r="39" spans="1:18">
      <c r="A39" s="5" t="s">
        <v>123</v>
      </c>
      <c r="B39" s="5" t="s">
        <v>124</v>
      </c>
      <c r="C39" s="5" t="s">
        <v>23</v>
      </c>
      <c r="D39" s="5" t="s">
        <v>45</v>
      </c>
      <c r="E39" s="5" t="s">
        <v>46</v>
      </c>
      <c r="F39" s="8">
        <v>362.38</v>
      </c>
      <c r="G39" s="8">
        <v>341.22</v>
      </c>
      <c r="H39" s="8">
        <v>299.39</v>
      </c>
      <c r="I39" s="8">
        <v>312.33</v>
      </c>
      <c r="J39" s="8">
        <v>311.3699951171875</v>
      </c>
      <c r="K39" s="6">
        <f>IFERROR(J39/I39-1,"")</f>
        <v>-0.0030736877111148253</v>
      </c>
      <c r="L39" s="6">
        <f>IFERROR(J39/H39-1,"")</f>
        <v>0.0400146802404473</v>
      </c>
      <c r="M39" s="6">
        <f>IFERROR(J39/G39-1,"")</f>
        <v>-0.08748023235101265</v>
      </c>
      <c r="N39" s="6">
        <v>-0.08242728627407692</v>
      </c>
      <c r="O39" s="6">
        <v>0.02619470091125087</v>
      </c>
      <c r="P39" s="6">
        <v>-0.08748023235101265</v>
      </c>
      <c r="Q39" s="6">
        <f>IFERROR(J39/F39-1,"")</f>
        <v>-0.14076385253825408</v>
      </c>
      <c r="R39" s="6">
        <v>-0.2554002541296061</v>
      </c>
    </row>
    <row r="40" spans="1:18">
      <c r="A40" s="5" t="s">
        <v>125</v>
      </c>
      <c r="B40" s="5" t="s">
        <v>126</v>
      </c>
      <c r="C40" s="5" t="s">
        <v>23</v>
      </c>
      <c r="D40" s="5" t="s">
        <v>45</v>
      </c>
      <c r="E40" s="5" t="s">
        <v>46</v>
      </c>
      <c r="F40" s="8">
        <v>165</v>
      </c>
      <c r="G40" s="8">
        <v>189.52</v>
      </c>
      <c r="H40" s="8">
        <v>180.77</v>
      </c>
      <c r="I40" s="8">
        <v>189.13</v>
      </c>
      <c r="J40" s="8">
        <v>184.7400054931641</v>
      </c>
      <c r="K40" s="6">
        <f>IFERROR(J40/I40-1,"")</f>
        <v>-0.02321151856837045</v>
      </c>
      <c r="L40" s="6">
        <f>IFERROR(J40/H40-1,"")</f>
        <v>0.02196163906159243</v>
      </c>
      <c r="M40" s="6">
        <f>IFERROR(J40/G40-1,"")</f>
        <v>-0.02522158351010928</v>
      </c>
      <c r="N40" s="6">
        <v>0.04078787878787882</v>
      </c>
      <c r="O40" s="6">
        <v>0.1035928492400864</v>
      </c>
      <c r="P40" s="6">
        <v>-0.02522158351010928</v>
      </c>
      <c r="Q40" s="6">
        <f>IFERROR(J40/F40-1,"")</f>
        <v>0.11963639692826722</v>
      </c>
      <c r="R40" s="6">
        <v>-0.1270523469190651</v>
      </c>
    </row>
    <row r="41" spans="1:18">
      <c r="A41" s="5" t="s">
        <v>127</v>
      </c>
      <c r="B41" s="5" t="s">
        <v>128</v>
      </c>
      <c r="C41" s="5" t="s">
        <v>23</v>
      </c>
      <c r="D41" s="5" t="s">
        <v>45</v>
      </c>
      <c r="E41" s="5" t="s">
        <v>49</v>
      </c>
      <c r="F41" s="8">
        <v>40.64</v>
      </c>
      <c r="G41" s="8">
        <v>31.13</v>
      </c>
      <c r="H41" s="8">
        <v>37</v>
      </c>
      <c r="I41" s="8">
        <v>40.26</v>
      </c>
      <c r="J41" s="8">
        <v>38.93000030517578</v>
      </c>
      <c r="K41" s="6">
        <f>IFERROR(J41/I41-1,"")</f>
        <v>-0.033035263160065</v>
      </c>
      <c r="L41" s="6">
        <f>IFERROR(J41/H41-1,"")</f>
        <v>0.05216217041015625</v>
      </c>
      <c r="M41" s="6">
        <f>IFERROR(J41/G41-1,"")</f>
        <v>0.2505621684926367</v>
      </c>
      <c r="N41" s="6">
        <v>-0.3051181102362205</v>
      </c>
      <c r="O41" s="6">
        <v>0.1023371104815864</v>
      </c>
      <c r="P41" s="6">
        <v>0.2505621684926367</v>
      </c>
      <c r="Q41" s="6">
        <f>IFERROR(J41/F41-1,"")</f>
        <v>-0.04207676414429673</v>
      </c>
      <c r="R41" s="6">
        <v>-0.4136318897637796</v>
      </c>
    </row>
    <row r="42" spans="1:18">
      <c r="A42" s="5" t="s">
        <v>129</v>
      </c>
      <c r="B42" s="5" t="s">
        <v>130</v>
      </c>
      <c r="C42" s="5" t="s">
        <v>23</v>
      </c>
      <c r="D42" s="5" t="s">
        <v>45</v>
      </c>
      <c r="E42" s="5" t="s">
        <v>46</v>
      </c>
      <c r="F42" s="8">
        <v>1646.54</v>
      </c>
      <c r="G42" s="8">
        <v>1212.21</v>
      </c>
      <c r="H42" s="8">
        <v>1553.4</v>
      </c>
      <c r="I42" s="8">
        <v>1737.99</v>
      </c>
      <c r="J42" s="8">
        <v>1764.170043945312</v>
      </c>
      <c r="K42" s="6">
        <f>IFERROR(J42/I42-1,"")</f>
        <v>0.015063403095133987</v>
      </c>
      <c r="L42" s="6">
        <f>IFERROR(J42/H42-1,"")</f>
        <v>0.1356830461859868</v>
      </c>
      <c r="M42" s="6">
        <f>IFERROR(J42/G42-1,"")</f>
        <v>0.455333683062598</v>
      </c>
      <c r="N42" s="6">
        <v>0.1285908632647856</v>
      </c>
      <c r="O42" s="6">
        <v>-0.3476674541374504</v>
      </c>
      <c r="P42" s="6">
        <v>0.455333683062598</v>
      </c>
      <c r="Q42" s="6">
        <f>IFERROR(J42/F42-1,"")</f>
        <v>0.07144074480140916</v>
      </c>
      <c r="R42" s="6">
        <v>-0.5649293361884369</v>
      </c>
    </row>
    <row r="43" spans="1:18">
      <c r="A43" s="5" t="s">
        <v>131</v>
      </c>
      <c r="B43" s="5" t="s">
        <v>132</v>
      </c>
      <c r="C43" s="5" t="s">
        <v>23</v>
      </c>
      <c r="D43" s="5" t="s">
        <v>45</v>
      </c>
      <c r="E43" s="5" t="s">
        <v>46</v>
      </c>
      <c r="F43" s="8">
        <v>846.01</v>
      </c>
      <c r="G43" s="8">
        <v>812.76</v>
      </c>
      <c r="H43" s="8">
        <v>808.54</v>
      </c>
      <c r="I43" s="8">
        <v>904.38</v>
      </c>
      <c r="J43" s="8">
        <v>885.9199829101562</v>
      </c>
      <c r="K43" s="6">
        <f>IFERROR(J43/I43-1,"")</f>
        <v>-0.02041179270864435</v>
      </c>
      <c r="L43" s="6">
        <f>IFERROR(J43/H43-1,"")</f>
        <v>0.09570334542528047</v>
      </c>
      <c r="M43" s="6">
        <f>IFERROR(J43/G43-1,"")</f>
        <v>0.09001425132899787</v>
      </c>
      <c r="N43" s="6">
        <v>0.05210340303306116</v>
      </c>
      <c r="O43" s="6">
        <v>-0.08687885494725256</v>
      </c>
      <c r="P43" s="6">
        <v>0.09001425132899787</v>
      </c>
      <c r="Q43" s="6">
        <f>IFERROR(J43/F43-1,"")</f>
        <v>0.047174363080999315</v>
      </c>
      <c r="R43" s="6">
        <v>-0.3185898139007715</v>
      </c>
    </row>
    <row r="44" spans="1:18">
      <c r="A44" s="5" t="s">
        <v>133</v>
      </c>
      <c r="B44" s="5" t="s">
        <v>134</v>
      </c>
      <c r="C44" s="5" t="s">
        <v>23</v>
      </c>
      <c r="D44" s="5" t="s">
        <v>45</v>
      </c>
      <c r="E44" s="5" t="s">
        <v>46</v>
      </c>
      <c r="F44" s="8">
        <v>517.72</v>
      </c>
      <c r="G44" s="8">
        <v>434.3</v>
      </c>
      <c r="H44" s="8">
        <v>448.9</v>
      </c>
      <c r="I44" s="8">
        <v>477.3</v>
      </c>
      <c r="J44" s="8">
        <v>482.2799987792969</v>
      </c>
      <c r="K44" s="6">
        <f>IFERROR(J44/I44-1,"")</f>
        <v>0.01043368694593938</v>
      </c>
      <c r="L44" s="6">
        <f>IFERROR(J44/H44-1,"")</f>
        <v>0.07435954283648227</v>
      </c>
      <c r="M44" s="6">
        <f>IFERROR(J44/G44-1,"")</f>
        <v>0.11047662624751742</v>
      </c>
      <c r="N44" s="6">
        <v>0.116530170748667</v>
      </c>
      <c r="O44" s="6">
        <v>-0.2486809099558861</v>
      </c>
      <c r="P44" s="6">
        <v>0.1104766262475174</v>
      </c>
      <c r="Q44" s="6">
        <f>IFERROR(J44/F44-1,"")</f>
        <v>-0.0684539929318998</v>
      </c>
      <c r="R44" s="6">
        <v>-0.4180078528067754</v>
      </c>
    </row>
    <row r="45" spans="1:18">
      <c r="A45" s="5" t="s">
        <v>135</v>
      </c>
      <c r="B45" s="5" t="s">
        <v>136</v>
      </c>
      <c r="C45" s="5" t="s">
        <v>26</v>
      </c>
      <c r="D45" s="5" t="s">
        <v>45</v>
      </c>
      <c r="E45" s="5" t="s">
        <v>46</v>
      </c>
      <c r="F45" s="8">
        <v>290.55</v>
      </c>
      <c r="G45" s="8">
        <v>313.33</v>
      </c>
      <c r="H45" s="8">
        <v>324.96</v>
      </c>
      <c r="I45" s="8">
        <v>316.22</v>
      </c>
      <c r="J45" s="8">
        <v>315.3399963378906</v>
      </c>
      <c r="K45" s="6">
        <f>IFERROR(J45/I45-1,"")</f>
        <v>-0.0027828842644659346</v>
      </c>
      <c r="L45" s="6">
        <f>IFERROR(J45/H45-1,"")</f>
        <v>-0.029603654794772782</v>
      </c>
      <c r="M45" s="6">
        <f>IFERROR(J45/G45-1,"")</f>
        <v>0.006414950173589062</v>
      </c>
      <c r="N45" s="6">
        <v>0.08834968163827228</v>
      </c>
      <c r="O45" s="6">
        <v>-0.009139206881285333</v>
      </c>
      <c r="P45" s="6">
        <v>0.006414950173589062</v>
      </c>
      <c r="Q45" s="6">
        <f>IFERROR(J45/F45-1,"")</f>
        <v>0.08532093043500466</v>
      </c>
      <c r="R45" s="6">
        <v>-0.1112385321100917</v>
      </c>
    </row>
    <row r="46" spans="1:18">
      <c r="A46" s="5" t="s">
        <v>137</v>
      </c>
      <c r="B46" s="5" t="s">
        <v>138</v>
      </c>
      <c r="C46" s="5" t="s">
        <v>26</v>
      </c>
      <c r="D46" s="5" t="s">
        <v>45</v>
      </c>
      <c r="E46" s="5" t="s">
        <v>46</v>
      </c>
      <c r="F46" s="8">
        <v>404.62</v>
      </c>
      <c r="G46" s="8">
        <v>389.93</v>
      </c>
      <c r="H46" s="8">
        <v>355.71</v>
      </c>
      <c r="I46" s="8">
        <v>363.2</v>
      </c>
      <c r="J46" s="8">
        <v>365.0700073242188</v>
      </c>
      <c r="K46" s="6">
        <f>IFERROR(J46/I46-1,"")</f>
        <v>0.005148698579897637</v>
      </c>
      <c r="L46" s="6">
        <f>IFERROR(J46/H46-1,"")</f>
        <v>0.02631359063343397</v>
      </c>
      <c r="M46" s="6">
        <f>IFERROR(J46/G46-1,"")</f>
        <v>-0.06375501417121332</v>
      </c>
      <c r="N46" s="6">
        <v>-0.0271365725866245</v>
      </c>
      <c r="O46" s="6">
        <v>-0.009424855197642468</v>
      </c>
      <c r="P46" s="6">
        <v>-0.06375501417121332</v>
      </c>
      <c r="Q46" s="6">
        <f>IFERROR(J46/F46-1,"")</f>
        <v>-0.09774601521373438</v>
      </c>
      <c r="R46" s="6">
        <v>-0.2067657358355033</v>
      </c>
    </row>
    <row r="47" spans="1:18">
      <c r="A47" s="5" t="s">
        <v>139</v>
      </c>
      <c r="B47" s="5" t="s">
        <v>140</v>
      </c>
      <c r="C47" s="5" t="s">
        <v>26</v>
      </c>
      <c r="D47" s="5" t="s">
        <v>81</v>
      </c>
      <c r="E47" s="5" t="s">
        <v>49</v>
      </c>
      <c r="F47" s="8">
        <v>452.51</v>
      </c>
      <c r="G47" s="8">
        <v>571.01</v>
      </c>
      <c r="H47" s="8">
        <v>506.98</v>
      </c>
      <c r="I47" s="8">
        <v>505.43</v>
      </c>
      <c r="J47" s="8">
        <v>490</v>
      </c>
      <c r="K47" s="6">
        <f>IFERROR(J47/I47-1,"")</f>
        <v>-0.030528460914468925</v>
      </c>
      <c r="L47" s="6">
        <f>IFERROR(J47/H47-1,"")</f>
        <v>-0.03349244546135943</v>
      </c>
      <c r="M47" s="6">
        <f>IFERROR(J47/G47-1,"")</f>
        <v>-0.14187142081574755</v>
      </c>
      <c r="N47" s="6">
        <v>0.2861594218912289</v>
      </c>
      <c r="O47" s="6">
        <v>-0.01888316151202751</v>
      </c>
      <c r="P47" s="6">
        <v>-0.1418714208157476</v>
      </c>
      <c r="Q47" s="6">
        <f>IFERROR(J47/F47-1,"")</f>
        <v>0.08284899781220312</v>
      </c>
      <c r="R47" s="6">
        <v>-0.2411571579012576</v>
      </c>
    </row>
    <row r="48" spans="1:18">
      <c r="A48" s="5" t="s">
        <v>141</v>
      </c>
      <c r="B48" s="5" t="s">
        <v>142</v>
      </c>
      <c r="C48" s="5" t="s">
        <v>26</v>
      </c>
      <c r="D48" s="5" t="s">
        <v>45</v>
      </c>
      <c r="E48" s="5" t="s">
        <v>46</v>
      </c>
      <c r="F48" s="8">
        <v>297.41</v>
      </c>
      <c r="G48" s="8">
        <v>239.71</v>
      </c>
      <c r="H48" s="8">
        <v>228.5</v>
      </c>
      <c r="I48" s="8">
        <v>223.87</v>
      </c>
      <c r="J48" s="8">
        <v>223.3200073242188</v>
      </c>
      <c r="K48" s="6">
        <f>IFERROR(J48/I48-1,"")</f>
        <v>-0.0024567502380006268</v>
      </c>
      <c r="L48" s="6">
        <f>IFERROR(J48/H48-1,"")</f>
        <v>-0.022669552191602604</v>
      </c>
      <c r="M48" s="6">
        <f>IFERROR(J48/G48-1,"")</f>
        <v>-0.06837425504059569</v>
      </c>
      <c r="N48" s="6">
        <v>-0.02309942503614537</v>
      </c>
      <c r="O48" s="6">
        <v>-0.1749500929304055</v>
      </c>
      <c r="P48" s="6">
        <v>-0.06837425504059569</v>
      </c>
      <c r="Q48" s="6">
        <f>IFERROR(J48/F48-1,"")</f>
        <v>-0.2491173554210726</v>
      </c>
      <c r="R48" s="6">
        <v>-0.311966340799406</v>
      </c>
    </row>
    <row r="49" spans="1:18">
      <c r="A49" s="5" t="s">
        <v>143</v>
      </c>
      <c r="B49" s="5" t="s">
        <v>144</v>
      </c>
      <c r="C49" s="5" t="s">
        <v>26</v>
      </c>
      <c r="D49" s="5" t="s">
        <v>45</v>
      </c>
      <c r="E49" s="5" t="s">
        <v>46</v>
      </c>
      <c r="F49" s="8">
        <v>117</v>
      </c>
      <c r="G49" s="8">
        <v>81.17</v>
      </c>
      <c r="H49" s="8">
        <v>72.34</v>
      </c>
      <c r="I49" s="8">
        <v>71.08</v>
      </c>
      <c r="J49" s="8">
        <v>70.98000335693359</v>
      </c>
      <c r="K49" s="6">
        <f>IFERROR(J49/I49-1,"")</f>
        <v>-0.0014068182761171055</v>
      </c>
      <c r="L49" s="6">
        <f>IFERROR(J49/H49-1,"")</f>
        <v>-0.018800064183942644</v>
      </c>
      <c r="M49" s="6">
        <f>IFERROR(J49/G49-1,"")</f>
        <v>-0.12553895088168543</v>
      </c>
      <c r="N49" s="6">
        <v>-0.1635042735042734</v>
      </c>
      <c r="O49" s="6">
        <v>-0.1706345151731889</v>
      </c>
      <c r="P49" s="6">
        <v>-0.1255389508816854</v>
      </c>
      <c r="Q49" s="6">
        <f>IFERROR(J49/F49-1,"")</f>
        <v>-0.3933333046415932</v>
      </c>
      <c r="R49" s="6">
        <v>-0.4604332698066622</v>
      </c>
    </row>
    <row r="50" spans="1:18">
      <c r="A50" s="5" t="s">
        <v>145</v>
      </c>
      <c r="B50" s="5" t="s">
        <v>146</v>
      </c>
      <c r="C50" s="5" t="s">
        <v>26</v>
      </c>
      <c r="D50" s="5" t="s">
        <v>45</v>
      </c>
      <c r="E50" s="5" t="s">
        <v>49</v>
      </c>
      <c r="F50" s="8">
        <v>205.42</v>
      </c>
      <c r="G50" s="8">
        <v>167.86</v>
      </c>
      <c r="H50" s="8">
        <v>169.96</v>
      </c>
      <c r="I50" s="8">
        <v>174.09</v>
      </c>
      <c r="J50" s="8">
        <v>176.3999938964844</v>
      </c>
      <c r="K50" s="6">
        <f>IFERROR(J50/I50-1,"")</f>
        <v>0.013268963734185846</v>
      </c>
      <c r="L50" s="6">
        <f>IFERROR(J50/H50-1,"")</f>
        <v>0.037891232622289994</v>
      </c>
      <c r="M50" s="6">
        <f>IFERROR(J50/G50-1,"")</f>
        <v>0.05087569341406173</v>
      </c>
      <c r="N50" s="6">
        <v>-0.06966215558368205</v>
      </c>
      <c r="O50" s="6">
        <v>-0.1216576840563026</v>
      </c>
      <c r="P50" s="6">
        <v>0.05087569341406173</v>
      </c>
      <c r="Q50" s="6">
        <f>IFERROR(J50/F50-1,"")</f>
        <v>-0.14127157094496923</v>
      </c>
      <c r="R50" s="6">
        <v>-0.34717615319977</v>
      </c>
    </row>
    <row r="51" spans="1:18">
      <c r="A51" s="5" t="s">
        <v>147</v>
      </c>
      <c r="B51" s="5" t="s">
        <v>148</v>
      </c>
      <c r="C51" s="5" t="s">
        <v>26</v>
      </c>
      <c r="D51" s="5" t="s">
        <v>81</v>
      </c>
      <c r="E51" s="5" t="s">
        <v>46</v>
      </c>
      <c r="F51" s="8">
        <v>460.47</v>
      </c>
      <c r="G51" s="8">
        <v>441.04</v>
      </c>
      <c r="H51" s="8">
        <v>425.36</v>
      </c>
      <c r="I51" s="8">
        <v>429.13</v>
      </c>
      <c r="J51" s="8">
        <v>426.0799865722656</v>
      </c>
      <c r="K51" s="6">
        <f>IFERROR(J51/I51-1,"")</f>
        <v>-0.007107434641564048</v>
      </c>
      <c r="L51" s="6">
        <f>IFERROR(J51/H51-1,"")</f>
        <v>0.0016926522763438534</v>
      </c>
      <c r="M51" s="6">
        <f>IFERROR(J51/G51-1,"")</f>
        <v>-0.03391985631175043</v>
      </c>
      <c r="N51" s="6">
        <v>0.01522357591156864</v>
      </c>
      <c r="O51" s="6">
        <v>-0.05655856935056047</v>
      </c>
      <c r="P51" s="6">
        <v>-0.03391985631175043</v>
      </c>
      <c r="Q51" s="6">
        <f>IFERROR(J51/F51-1,"")</f>
        <v>-0.07468459058730081</v>
      </c>
      <c r="R51" s="6">
        <v>-0.1566413508927851</v>
      </c>
    </row>
    <row r="52" spans="1:18">
      <c r="A52" s="5" t="s">
        <v>149</v>
      </c>
      <c r="B52" s="5" t="s">
        <v>150</v>
      </c>
      <c r="C52" s="5" t="s">
        <v>26</v>
      </c>
      <c r="D52" s="5" t="s">
        <v>151</v>
      </c>
      <c r="E52" s="5" t="s">
        <v>49</v>
      </c>
      <c r="F52" s="8">
        <v>396.68</v>
      </c>
      <c r="G52" s="8">
        <v>328.58</v>
      </c>
      <c r="H52" s="8">
        <v>357.01</v>
      </c>
      <c r="I52" s="8">
        <v>368.16</v>
      </c>
      <c r="J52" s="8">
        <v>367.8099975585938</v>
      </c>
      <c r="K52" s="6">
        <f>IFERROR(J52/I52-1,"")</f>
        <v>-0.0009506802515379942</v>
      </c>
      <c r="L52" s="6">
        <f>IFERROR(J52/H52-1,"")</f>
        <v>0.030251246627808204</v>
      </c>
      <c r="M52" s="6">
        <f>IFERROR(J52/G52-1,"")</f>
        <v>0.1193925301558032</v>
      </c>
      <c r="N52" s="6">
        <v>0.02488151658767768</v>
      </c>
      <c r="O52" s="6">
        <v>-0.1917845283482967</v>
      </c>
      <c r="P52" s="6">
        <v>0.1193925301558032</v>
      </c>
      <c r="Q52" s="6">
        <f>IFERROR(J52/F52-1,"")</f>
        <v>-0.07277907240447257</v>
      </c>
      <c r="R52" s="6">
        <v>-0.2985657183164825</v>
      </c>
    </row>
    <row r="53" spans="1:18">
      <c r="A53" s="5" t="s">
        <v>152</v>
      </c>
      <c r="B53" s="5" t="s">
        <v>153</v>
      </c>
      <c r="C53" s="5" t="s">
        <v>24</v>
      </c>
      <c r="D53" s="5" t="s">
        <v>154</v>
      </c>
      <c r="E53" s="5" t="s">
        <v>49</v>
      </c>
      <c r="F53" s="8">
        <v>251.65</v>
      </c>
      <c r="G53" s="8">
        <v>269.89</v>
      </c>
      <c r="H53" s="8">
        <v>290.04</v>
      </c>
      <c r="I53" s="8">
        <v>299.05</v>
      </c>
      <c r="J53" s="8">
        <v>293.9049987792969</v>
      </c>
      <c r="K53" s="6">
        <f>IFERROR(J53/I53-1,"")</f>
        <v>-0.01720448493798077</v>
      </c>
      <c r="L53" s="6">
        <f>IFERROR(J53/H53-1,"")</f>
        <v>0.013325743963925163</v>
      </c>
      <c r="M53" s="6">
        <f>IFERROR(J53/G53-1,"")</f>
        <v>0.08898069131608022</v>
      </c>
      <c r="N53" s="6">
        <v>-0.003616133518776099</v>
      </c>
      <c r="O53" s="6">
        <v>0.07637393315785257</v>
      </c>
      <c r="P53" s="6">
        <v>0.08898069131608022</v>
      </c>
      <c r="Q53" s="6">
        <f>IFERROR(J53/F53-1,"")</f>
        <v>0.16791177738643692</v>
      </c>
      <c r="R53" s="6">
        <v>-0.1416542663230863</v>
      </c>
    </row>
    <row r="54" spans="1:18">
      <c r="A54" s="5" t="s">
        <v>155</v>
      </c>
      <c r="B54" s="5" t="s">
        <v>156</v>
      </c>
      <c r="C54" s="5" t="s">
        <v>24</v>
      </c>
      <c r="D54" s="5" t="s">
        <v>154</v>
      </c>
      <c r="E54" s="5" t="s">
        <v>46</v>
      </c>
      <c r="F54" s="8">
        <v>129.96</v>
      </c>
      <c r="G54" s="8">
        <v>118.13</v>
      </c>
      <c r="H54" s="8">
        <v>111.09</v>
      </c>
      <c r="I54" s="8">
        <v>119.64</v>
      </c>
      <c r="J54" s="8">
        <v>115.370002746582</v>
      </c>
      <c r="K54" s="6">
        <f>IFERROR(J54/I54-1,"")</f>
        <v>-0.03569038158991977</v>
      </c>
      <c r="L54" s="6">
        <f>IFERROR(J54/H54-1,"")</f>
        <v>0.03852734491477183</v>
      </c>
      <c r="M54" s="6">
        <f>IFERROR(J54/G54-1,"")</f>
        <v>-0.023364067158367807</v>
      </c>
      <c r="N54" s="6">
        <v>0.0809479839950753</v>
      </c>
      <c r="O54" s="6">
        <v>-0.1590973804100227</v>
      </c>
      <c r="P54" s="6">
        <v>-0.02336406715836781</v>
      </c>
      <c r="Q54" s="6">
        <f>IFERROR(J54/F54-1,"")</f>
        <v>-0.11226529126975993</v>
      </c>
      <c r="R54" s="6">
        <v>-0.2668050348152116</v>
      </c>
    </row>
    <row r="55" spans="1:18">
      <c r="A55" s="5" t="s">
        <v>157</v>
      </c>
      <c r="B55" s="5" t="s">
        <v>158</v>
      </c>
      <c r="C55" s="5" t="s">
        <v>24</v>
      </c>
      <c r="D55" s="5" t="s">
        <v>154</v>
      </c>
      <c r="E55" s="5" t="s">
        <v>49</v>
      </c>
      <c r="F55" s="8">
        <v>146.22</v>
      </c>
      <c r="G55" s="8">
        <v>140.59</v>
      </c>
      <c r="H55" s="8">
        <v>143.46</v>
      </c>
      <c r="I55" s="8">
        <v>151.72</v>
      </c>
      <c r="J55" s="8">
        <v>151.1000061035156</v>
      </c>
      <c r="K55" s="6">
        <f>IFERROR(J55/I55-1,"")</f>
        <v>-0.004086434856870547</v>
      </c>
      <c r="L55" s="6">
        <f>IFERROR(J55/H55-1,"")</f>
        <v>0.05325530533609091</v>
      </c>
      <c r="M55" s="6">
        <f>IFERROR(J55/G55-1,"")</f>
        <v>0.07475642722466458</v>
      </c>
      <c r="N55" s="6">
        <v>0.08042675420599088</v>
      </c>
      <c r="O55" s="6">
        <v>-0.1100772249651853</v>
      </c>
      <c r="P55" s="6">
        <v>0.07475642722466458</v>
      </c>
      <c r="Q55" s="6">
        <f>IFERROR(J55/F55-1,"")</f>
        <v>0.03337440913360412</v>
      </c>
      <c r="R55" s="6">
        <v>-0.1971830985915493</v>
      </c>
    </row>
    <row r="56" spans="1:18">
      <c r="A56" s="5" t="s">
        <v>159</v>
      </c>
      <c r="B56" s="5" t="s">
        <v>160</v>
      </c>
      <c r="C56" s="5" t="s">
        <v>29</v>
      </c>
      <c r="D56" s="5" t="s">
        <v>81</v>
      </c>
      <c r="E56" s="5" t="s">
        <v>46</v>
      </c>
      <c r="F56" s="8">
        <v>71.23999999999999</v>
      </c>
      <c r="G56" s="8">
        <v>64.01000000000001</v>
      </c>
      <c r="H56" s="8">
        <v>57.58</v>
      </c>
      <c r="I56" s="8">
        <v>59.11</v>
      </c>
      <c r="J56" s="8">
        <v>57.95000076293945</v>
      </c>
      <c r="K56" s="6">
        <f>IFERROR(J56/I56-1,"")</f>
        <v>-0.01962441612350785</v>
      </c>
      <c r="L56" s="6">
        <f>IFERROR(J56/H56-1,"")</f>
        <v>0.006425855556433824</v>
      </c>
      <c r="M56" s="6">
        <f>IFERROR(J56/G56-1,"")</f>
        <v>-0.09467269547040391</v>
      </c>
      <c r="N56" s="6">
        <v>-0.04814710836608638</v>
      </c>
      <c r="O56" s="6">
        <v>-0.05603893231086854</v>
      </c>
      <c r="P56" s="6">
        <v>-0.09467269547040391</v>
      </c>
      <c r="Q56" s="6">
        <f>IFERROR(J56/F56-1,"")</f>
        <v>-0.18655248788686896</v>
      </c>
      <c r="R56" s="6">
        <v>-0.2467105263157895</v>
      </c>
    </row>
    <row r="57" spans="1:18">
      <c r="A57" s="5" t="s">
        <v>161</v>
      </c>
      <c r="B57" s="5" t="s">
        <v>162</v>
      </c>
      <c r="C57" s="5" t="s">
        <v>29</v>
      </c>
      <c r="D57" s="5" t="s">
        <v>81</v>
      </c>
      <c r="E57" s="5" t="s">
        <v>49</v>
      </c>
      <c r="F57" s="8">
        <v>401.72</v>
      </c>
      <c r="G57" s="8">
        <v>448.68</v>
      </c>
      <c r="H57" s="8">
        <v>390.85</v>
      </c>
      <c r="I57" s="8">
        <v>422.13</v>
      </c>
      <c r="J57" s="8">
        <v>415.2200012207031</v>
      </c>
      <c r="K57" s="6">
        <f>IFERROR(J57/I57-1,"")</f>
        <v>-0.016369361995823284</v>
      </c>
      <c r="L57" s="6">
        <f>IFERROR(J57/H57-1,"")</f>
        <v>0.06235128878266116</v>
      </c>
      <c r="M57" s="6">
        <f>IFERROR(J57/G57-1,"")</f>
        <v>-0.07457430413501132</v>
      </c>
      <c r="N57" s="6">
        <v>0.01023100667131316</v>
      </c>
      <c r="O57" s="6">
        <v>0.1055860828425697</v>
      </c>
      <c r="P57" s="6">
        <v>-0.07457430413501132</v>
      </c>
      <c r="Q57" s="6">
        <f>IFERROR(J57/F57-1,"")</f>
        <v>0.03360549940431912</v>
      </c>
      <c r="R57" s="6">
        <v>-0.1695809812290605</v>
      </c>
    </row>
    <row r="58" spans="1:18">
      <c r="A58" s="5" t="s">
        <v>163</v>
      </c>
      <c r="B58" s="5" t="s">
        <v>164</v>
      </c>
      <c r="C58" s="5" t="s">
        <v>29</v>
      </c>
      <c r="D58" s="5" t="s">
        <v>81</v>
      </c>
      <c r="E58" s="5" t="s">
        <v>49</v>
      </c>
      <c r="F58" s="8">
        <v>920.15</v>
      </c>
      <c r="G58" s="8">
        <v>990.3200000000001</v>
      </c>
      <c r="H58" s="8">
        <v>921.9400000000001</v>
      </c>
      <c r="I58" s="8">
        <v>971.3099999999999</v>
      </c>
      <c r="J58" s="8">
        <v>951.0399780273438</v>
      </c>
      <c r="K58" s="6">
        <f>IFERROR(J58/I58-1,"")</f>
        <v>-0.02086874630412139</v>
      </c>
      <c r="L58" s="6">
        <f>IFERROR(J58/H58-1,"")</f>
        <v>0.03156385234108905</v>
      </c>
      <c r="M58" s="6">
        <f>IFERROR(J58/G58-1,"")</f>
        <v>-0.03966396919445869</v>
      </c>
      <c r="N58" s="6">
        <v>0.1685703417920992</v>
      </c>
      <c r="O58" s="6">
        <v>-0.07899484775775156</v>
      </c>
      <c r="P58" s="6">
        <v>-0.03966396919445869</v>
      </c>
      <c r="Q58" s="6">
        <f>IFERROR(J58/F58-1,"")</f>
        <v>0.03357058960750292</v>
      </c>
      <c r="R58" s="6">
        <v>-0.235202492211838</v>
      </c>
    </row>
    <row r="59" spans="1:18">
      <c r="A59" s="5" t="s">
        <v>165</v>
      </c>
      <c r="B59" s="5" t="s">
        <v>166</v>
      </c>
      <c r="C59" s="5" t="s">
        <v>29</v>
      </c>
      <c r="D59" s="5" t="s">
        <v>81</v>
      </c>
      <c r="E59" s="5" t="s">
        <v>46</v>
      </c>
      <c r="F59" s="8">
        <v>486.47</v>
      </c>
      <c r="G59" s="8">
        <v>513.99</v>
      </c>
      <c r="H59" s="8">
        <v>450.08</v>
      </c>
      <c r="I59" s="8">
        <v>464.75</v>
      </c>
      <c r="J59" s="8">
        <v>454.9700012207031</v>
      </c>
      <c r="K59" s="6">
        <f>IFERROR(J59/I59-1,"")</f>
        <v>-0.02104356918622241</v>
      </c>
      <c r="L59" s="6">
        <f>IFERROR(J59/H59-1,"")</f>
        <v>0.010864737870385666</v>
      </c>
      <c r="M59" s="6">
        <f>IFERROR(J59/G59-1,"")</f>
        <v>-0.1148271343397671</v>
      </c>
      <c r="N59" s="6">
        <v>-0.002178962731514744</v>
      </c>
      <c r="O59" s="6">
        <v>0.05887806184462607</v>
      </c>
      <c r="P59" s="6">
        <v>-0.1148271343397671</v>
      </c>
      <c r="Q59" s="6">
        <f>IFERROR(J59/F59-1,"")</f>
        <v>-0.06475219187061254</v>
      </c>
      <c r="R59" s="6">
        <v>-0.1781271436252062</v>
      </c>
    </row>
    <row r="60" spans="1:18">
      <c r="A60" s="5" t="s">
        <v>167</v>
      </c>
      <c r="B60" s="5" t="s">
        <v>168</v>
      </c>
      <c r="C60" s="5" t="s">
        <v>29</v>
      </c>
      <c r="D60" s="5" t="s">
        <v>81</v>
      </c>
      <c r="E60" s="5" t="s">
        <v>46</v>
      </c>
      <c r="F60" s="8">
        <v>147.75</v>
      </c>
      <c r="G60" s="8">
        <v>152.21</v>
      </c>
      <c r="H60" s="8">
        <v>139.25</v>
      </c>
      <c r="I60" s="8">
        <v>146.37</v>
      </c>
      <c r="J60" s="8">
        <v>144.9199981689453</v>
      </c>
      <c r="K60" s="6">
        <f>IFERROR(J60/I60-1,"")</f>
        <v>-0.009906414094791871</v>
      </c>
      <c r="L60" s="6">
        <f>IFERROR(J60/H60-1,"")</f>
        <v>0.040718119705172695</v>
      </c>
      <c r="M60" s="6">
        <f>IFERROR(J60/G60-1,"")</f>
        <v>-0.04789436851096973</v>
      </c>
      <c r="N60" s="6">
        <v>-0.04886632825719117</v>
      </c>
      <c r="O60" s="6">
        <v>0.08311392585213118</v>
      </c>
      <c r="P60" s="6">
        <v>-0.04789436851096973</v>
      </c>
      <c r="Q60" s="6">
        <f>IFERROR(J60/F60-1,"")</f>
        <v>-0.01915398870426188</v>
      </c>
      <c r="R60" s="6">
        <v>-0.1067459291806667</v>
      </c>
    </row>
    <row r="61" spans="1:18">
      <c r="A61" s="5" t="s">
        <v>169</v>
      </c>
      <c r="B61" s="5" t="s">
        <v>170</v>
      </c>
      <c r="C61" s="5" t="s">
        <v>29</v>
      </c>
      <c r="D61" s="5" t="s">
        <v>81</v>
      </c>
      <c r="E61" s="5" t="s">
        <v>46</v>
      </c>
      <c r="F61" s="8">
        <v>470.76</v>
      </c>
      <c r="G61" s="8">
        <v>482.31</v>
      </c>
      <c r="H61" s="8">
        <v>439.02</v>
      </c>
      <c r="I61" s="8">
        <v>446</v>
      </c>
      <c r="J61" s="8">
        <v>444.1700134277344</v>
      </c>
      <c r="K61" s="6">
        <f>IFERROR(J61/I61-1,"")</f>
        <v>-0.004103108906425179</v>
      </c>
      <c r="L61" s="6">
        <f>IFERROR(J61/H61-1,"")</f>
        <v>0.011730703447984991</v>
      </c>
      <c r="M61" s="6">
        <f>IFERROR(J61/G61-1,"")</f>
        <v>-0.07907774371724752</v>
      </c>
      <c r="N61" s="6">
        <v>0.002634038575919817</v>
      </c>
      <c r="O61" s="6">
        <v>0.02184322033898312</v>
      </c>
      <c r="P61" s="6">
        <v>-0.07907774371724752</v>
      </c>
      <c r="Q61" s="6">
        <f>IFERROR(J61/F61-1,"")</f>
        <v>-0.05648310513269095</v>
      </c>
      <c r="R61" s="6">
        <v>-0.12799427958527</v>
      </c>
    </row>
    <row r="62" spans="1:18">
      <c r="A62" s="5" t="s">
        <v>171</v>
      </c>
      <c r="B62" s="5" t="s">
        <v>172</v>
      </c>
      <c r="C62" s="5" t="s">
        <v>29</v>
      </c>
      <c r="D62" s="5" t="s">
        <v>81</v>
      </c>
      <c r="E62" s="5" t="s">
        <v>49</v>
      </c>
      <c r="F62" s="8">
        <v>289.52</v>
      </c>
      <c r="G62" s="8">
        <v>272.4</v>
      </c>
      <c r="H62" s="8">
        <v>256.7</v>
      </c>
      <c r="I62" s="8">
        <v>290.83</v>
      </c>
      <c r="J62" s="8">
        <v>262.8900146484375</v>
      </c>
      <c r="K62" s="6">
        <f>IFERROR(J62/I62-1,"")</f>
        <v>-0.09606981862793551</v>
      </c>
      <c r="L62" s="6">
        <f>IFERROR(J62/H62-1,"")</f>
        <v>0.024113808525272784</v>
      </c>
      <c r="M62" s="6">
        <f>IFERROR(J62/G62-1,"")</f>
        <v>-0.03491184049765961</v>
      </c>
      <c r="N62" s="6">
        <v>0.1188173528599061</v>
      </c>
      <c r="O62" s="6">
        <v>-0.1590516176833787</v>
      </c>
      <c r="P62" s="6">
        <v>-0.03491184049765961</v>
      </c>
      <c r="Q62" s="6">
        <f>IFERROR(J62/F62-1,"")</f>
        <v>-0.09197977808635838</v>
      </c>
      <c r="R62" s="6">
        <v>-0.3769136216337021</v>
      </c>
    </row>
    <row r="63" spans="1:18">
      <c r="A63" s="5" t="s">
        <v>173</v>
      </c>
      <c r="B63" s="5" t="s">
        <v>174</v>
      </c>
      <c r="C63" s="5" t="s">
        <v>31</v>
      </c>
      <c r="D63" s="5" t="s">
        <v>45</v>
      </c>
      <c r="E63" s="5" t="s">
        <v>49</v>
      </c>
      <c r="F63" s="8">
        <v>499.21</v>
      </c>
      <c r="G63" s="8">
        <v>539.14</v>
      </c>
      <c r="H63" s="8">
        <v>438.46</v>
      </c>
      <c r="I63" s="8">
        <v>472.79</v>
      </c>
      <c r="J63" s="8">
        <v>468.8500061035156</v>
      </c>
      <c r="K63" s="6">
        <f>IFERROR(J63/I63-1,"")</f>
        <v>-0.008333496682426444</v>
      </c>
      <c r="L63" s="6">
        <f>IFERROR(J63/H63-1,"")</f>
        <v>0.06931078343181962</v>
      </c>
      <c r="M63" s="6">
        <f>IFERROR(J63/G63-1,"")</f>
        <v>-0.13037428848997357</v>
      </c>
      <c r="N63" s="6">
        <v>0.1791831093127141</v>
      </c>
      <c r="O63" s="6">
        <v>-0.08412326300411099</v>
      </c>
      <c r="P63" s="6">
        <v>-0.1303742884899736</v>
      </c>
      <c r="Q63" s="6">
        <f>IFERROR(J63/F63-1,"")</f>
        <v>-0.06081607719493676</v>
      </c>
      <c r="R63" s="6">
        <v>-0.3970816044260027</v>
      </c>
    </row>
    <row r="64" spans="1:18">
      <c r="A64" s="5" t="s">
        <v>175</v>
      </c>
      <c r="B64" s="5" t="s">
        <v>176</v>
      </c>
      <c r="C64" s="5" t="s">
        <v>31</v>
      </c>
      <c r="D64" s="5" t="s">
        <v>45</v>
      </c>
      <c r="E64" s="5" t="s">
        <v>49</v>
      </c>
      <c r="F64" s="8">
        <v>390.9</v>
      </c>
      <c r="G64" s="8">
        <v>339.24</v>
      </c>
      <c r="H64" s="8">
        <v>306.67</v>
      </c>
      <c r="I64" s="8">
        <v>284.11</v>
      </c>
      <c r="J64" s="8">
        <v>284.6000061035156</v>
      </c>
      <c r="K64" s="6">
        <f>IFERROR(J64/I64-1,"")</f>
        <v>0.0017247055841596026</v>
      </c>
      <c r="L64" s="6">
        <f>IFERROR(J64/H64-1,"")</f>
        <v>-0.07196658915604526</v>
      </c>
      <c r="M64" s="6">
        <f>IFERROR(J64/G64-1,"")</f>
        <v>-0.16106589404694138</v>
      </c>
      <c r="N64" s="6">
        <v>-0.01266308518802761</v>
      </c>
      <c r="O64" s="6">
        <v>-0.1210260396424406</v>
      </c>
      <c r="P64" s="6">
        <v>-0.1610658940469414</v>
      </c>
      <c r="Q64" s="6">
        <f>IFERROR(J64/F64-1,"")</f>
        <v>-0.2719365410501007</v>
      </c>
      <c r="R64" s="6">
        <v>-0.2798225602027883</v>
      </c>
    </row>
    <row r="65" spans="1:18">
      <c r="A65" s="5" t="s">
        <v>177</v>
      </c>
      <c r="B65" s="5" t="s">
        <v>178</v>
      </c>
      <c r="C65" s="5" t="s">
        <v>31</v>
      </c>
      <c r="D65" s="5" t="s">
        <v>45</v>
      </c>
      <c r="E65" s="5" t="s">
        <v>49</v>
      </c>
      <c r="F65" s="8">
        <v>213.937</v>
      </c>
      <c r="G65" s="8">
        <v>198.11</v>
      </c>
      <c r="H65" s="8">
        <v>172.26</v>
      </c>
      <c r="I65" s="8">
        <v>188.98</v>
      </c>
      <c r="J65" s="8">
        <v>182.9100036621094</v>
      </c>
      <c r="K65" s="6">
        <f>IFERROR(J65/I65-1,"")</f>
        <v>-0.03211978165885587</v>
      </c>
      <c r="L65" s="6">
        <f>IFERROR(J65/H65-1,"")</f>
        <v>0.06182516929124238</v>
      </c>
      <c r="M65" s="6">
        <f>IFERROR(J65/G65-1,"")</f>
        <v>-0.0767250332537005</v>
      </c>
      <c r="N65" s="6">
        <v>0.07283920032532931</v>
      </c>
      <c r="O65" s="6">
        <v>-0.1368508191007319</v>
      </c>
      <c r="P65" s="6">
        <v>-0.0767250332537005</v>
      </c>
      <c r="Q65" s="6">
        <f>IFERROR(J65/F65-1,"")</f>
        <v>-0.1450286595487953</v>
      </c>
      <c r="R65" s="6">
        <v>-0.435915282887541</v>
      </c>
    </row>
    <row r="66" spans="1:18">
      <c r="A66" s="5" t="s">
        <v>179</v>
      </c>
      <c r="B66" s="5" t="s">
        <v>180</v>
      </c>
      <c r="C66" s="5" t="s">
        <v>31</v>
      </c>
      <c r="D66" s="5" t="s">
        <v>45</v>
      </c>
      <c r="E66" s="5" t="s">
        <v>49</v>
      </c>
      <c r="F66" s="8">
        <v>327.16</v>
      </c>
      <c r="G66" s="8">
        <v>311.35</v>
      </c>
      <c r="H66" s="8">
        <v>288.32</v>
      </c>
      <c r="I66" s="8">
        <v>320.42</v>
      </c>
      <c r="J66" s="8">
        <v>315.8399963378906</v>
      </c>
      <c r="K66" s="6">
        <f>IFERROR(J66/I66-1,"")</f>
        <v>-0.014293750896040791</v>
      </c>
      <c r="L66" s="6">
        <f>IFERROR(J66/H66-1,"")</f>
        <v>0.09544948785339424</v>
      </c>
      <c r="M66" s="6">
        <f>IFERROR(J66/G66-1,"")</f>
        <v>0.014421057773857715</v>
      </c>
      <c r="N66" s="6">
        <v>0.07950238415454214</v>
      </c>
      <c r="O66" s="6">
        <v>-0.1184132287566894</v>
      </c>
      <c r="P66" s="6">
        <v>0.01442105777385772</v>
      </c>
      <c r="Q66" s="6">
        <f>IFERROR(J66/F66-1,"")</f>
        <v>-0.03460081813824856</v>
      </c>
      <c r="R66" s="6">
        <v>-0.4176493665335888</v>
      </c>
    </row>
    <row r="67" spans="1:18">
      <c r="A67" s="5" t="s">
        <v>181</v>
      </c>
      <c r="B67" s="5" t="s">
        <v>182</v>
      </c>
      <c r="C67" s="5" t="s">
        <v>31</v>
      </c>
      <c r="D67" s="5" t="s">
        <v>45</v>
      </c>
      <c r="E67" s="5" t="s">
        <v>49</v>
      </c>
      <c r="F67" s="8">
        <v>465.27</v>
      </c>
      <c r="G67" s="8">
        <v>415.99</v>
      </c>
      <c r="H67" s="8">
        <v>415.97</v>
      </c>
      <c r="I67" s="8">
        <v>392.03</v>
      </c>
      <c r="J67" s="8">
        <v>393.2200012207031</v>
      </c>
      <c r="K67" s="6">
        <f>IFERROR(J67/I67-1,"")</f>
        <v>0.0030354850922202914</v>
      </c>
      <c r="L67" s="6">
        <f>IFERROR(J67/H67-1,"")</f>
        <v>-0.054691441159931964</v>
      </c>
      <c r="M67" s="6">
        <f>IFERROR(J67/G67-1,"")</f>
        <v>-0.054736889779314124</v>
      </c>
      <c r="N67" s="6">
        <v>-0.04706944354890708</v>
      </c>
      <c r="O67" s="6">
        <v>-0.06175429099848884</v>
      </c>
      <c r="P67" s="6">
        <v>-0.05473688977931412</v>
      </c>
      <c r="Q67" s="6">
        <f>IFERROR(J67/F67-1,"")</f>
        <v>-0.15485631736259986</v>
      </c>
      <c r="R67" s="6">
        <v>-0.1997549809787865</v>
      </c>
    </row>
    <row r="68" spans="1:18">
      <c r="A68" s="5" t="s">
        <v>183</v>
      </c>
      <c r="B68" s="5" t="s">
        <v>184</v>
      </c>
      <c r="C68" s="5" t="s">
        <v>31</v>
      </c>
      <c r="D68" s="5" t="s">
        <v>45</v>
      </c>
      <c r="E68" s="5" t="s">
        <v>49</v>
      </c>
      <c r="F68" s="8">
        <v>369.21</v>
      </c>
      <c r="G68" s="8">
        <v>379.31</v>
      </c>
      <c r="H68" s="8">
        <v>341.62</v>
      </c>
      <c r="I68" s="8">
        <v>372.06</v>
      </c>
      <c r="J68" s="8">
        <v>383.6900024414062</v>
      </c>
      <c r="K68" s="6">
        <f>IFERROR(J68/I68-1,"")</f>
        <v>0.031258405744788886</v>
      </c>
      <c r="L68" s="6">
        <f>IFERROR(J68/H68-1,"")</f>
        <v>0.12314853475032539</v>
      </c>
      <c r="M68" s="6">
        <f>IFERROR(J68/G68-1,"")</f>
        <v>0.011547289661243187</v>
      </c>
      <c r="N68" s="6">
        <v>-0.01749681752931931</v>
      </c>
      <c r="O68" s="6">
        <v>0.04565127498277044</v>
      </c>
      <c r="P68" s="6">
        <v>0.01154728966124319</v>
      </c>
      <c r="Q68" s="6">
        <f>IFERROR(J68/F68-1,"")</f>
        <v>0.039218879340771506</v>
      </c>
      <c r="R68" s="6">
        <v>-0.3398437499999999</v>
      </c>
    </row>
    <row r="69" spans="1:18">
      <c r="A69" s="5" t="s">
        <v>185</v>
      </c>
      <c r="B69" s="5" t="s">
        <v>186</v>
      </c>
      <c r="C69" s="5" t="s">
        <v>27</v>
      </c>
      <c r="D69" s="5" t="s">
        <v>151</v>
      </c>
      <c r="E69" s="5" t="s">
        <v>49</v>
      </c>
      <c r="F69" s="8">
        <v>244.19</v>
      </c>
      <c r="G69" s="8">
        <v>274.48</v>
      </c>
      <c r="H69" s="8">
        <v>254.98</v>
      </c>
      <c r="I69" s="8">
        <v>256.97</v>
      </c>
      <c r="J69" s="8">
        <v>252.3999938964844</v>
      </c>
      <c r="K69" s="6">
        <f>IFERROR(J69/I69-1,"")</f>
        <v>-0.01778420089316113</v>
      </c>
      <c r="L69" s="6">
        <f>IFERROR(J69/H69-1,"")</f>
        <v>-0.01011846459924537</v>
      </c>
      <c r="M69" s="6">
        <f>IFERROR(J69/G69-1,"")</f>
        <v>-0.08044304176448414</v>
      </c>
      <c r="N69" s="6">
        <v>0.01167123960850147</v>
      </c>
      <c r="O69" s="6">
        <v>0.1110751295336789</v>
      </c>
      <c r="P69" s="6">
        <v>-0.08044304176448414</v>
      </c>
      <c r="Q69" s="6">
        <f>IFERROR(J69/F69-1,"")</f>
        <v>0.033621335421124554</v>
      </c>
      <c r="R69" s="6">
        <v>-0.1113302095046672</v>
      </c>
    </row>
    <row r="70" spans="1:18">
      <c r="A70" s="5" t="s">
        <v>187</v>
      </c>
      <c r="B70" s="5" t="s">
        <v>188</v>
      </c>
      <c r="C70" s="5" t="s">
        <v>27</v>
      </c>
      <c r="D70" s="5" t="s">
        <v>52</v>
      </c>
      <c r="E70" s="5" t="s">
        <v>49</v>
      </c>
      <c r="F70" s="8">
        <v>364.26</v>
      </c>
      <c r="G70" s="8">
        <v>354.3</v>
      </c>
      <c r="H70" s="8">
        <v>337.12</v>
      </c>
      <c r="I70" s="8">
        <v>338.36</v>
      </c>
      <c r="J70" s="8">
        <v>330.6499938964844</v>
      </c>
      <c r="K70" s="6">
        <f>IFERROR(J70/I70-1,"")</f>
        <v>-0.02278639940748206</v>
      </c>
      <c r="L70" s="6">
        <f>IFERROR(J70/H70-1,"")</f>
        <v>-0.01919199722210374</v>
      </c>
      <c r="M70" s="6">
        <f>IFERROR(J70/G70-1,"")</f>
        <v>-0.06675135789871756</v>
      </c>
      <c r="N70" s="6">
        <v>-0.01474221709767753</v>
      </c>
      <c r="O70" s="6">
        <v>-0.01278943408843924</v>
      </c>
      <c r="P70" s="6">
        <v>-0.06675135789871756</v>
      </c>
      <c r="Q70" s="6">
        <f>IFERROR(J70/F70-1,"")</f>
        <v>-0.09226927497808057</v>
      </c>
      <c r="R70" s="6">
        <v>-0.1488546550569324</v>
      </c>
    </row>
    <row r="71" spans="1:18">
      <c r="A71" s="5" t="s">
        <v>189</v>
      </c>
      <c r="B71" s="5" t="s">
        <v>190</v>
      </c>
      <c r="C71" s="5" t="s">
        <v>27</v>
      </c>
      <c r="D71" s="5" t="s">
        <v>45</v>
      </c>
      <c r="E71" s="5" t="s">
        <v>46</v>
      </c>
      <c r="F71" s="8">
        <v>277.49</v>
      </c>
      <c r="G71" s="8">
        <v>237.28</v>
      </c>
      <c r="H71" s="8">
        <v>231.7</v>
      </c>
      <c r="I71" s="8">
        <v>232.09</v>
      </c>
      <c r="J71" s="8">
        <v>239.9400024414062</v>
      </c>
      <c r="K71" s="6">
        <f>IFERROR(J71/I71-1,"")</f>
        <v>0.03382309639108194</v>
      </c>
      <c r="L71" s="6">
        <f>IFERROR(J71/H71-1,"")</f>
        <v>0.035563238849400935</v>
      </c>
      <c r="M71" s="6">
        <f>IFERROR(J71/G71-1,"")</f>
        <v>0.011210394645171151</v>
      </c>
      <c r="N71" s="6">
        <v>0.06418249306281298</v>
      </c>
      <c r="O71" s="6">
        <v>-0.1964781578056214</v>
      </c>
      <c r="P71" s="6">
        <v>0.01121039464517115</v>
      </c>
      <c r="Q71" s="6">
        <f>IFERROR(J71/F71-1,"")</f>
        <v>-0.13532018292044334</v>
      </c>
      <c r="R71" s="6">
        <v>-0.3278345800803579</v>
      </c>
    </row>
    <row r="72" spans="1:18">
      <c r="A72" s="5" t="s">
        <v>191</v>
      </c>
      <c r="B72" s="5" t="s">
        <v>192</v>
      </c>
      <c r="C72" s="5" t="s">
        <v>27</v>
      </c>
      <c r="D72" s="5" t="s">
        <v>52</v>
      </c>
      <c r="E72" s="5" t="s">
        <v>49</v>
      </c>
      <c r="F72" s="8">
        <v>584.59</v>
      </c>
      <c r="G72" s="8">
        <v>592.1</v>
      </c>
      <c r="H72" s="8">
        <v>592.85</v>
      </c>
      <c r="I72" s="8">
        <v>613.48</v>
      </c>
      <c r="J72" s="8">
        <v>653.6900024414062</v>
      </c>
      <c r="K72" s="6">
        <f>IFERROR(J72/I72-1,"")</f>
        <v>0.0655441129970109</v>
      </c>
      <c r="L72" s="6">
        <f>IFERROR(J72/H72-1,"")</f>
        <v>0.10262292728583322</v>
      </c>
      <c r="M72" s="6">
        <f>IFERROR(J72/G72-1,"")</f>
        <v>0.10401959540855632</v>
      </c>
      <c r="N72" s="6">
        <v>0.08021006175268131</v>
      </c>
      <c r="O72" s="6">
        <v>-0.06236143662507121</v>
      </c>
      <c r="P72" s="6">
        <v>0.1040195954085563</v>
      </c>
      <c r="Q72" s="6">
        <f>IFERROR(J72/F72-1,"")</f>
        <v>0.11820250507433627</v>
      </c>
      <c r="R72" s="6">
        <v>-0.208832983517048</v>
      </c>
    </row>
    <row r="73" spans="1:18">
      <c r="A73" s="5" t="s">
        <v>193</v>
      </c>
      <c r="B73" s="5" t="s">
        <v>194</v>
      </c>
      <c r="C73" s="5" t="s">
        <v>27</v>
      </c>
      <c r="D73" s="5" t="s">
        <v>45</v>
      </c>
      <c r="E73" s="5" t="s">
        <v>49</v>
      </c>
      <c r="F73" s="8">
        <v>403.41</v>
      </c>
      <c r="G73" s="8">
        <v>499.99</v>
      </c>
      <c r="H73" s="8">
        <v>496.82</v>
      </c>
      <c r="I73" s="8">
        <v>493.95</v>
      </c>
      <c r="J73" s="8">
        <v>491.6499938964844</v>
      </c>
      <c r="K73" s="6">
        <f>IFERROR(J73/I73-1,"")</f>
        <v>-0.004656354091538861</v>
      </c>
      <c r="L73" s="6">
        <f>IFERROR(J73/H73-1,"")</f>
        <v>-0.010406195611117997</v>
      </c>
      <c r="M73" s="6">
        <f>IFERROR(J73/G73-1,"")</f>
        <v>-0.016680345813947506</v>
      </c>
      <c r="N73" s="6">
        <v>-0.04722242879452665</v>
      </c>
      <c r="O73" s="6">
        <v>0.3008377562701634</v>
      </c>
      <c r="P73" s="6">
        <v>-0.01668034581394751</v>
      </c>
      <c r="Q73" s="6">
        <f>IFERROR(J73/F73-1,"")</f>
        <v>0.21873526659350118</v>
      </c>
      <c r="R73" s="6">
        <v>-0.1253811259016882</v>
      </c>
    </row>
    <row r="74" spans="1:18">
      <c r="A74" s="5" t="s">
        <v>195</v>
      </c>
      <c r="B74" s="5" t="s">
        <v>196</v>
      </c>
      <c r="C74" s="5" t="s">
        <v>27</v>
      </c>
      <c r="D74" s="5" t="s">
        <v>45</v>
      </c>
      <c r="E74" s="5" t="s">
        <v>49</v>
      </c>
      <c r="F74" s="8">
        <v>205.81</v>
      </c>
      <c r="G74" s="8">
        <v>147.02</v>
      </c>
      <c r="H74" s="8">
        <v>145.75</v>
      </c>
      <c r="I74" s="8">
        <v>162.52</v>
      </c>
      <c r="J74" s="8">
        <v>161.6300048828125</v>
      </c>
      <c r="K74" s="6">
        <f>IFERROR(J74/I74-1,"")</f>
        <v>-0.005476219032657603</v>
      </c>
      <c r="L74" s="6">
        <f>IFERROR(J74/H74-1,"")</f>
        <v>0.10895372132289882</v>
      </c>
      <c r="M74" s="6">
        <f>IFERROR(J74/G74-1,"")</f>
        <v>0.09937426800987947</v>
      </c>
      <c r="N74" s="6">
        <v>-0.2992565958894126</v>
      </c>
      <c r="O74" s="6">
        <v>0.01941478297046184</v>
      </c>
      <c r="P74" s="6">
        <v>0.09937426800987947</v>
      </c>
      <c r="Q74" s="6">
        <f>IFERROR(J74/F74-1,"")</f>
        <v>-0.21466398677026144</v>
      </c>
      <c r="R74" s="6">
        <v>-0.4412807929643846</v>
      </c>
    </row>
  </sheetData>
  <autoFilter ref="A1:R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2.7109375" customWidth="1"/>
    <col min="3" max="3" width="14.7109375" customWidth="1"/>
    <col min="4" max="4" width="13.7109375" customWidth="1"/>
  </cols>
  <sheetData>
    <row r="1" spans="1:4">
      <c r="A1" s="4" t="s">
        <v>13</v>
      </c>
      <c r="B1" s="4" t="s">
        <v>197</v>
      </c>
      <c r="C1" s="4" t="s">
        <v>33</v>
      </c>
      <c r="D1" s="4" t="s">
        <v>198</v>
      </c>
    </row>
    <row r="2" spans="1:4">
      <c r="A2" s="5" t="s">
        <v>20</v>
      </c>
      <c r="B2" s="5" t="s">
        <v>199</v>
      </c>
      <c r="C2" s="5" t="s">
        <v>107</v>
      </c>
      <c r="D2" s="6">
        <v>0.001157398338705559</v>
      </c>
    </row>
    <row r="3" spans="1:4">
      <c r="A3" s="5" t="s">
        <v>20</v>
      </c>
      <c r="B3" s="5" t="s">
        <v>199</v>
      </c>
      <c r="C3" s="5" t="s">
        <v>113</v>
      </c>
      <c r="D3" s="6">
        <v>-4.68930082693555E-05</v>
      </c>
    </row>
    <row r="4" spans="1:4">
      <c r="A4" s="5" t="s">
        <v>20</v>
      </c>
      <c r="B4" s="5" t="s">
        <v>199</v>
      </c>
      <c r="C4" s="5" t="s">
        <v>111</v>
      </c>
      <c r="D4" s="6">
        <v>-0.0002873925630467009</v>
      </c>
    </row>
    <row r="5" spans="1:4">
      <c r="A5" s="5" t="s">
        <v>20</v>
      </c>
      <c r="B5" s="5" t="s">
        <v>200</v>
      </c>
      <c r="C5" s="5" t="s">
        <v>109</v>
      </c>
      <c r="D5" s="6">
        <v>-0.003561537101553501</v>
      </c>
    </row>
    <row r="6" spans="1:4">
      <c r="A6" s="5" t="s">
        <v>20</v>
      </c>
      <c r="B6" s="5" t="s">
        <v>200</v>
      </c>
      <c r="C6" s="5" t="s">
        <v>115</v>
      </c>
      <c r="D6" s="6">
        <v>-0.002400638806640952</v>
      </c>
    </row>
    <row r="7" spans="1:4">
      <c r="A7" s="5" t="s">
        <v>20</v>
      </c>
      <c r="B7" s="5" t="s">
        <v>200</v>
      </c>
      <c r="C7" s="5" t="s">
        <v>111</v>
      </c>
      <c r="D7" s="6">
        <v>-0.0002873925630467009</v>
      </c>
    </row>
    <row r="8" spans="1:4">
      <c r="A8" s="5" t="s">
        <v>20</v>
      </c>
      <c r="B8" s="5" t="s">
        <v>201</v>
      </c>
      <c r="C8" s="5" t="s">
        <v>115</v>
      </c>
      <c r="D8" s="6">
        <v>0.008662459363048823</v>
      </c>
    </row>
    <row r="9" spans="1:4">
      <c r="A9" s="5" t="s">
        <v>20</v>
      </c>
      <c r="B9" s="5" t="s">
        <v>201</v>
      </c>
      <c r="C9" s="5" t="s">
        <v>109</v>
      </c>
      <c r="D9" s="6">
        <v>0.007200654049122119</v>
      </c>
    </row>
    <row r="10" spans="1:4">
      <c r="A10" s="5" t="s">
        <v>20</v>
      </c>
      <c r="B10" s="5" t="s">
        <v>201</v>
      </c>
      <c r="C10" s="5" t="s">
        <v>111</v>
      </c>
      <c r="D10" s="6">
        <v>0.003157076218466995</v>
      </c>
    </row>
    <row r="11" spans="1:4">
      <c r="A11" s="5" t="s">
        <v>20</v>
      </c>
      <c r="B11" s="5" t="s">
        <v>202</v>
      </c>
      <c r="C11" s="5" t="s">
        <v>113</v>
      </c>
      <c r="D11" s="6">
        <v>-0.0008553471458377306</v>
      </c>
    </row>
    <row r="12" spans="1:4">
      <c r="A12" s="5" t="s">
        <v>20</v>
      </c>
      <c r="B12" s="5" t="s">
        <v>202</v>
      </c>
      <c r="C12" s="5" t="s">
        <v>107</v>
      </c>
      <c r="D12" s="6">
        <v>0.00130601632123446</v>
      </c>
    </row>
    <row r="13" spans="1:4">
      <c r="A13" s="5" t="s">
        <v>20</v>
      </c>
      <c r="B13" s="5" t="s">
        <v>202</v>
      </c>
      <c r="C13" s="5" t="s">
        <v>111</v>
      </c>
      <c r="D13" s="6">
        <v>0.003157076218466995</v>
      </c>
    </row>
    <row r="14" spans="1:4">
      <c r="A14" s="5" t="s">
        <v>20</v>
      </c>
      <c r="B14" s="5" t="s">
        <v>203</v>
      </c>
      <c r="C14" s="5" t="s">
        <v>113</v>
      </c>
      <c r="D14" s="6">
        <v>0.0005307914175497107</v>
      </c>
    </row>
    <row r="15" spans="1:4">
      <c r="A15" s="5" t="s">
        <v>20</v>
      </c>
      <c r="B15" s="5" t="s">
        <v>203</v>
      </c>
      <c r="C15" s="5" t="s">
        <v>107</v>
      </c>
      <c r="D15" s="6">
        <v>4.535975124961071E-05</v>
      </c>
    </row>
    <row r="16" spans="1:4">
      <c r="A16" s="5" t="s">
        <v>20</v>
      </c>
      <c r="B16" s="5" t="s">
        <v>203</v>
      </c>
      <c r="C16" s="5" t="s">
        <v>111</v>
      </c>
      <c r="D16" s="6">
        <v>-0.002668616429776488</v>
      </c>
    </row>
    <row r="17" spans="1:4">
      <c r="A17" s="5" t="s">
        <v>20</v>
      </c>
      <c r="B17" s="5" t="s">
        <v>204</v>
      </c>
      <c r="C17" s="5" t="s">
        <v>115</v>
      </c>
      <c r="D17" s="6">
        <v>-0.03522822863829415</v>
      </c>
    </row>
    <row r="18" spans="1:4">
      <c r="A18" s="5" t="s">
        <v>20</v>
      </c>
      <c r="B18" s="5" t="s">
        <v>204</v>
      </c>
      <c r="C18" s="5" t="s">
        <v>109</v>
      </c>
      <c r="D18" s="6">
        <v>-0.01013119265640591</v>
      </c>
    </row>
    <row r="19" spans="1:4">
      <c r="A19" s="5" t="s">
        <v>20</v>
      </c>
      <c r="B19" s="5" t="s">
        <v>204</v>
      </c>
      <c r="C19" s="5" t="s">
        <v>111</v>
      </c>
      <c r="D19" s="6">
        <v>-0.002668616429776488</v>
      </c>
    </row>
    <row r="20" spans="1:4">
      <c r="A20" s="5" t="s">
        <v>20</v>
      </c>
      <c r="B20" s="5" t="s">
        <v>205</v>
      </c>
      <c r="C20" s="5" t="s">
        <v>115</v>
      </c>
      <c r="D20" s="6">
        <v>0.1184917707337475</v>
      </c>
    </row>
    <row r="21" spans="1:4">
      <c r="A21" s="5" t="s">
        <v>20</v>
      </c>
      <c r="B21" s="5" t="s">
        <v>205</v>
      </c>
      <c r="C21" s="5" t="s">
        <v>109</v>
      </c>
      <c r="D21" s="6">
        <v>0.09243777742378283</v>
      </c>
    </row>
    <row r="22" spans="1:4">
      <c r="A22" s="5" t="s">
        <v>20</v>
      </c>
      <c r="B22" s="5" t="s">
        <v>205</v>
      </c>
      <c r="C22" s="5" t="s">
        <v>111</v>
      </c>
      <c r="D22" s="6">
        <v>0.02689392036935441</v>
      </c>
    </row>
    <row r="23" spans="1:4">
      <c r="A23" s="5" t="s">
        <v>20</v>
      </c>
      <c r="B23" s="5" t="s">
        <v>206</v>
      </c>
      <c r="C23" s="5" t="s">
        <v>107</v>
      </c>
      <c r="D23" s="6">
        <v>-0.007669320840886681</v>
      </c>
    </row>
    <row r="24" spans="1:4">
      <c r="A24" s="5" t="s">
        <v>20</v>
      </c>
      <c r="B24" s="5" t="s">
        <v>206</v>
      </c>
      <c r="C24" s="5" t="s">
        <v>113</v>
      </c>
      <c r="D24" s="6">
        <v>0.005625395606718625</v>
      </c>
    </row>
    <row r="25" spans="1:4">
      <c r="A25" s="5" t="s">
        <v>20</v>
      </c>
      <c r="B25" s="5" t="s">
        <v>206</v>
      </c>
      <c r="C25" s="5" t="s">
        <v>111</v>
      </c>
      <c r="D25" s="6">
        <v>0.02689392036935441</v>
      </c>
    </row>
    <row r="26" spans="1:4">
      <c r="A26" s="5" t="s">
        <v>22</v>
      </c>
      <c r="B26" s="5" t="s">
        <v>199</v>
      </c>
      <c r="C26" s="5" t="s">
        <v>55</v>
      </c>
      <c r="D26" s="6">
        <v>0.004240883498162863</v>
      </c>
    </row>
    <row r="27" spans="1:4">
      <c r="A27" s="5" t="s">
        <v>22</v>
      </c>
      <c r="B27" s="5" t="s">
        <v>199</v>
      </c>
      <c r="C27" s="5" t="s">
        <v>63</v>
      </c>
      <c r="D27" s="6">
        <v>-4.340695765338968E-05</v>
      </c>
    </row>
    <row r="28" spans="1:4">
      <c r="A28" s="5" t="s">
        <v>22</v>
      </c>
      <c r="B28" s="5" t="s">
        <v>199</v>
      </c>
      <c r="C28" s="5" t="s">
        <v>47</v>
      </c>
      <c r="D28" s="6">
        <v>-0.0007470823837192794</v>
      </c>
    </row>
    <row r="29" spans="1:4">
      <c r="A29" s="5" t="s">
        <v>22</v>
      </c>
      <c r="B29" s="5" t="s">
        <v>200</v>
      </c>
      <c r="C29" s="5" t="s">
        <v>53</v>
      </c>
      <c r="D29" s="6">
        <v>-0.00319669662563418</v>
      </c>
    </row>
    <row r="30" spans="1:4">
      <c r="A30" s="5" t="s">
        <v>22</v>
      </c>
      <c r="B30" s="5" t="s">
        <v>200</v>
      </c>
      <c r="C30" s="5" t="s">
        <v>59</v>
      </c>
      <c r="D30" s="6">
        <v>-0.002510165629235511</v>
      </c>
    </row>
    <row r="31" spans="1:4">
      <c r="A31" s="5" t="s">
        <v>22</v>
      </c>
      <c r="B31" s="5" t="s">
        <v>200</v>
      </c>
      <c r="C31" s="5" t="s">
        <v>50</v>
      </c>
      <c r="D31" s="6">
        <v>-0.001821366379967997</v>
      </c>
    </row>
    <row r="32" spans="1:4">
      <c r="A32" s="5" t="s">
        <v>22</v>
      </c>
      <c r="B32" s="5" t="s">
        <v>201</v>
      </c>
      <c r="C32" s="5" t="s">
        <v>55</v>
      </c>
      <c r="D32" s="6">
        <v>0.00440778708630897</v>
      </c>
    </row>
    <row r="33" spans="1:4">
      <c r="A33" s="5" t="s">
        <v>22</v>
      </c>
      <c r="B33" s="5" t="s">
        <v>201</v>
      </c>
      <c r="C33" s="5" t="s">
        <v>61</v>
      </c>
      <c r="D33" s="6">
        <v>0.0001283167205420415</v>
      </c>
    </row>
    <row r="34" spans="1:4">
      <c r="A34" s="5" t="s">
        <v>22</v>
      </c>
      <c r="B34" s="5" t="s">
        <v>201</v>
      </c>
      <c r="C34" s="5" t="s">
        <v>63</v>
      </c>
      <c r="D34" s="6">
        <v>-0.002725794648010648</v>
      </c>
    </row>
    <row r="35" spans="1:4">
      <c r="A35" s="5" t="s">
        <v>22</v>
      </c>
      <c r="B35" s="5" t="s">
        <v>202</v>
      </c>
      <c r="C35" s="5" t="s">
        <v>53</v>
      </c>
      <c r="D35" s="6">
        <v>-0.008020816591330237</v>
      </c>
    </row>
    <row r="36" spans="1:4">
      <c r="A36" s="5" t="s">
        <v>22</v>
      </c>
      <c r="B36" s="5" t="s">
        <v>202</v>
      </c>
      <c r="C36" s="5" t="s">
        <v>47</v>
      </c>
      <c r="D36" s="6">
        <v>-0.007562882943736432</v>
      </c>
    </row>
    <row r="37" spans="1:4">
      <c r="A37" s="5" t="s">
        <v>22</v>
      </c>
      <c r="B37" s="5" t="s">
        <v>202</v>
      </c>
      <c r="C37" s="5" t="s">
        <v>57</v>
      </c>
      <c r="D37" s="6">
        <v>-0.00605399445086003</v>
      </c>
    </row>
    <row r="38" spans="1:4">
      <c r="A38" s="5" t="s">
        <v>22</v>
      </c>
      <c r="B38" s="5" t="s">
        <v>203</v>
      </c>
      <c r="C38" s="5" t="s">
        <v>53</v>
      </c>
      <c r="D38" s="6">
        <v>0.03377761788032795</v>
      </c>
    </row>
    <row r="39" spans="1:4">
      <c r="A39" s="5" t="s">
        <v>22</v>
      </c>
      <c r="B39" s="5" t="s">
        <v>203</v>
      </c>
      <c r="C39" s="5" t="s">
        <v>59</v>
      </c>
      <c r="D39" s="6">
        <v>0.005166799885318333</v>
      </c>
    </row>
    <row r="40" spans="1:4">
      <c r="A40" s="5" t="s">
        <v>22</v>
      </c>
      <c r="B40" s="5" t="s">
        <v>203</v>
      </c>
      <c r="C40" s="5" t="s">
        <v>63</v>
      </c>
      <c r="D40" s="6">
        <v>0.001269896139234568</v>
      </c>
    </row>
    <row r="41" spans="1:4">
      <c r="A41" s="5" t="s">
        <v>22</v>
      </c>
      <c r="B41" s="5" t="s">
        <v>204</v>
      </c>
      <c r="C41" s="5" t="s">
        <v>50</v>
      </c>
      <c r="D41" s="6">
        <v>-0.01120360040328077</v>
      </c>
    </row>
    <row r="42" spans="1:4">
      <c r="A42" s="5" t="s">
        <v>22</v>
      </c>
      <c r="B42" s="5" t="s">
        <v>204</v>
      </c>
      <c r="C42" s="5" t="s">
        <v>61</v>
      </c>
      <c r="D42" s="6">
        <v>-0.004777819243821662</v>
      </c>
    </row>
    <row r="43" spans="1:4">
      <c r="A43" s="5" t="s">
        <v>22</v>
      </c>
      <c r="B43" s="5" t="s">
        <v>204</v>
      </c>
      <c r="C43" s="5" t="s">
        <v>47</v>
      </c>
      <c r="D43" s="6">
        <v>-0.003299821671843389</v>
      </c>
    </row>
    <row r="44" spans="1:4">
      <c r="A44" s="5" t="s">
        <v>22</v>
      </c>
      <c r="B44" s="5" t="s">
        <v>205</v>
      </c>
      <c r="C44" s="5" t="s">
        <v>61</v>
      </c>
      <c r="D44" s="6">
        <v>0.07848691821904873</v>
      </c>
    </row>
    <row r="45" spans="1:4">
      <c r="A45" s="5" t="s">
        <v>22</v>
      </c>
      <c r="B45" s="5" t="s">
        <v>205</v>
      </c>
      <c r="C45" s="5" t="s">
        <v>53</v>
      </c>
      <c r="D45" s="6">
        <v>0.04925386534999208</v>
      </c>
    </row>
    <row r="46" spans="1:4">
      <c r="A46" s="5" t="s">
        <v>22</v>
      </c>
      <c r="B46" s="5" t="s">
        <v>205</v>
      </c>
      <c r="C46" s="5" t="s">
        <v>59</v>
      </c>
      <c r="D46" s="6">
        <v>0.0217520793112889</v>
      </c>
    </row>
    <row r="47" spans="1:4">
      <c r="A47" s="5" t="s">
        <v>22</v>
      </c>
      <c r="B47" s="5" t="s">
        <v>206</v>
      </c>
      <c r="C47" s="5" t="s">
        <v>50</v>
      </c>
      <c r="D47" s="6">
        <v>-0.063354540822973</v>
      </c>
    </row>
    <row r="48" spans="1:4">
      <c r="A48" s="5" t="s">
        <v>22</v>
      </c>
      <c r="B48" s="5" t="s">
        <v>206</v>
      </c>
      <c r="C48" s="5" t="s">
        <v>55</v>
      </c>
      <c r="D48" s="6">
        <v>-0.00064404283661858</v>
      </c>
    </row>
    <row r="49" spans="1:4">
      <c r="A49" s="5" t="s">
        <v>22</v>
      </c>
      <c r="B49" s="5" t="s">
        <v>206</v>
      </c>
      <c r="C49" s="5" t="s">
        <v>43</v>
      </c>
      <c r="D49" s="6">
        <v>0.001251646325906588</v>
      </c>
    </row>
    <row r="50" spans="1:4">
      <c r="A50" s="5" t="s">
        <v>23</v>
      </c>
      <c r="B50" s="5" t="s">
        <v>199</v>
      </c>
      <c r="C50" s="5" t="s">
        <v>129</v>
      </c>
      <c r="D50" s="6">
        <v>0.003257557428413415</v>
      </c>
    </row>
    <row r="51" spans="1:4">
      <c r="A51" s="5" t="s">
        <v>23</v>
      </c>
      <c r="B51" s="5" t="s">
        <v>199</v>
      </c>
      <c r="C51" s="5" t="s">
        <v>121</v>
      </c>
      <c r="D51" s="6">
        <v>0.003237646320132887</v>
      </c>
    </row>
    <row r="52" spans="1:4">
      <c r="A52" s="5" t="s">
        <v>23</v>
      </c>
      <c r="B52" s="5" t="s">
        <v>199</v>
      </c>
      <c r="C52" s="5" t="s">
        <v>133</v>
      </c>
      <c r="D52" s="6">
        <v>0.00145872113634022</v>
      </c>
    </row>
    <row r="53" spans="1:4">
      <c r="A53" s="5" t="s">
        <v>23</v>
      </c>
      <c r="B53" s="5" t="s">
        <v>200</v>
      </c>
      <c r="C53" s="5" t="s">
        <v>131</v>
      </c>
      <c r="D53" s="6">
        <v>-0.00355554295623096</v>
      </c>
    </row>
    <row r="54" spans="1:4">
      <c r="A54" s="5" t="s">
        <v>23</v>
      </c>
      <c r="B54" s="5" t="s">
        <v>200</v>
      </c>
      <c r="C54" s="5" t="s">
        <v>127</v>
      </c>
      <c r="D54" s="6">
        <v>-0.0007425373407015928</v>
      </c>
    </row>
    <row r="55" spans="1:4">
      <c r="A55" s="5" t="s">
        <v>23</v>
      </c>
      <c r="B55" s="5" t="s">
        <v>200</v>
      </c>
      <c r="C55" s="5" t="s">
        <v>125</v>
      </c>
      <c r="D55" s="6">
        <v>-0.0007327768720961773</v>
      </c>
    </row>
    <row r="56" spans="1:4">
      <c r="A56" s="5" t="s">
        <v>23</v>
      </c>
      <c r="B56" s="5" t="s">
        <v>201</v>
      </c>
      <c r="C56" s="5" t="s">
        <v>129</v>
      </c>
      <c r="D56" s="6">
        <v>0.02851093417230313</v>
      </c>
    </row>
    <row r="57" spans="1:4">
      <c r="A57" s="5" t="s">
        <v>23</v>
      </c>
      <c r="B57" s="5" t="s">
        <v>201</v>
      </c>
      <c r="C57" s="5" t="s">
        <v>117</v>
      </c>
      <c r="D57" s="6">
        <v>0.02569842676343182</v>
      </c>
    </row>
    <row r="58" spans="1:4">
      <c r="A58" s="5" t="s">
        <v>23</v>
      </c>
      <c r="B58" s="5" t="s">
        <v>201</v>
      </c>
      <c r="C58" s="5" t="s">
        <v>131</v>
      </c>
      <c r="D58" s="6">
        <v>0.01620254783901738</v>
      </c>
    </row>
    <row r="59" spans="1:4">
      <c r="A59" s="5" t="s">
        <v>23</v>
      </c>
      <c r="B59" s="5" t="s">
        <v>202</v>
      </c>
      <c r="C59" s="5" t="s">
        <v>125</v>
      </c>
      <c r="D59" s="6">
        <v>0.0007204100061012284</v>
      </c>
    </row>
    <row r="60" spans="1:4">
      <c r="A60" s="5" t="s">
        <v>23</v>
      </c>
      <c r="B60" s="5" t="s">
        <v>202</v>
      </c>
      <c r="C60" s="5" t="s">
        <v>123</v>
      </c>
      <c r="D60" s="6">
        <v>0.001159763772868689</v>
      </c>
    </row>
    <row r="61" spans="1:4">
      <c r="A61" s="5" t="s">
        <v>23</v>
      </c>
      <c r="B61" s="5" t="s">
        <v>202</v>
      </c>
      <c r="C61" s="5" t="s">
        <v>127</v>
      </c>
      <c r="D61" s="6">
        <v>0.00117139937089743</v>
      </c>
    </row>
    <row r="62" spans="1:4">
      <c r="A62" s="5" t="s">
        <v>23</v>
      </c>
      <c r="B62" s="5" t="s">
        <v>203</v>
      </c>
      <c r="C62" s="5" t="s">
        <v>129</v>
      </c>
      <c r="D62" s="6">
        <v>0.08020864270516194</v>
      </c>
    </row>
    <row r="63" spans="1:4">
      <c r="A63" s="5" t="s">
        <v>23</v>
      </c>
      <c r="B63" s="5" t="s">
        <v>203</v>
      </c>
      <c r="C63" s="5" t="s">
        <v>117</v>
      </c>
      <c r="D63" s="6">
        <v>0.05134599071101799</v>
      </c>
    </row>
    <row r="64" spans="1:4">
      <c r="A64" s="5" t="s">
        <v>23</v>
      </c>
      <c r="B64" s="5" t="s">
        <v>203</v>
      </c>
      <c r="C64" s="5" t="s">
        <v>133</v>
      </c>
      <c r="D64" s="6">
        <v>0.01712519132374616</v>
      </c>
    </row>
    <row r="65" spans="1:4">
      <c r="A65" s="5" t="s">
        <v>23</v>
      </c>
      <c r="B65" s="5" t="s">
        <v>204</v>
      </c>
      <c r="C65" s="5" t="s">
        <v>119</v>
      </c>
      <c r="D65" s="6">
        <v>-0.003123537560689497</v>
      </c>
    </row>
    <row r="66" spans="1:4">
      <c r="A66" s="5" t="s">
        <v>23</v>
      </c>
      <c r="B66" s="5" t="s">
        <v>204</v>
      </c>
      <c r="C66" s="5" t="s">
        <v>123</v>
      </c>
      <c r="D66" s="6">
        <v>-0.00305055908132623</v>
      </c>
    </row>
    <row r="67" spans="1:4">
      <c r="A67" s="5" t="s">
        <v>23</v>
      </c>
      <c r="B67" s="5" t="s">
        <v>204</v>
      </c>
      <c r="C67" s="5" t="s">
        <v>125</v>
      </c>
      <c r="D67" s="6">
        <v>-0.0009148070414869415</v>
      </c>
    </row>
    <row r="68" spans="1:4">
      <c r="A68" s="5" t="s">
        <v>23</v>
      </c>
      <c r="B68" s="5" t="s">
        <v>205</v>
      </c>
      <c r="C68" s="5" t="s">
        <v>117</v>
      </c>
      <c r="D68" s="6">
        <v>0.09195917204417238</v>
      </c>
    </row>
    <row r="69" spans="1:4">
      <c r="A69" s="5" t="s">
        <v>23</v>
      </c>
      <c r="B69" s="5" t="s">
        <v>205</v>
      </c>
      <c r="C69" s="5" t="s">
        <v>129</v>
      </c>
      <c r="D69" s="6">
        <v>0.01607301619134218</v>
      </c>
    </row>
    <row r="70" spans="1:4">
      <c r="A70" s="5" t="s">
        <v>23</v>
      </c>
      <c r="B70" s="5" t="s">
        <v>205</v>
      </c>
      <c r="C70" s="5" t="s">
        <v>121</v>
      </c>
      <c r="D70" s="6">
        <v>0.01298799655285477</v>
      </c>
    </row>
    <row r="71" spans="1:4">
      <c r="A71" s="5" t="s">
        <v>23</v>
      </c>
      <c r="B71" s="5" t="s">
        <v>206</v>
      </c>
      <c r="C71" s="5" t="s">
        <v>133</v>
      </c>
      <c r="D71" s="6">
        <v>-0.01196728872354171</v>
      </c>
    </row>
    <row r="72" spans="1:4">
      <c r="A72" s="5" t="s">
        <v>23</v>
      </c>
      <c r="B72" s="5" t="s">
        <v>206</v>
      </c>
      <c r="C72" s="5" t="s">
        <v>119</v>
      </c>
      <c r="D72" s="6">
        <v>-0.01167293239646072</v>
      </c>
    </row>
    <row r="73" spans="1:4">
      <c r="A73" s="5" t="s">
        <v>23</v>
      </c>
      <c r="B73" s="5" t="s">
        <v>206</v>
      </c>
      <c r="C73" s="5" t="s">
        <v>123</v>
      </c>
      <c r="D73" s="6">
        <v>-0.004965611265514413</v>
      </c>
    </row>
    <row r="74" spans="1:4">
      <c r="A74" s="5" t="s">
        <v>24</v>
      </c>
      <c r="B74" s="5" t="s">
        <v>199</v>
      </c>
      <c r="C74" s="5" t="s">
        <v>157</v>
      </c>
      <c r="D74" s="6">
        <v>-0.00114318692072772</v>
      </c>
    </row>
    <row r="75" spans="1:4">
      <c r="A75" s="5" t="s">
        <v>24</v>
      </c>
      <c r="B75" s="5" t="s">
        <v>199</v>
      </c>
      <c r="C75" s="5" t="s">
        <v>155</v>
      </c>
      <c r="D75" s="6">
        <v>-0.004931105606207032</v>
      </c>
    </row>
    <row r="76" spans="1:4">
      <c r="A76" s="5" t="s">
        <v>24</v>
      </c>
      <c r="B76" s="5" t="s">
        <v>199</v>
      </c>
      <c r="C76" s="5" t="s">
        <v>152</v>
      </c>
      <c r="D76" s="6">
        <v>-0.01001447109285853</v>
      </c>
    </row>
    <row r="77" spans="1:4">
      <c r="A77" s="5" t="s">
        <v>24</v>
      </c>
      <c r="B77" s="5" t="s">
        <v>200</v>
      </c>
      <c r="C77" s="5" t="s">
        <v>152</v>
      </c>
      <c r="D77" s="6">
        <v>-0.01001447109285853</v>
      </c>
    </row>
    <row r="78" spans="1:4">
      <c r="A78" s="5" t="s">
        <v>24</v>
      </c>
      <c r="B78" s="5" t="s">
        <v>200</v>
      </c>
      <c r="C78" s="5" t="s">
        <v>155</v>
      </c>
      <c r="D78" s="6">
        <v>-0.004931105606207032</v>
      </c>
    </row>
    <row r="79" spans="1:4">
      <c r="A79" s="5" t="s">
        <v>24</v>
      </c>
      <c r="B79" s="5" t="s">
        <v>200</v>
      </c>
      <c r="C79" s="5" t="s">
        <v>157</v>
      </c>
      <c r="D79" s="6">
        <v>-0.00114318692072772</v>
      </c>
    </row>
    <row r="80" spans="1:4">
      <c r="A80" s="5" t="s">
        <v>24</v>
      </c>
      <c r="B80" s="5" t="s">
        <v>201</v>
      </c>
      <c r="C80" s="5" t="s">
        <v>157</v>
      </c>
      <c r="D80" s="6">
        <v>0.01471461782214657</v>
      </c>
    </row>
    <row r="81" spans="1:4">
      <c r="A81" s="5" t="s">
        <v>24</v>
      </c>
      <c r="B81" s="5" t="s">
        <v>201</v>
      </c>
      <c r="C81" s="5" t="s">
        <v>152</v>
      </c>
      <c r="D81" s="6">
        <v>0.007858096261315057</v>
      </c>
    </row>
    <row r="82" spans="1:4">
      <c r="A82" s="5" t="s">
        <v>24</v>
      </c>
      <c r="B82" s="5" t="s">
        <v>201</v>
      </c>
      <c r="C82" s="5" t="s">
        <v>155</v>
      </c>
      <c r="D82" s="6">
        <v>0.005162810730442299</v>
      </c>
    </row>
    <row r="83" spans="1:4">
      <c r="A83" s="5" t="s">
        <v>24</v>
      </c>
      <c r="B83" s="5" t="s">
        <v>202</v>
      </c>
      <c r="C83" s="5" t="s">
        <v>155</v>
      </c>
      <c r="D83" s="6">
        <v>0.005162810730442299</v>
      </c>
    </row>
    <row r="84" spans="1:4">
      <c r="A84" s="5" t="s">
        <v>24</v>
      </c>
      <c r="B84" s="5" t="s">
        <v>202</v>
      </c>
      <c r="C84" s="5" t="s">
        <v>152</v>
      </c>
      <c r="D84" s="6">
        <v>0.007858096261315057</v>
      </c>
    </row>
    <row r="85" spans="1:4">
      <c r="A85" s="5" t="s">
        <v>24</v>
      </c>
      <c r="B85" s="5" t="s">
        <v>202</v>
      </c>
      <c r="C85" s="5" t="s">
        <v>157</v>
      </c>
      <c r="D85" s="6">
        <v>0.01471461782214657</v>
      </c>
    </row>
    <row r="86" spans="1:4">
      <c r="A86" s="5" t="s">
        <v>24</v>
      </c>
      <c r="B86" s="5" t="s">
        <v>203</v>
      </c>
      <c r="C86" s="5" t="s">
        <v>152</v>
      </c>
      <c r="D86" s="6">
        <v>0.05068901175207174</v>
      </c>
    </row>
    <row r="87" spans="1:4">
      <c r="A87" s="5" t="s">
        <v>24</v>
      </c>
      <c r="B87" s="5" t="s">
        <v>203</v>
      </c>
      <c r="C87" s="5" t="s">
        <v>157</v>
      </c>
      <c r="D87" s="6">
        <v>0.02111149609996853</v>
      </c>
    </row>
    <row r="88" spans="1:4">
      <c r="A88" s="5" t="s">
        <v>24</v>
      </c>
      <c r="B88" s="5" t="s">
        <v>203</v>
      </c>
      <c r="C88" s="5" t="s">
        <v>155</v>
      </c>
      <c r="D88" s="6">
        <v>-0.003456321062985875</v>
      </c>
    </row>
    <row r="89" spans="1:4">
      <c r="A89" s="5" t="s">
        <v>24</v>
      </c>
      <c r="B89" s="5" t="s">
        <v>204</v>
      </c>
      <c r="C89" s="5" t="s">
        <v>155</v>
      </c>
      <c r="D89" s="6">
        <v>-0.003456321062985875</v>
      </c>
    </row>
    <row r="90" spans="1:4">
      <c r="A90" s="5" t="s">
        <v>24</v>
      </c>
      <c r="B90" s="5" t="s">
        <v>204</v>
      </c>
      <c r="C90" s="5" t="s">
        <v>157</v>
      </c>
      <c r="D90" s="6">
        <v>0.02111149609996853</v>
      </c>
    </row>
    <row r="91" spans="1:4">
      <c r="A91" s="5" t="s">
        <v>24</v>
      </c>
      <c r="B91" s="5" t="s">
        <v>204</v>
      </c>
      <c r="C91" s="5" t="s">
        <v>152</v>
      </c>
      <c r="D91" s="6">
        <v>0.05068901175207174</v>
      </c>
    </row>
    <row r="92" spans="1:4">
      <c r="A92" s="5" t="s">
        <v>24</v>
      </c>
      <c r="B92" s="5" t="s">
        <v>205</v>
      </c>
      <c r="C92" s="5" t="s">
        <v>152</v>
      </c>
      <c r="D92" s="6">
        <v>0.09118106641142171</v>
      </c>
    </row>
    <row r="93" spans="1:4">
      <c r="A93" s="5" t="s">
        <v>24</v>
      </c>
      <c r="B93" s="5" t="s">
        <v>205</v>
      </c>
      <c r="C93" s="5" t="s">
        <v>157</v>
      </c>
      <c r="D93" s="6">
        <v>0.009800539351328104</v>
      </c>
    </row>
    <row r="94" spans="1:4">
      <c r="A94" s="5" t="s">
        <v>24</v>
      </c>
      <c r="B94" s="5" t="s">
        <v>205</v>
      </c>
      <c r="C94" s="5" t="s">
        <v>155</v>
      </c>
      <c r="D94" s="6">
        <v>-0.01833472678287735</v>
      </c>
    </row>
    <row r="95" spans="1:4">
      <c r="A95" s="5" t="s">
        <v>24</v>
      </c>
      <c r="B95" s="5" t="s">
        <v>206</v>
      </c>
      <c r="C95" s="5" t="s">
        <v>155</v>
      </c>
      <c r="D95" s="6">
        <v>-0.01833472678287735</v>
      </c>
    </row>
    <row r="96" spans="1:4">
      <c r="A96" s="5" t="s">
        <v>24</v>
      </c>
      <c r="B96" s="5" t="s">
        <v>206</v>
      </c>
      <c r="C96" s="5" t="s">
        <v>157</v>
      </c>
      <c r="D96" s="6">
        <v>0.009800539351328104</v>
      </c>
    </row>
    <row r="97" spans="1:4">
      <c r="A97" s="5" t="s">
        <v>24</v>
      </c>
      <c r="B97" s="5" t="s">
        <v>206</v>
      </c>
      <c r="C97" s="5" t="s">
        <v>152</v>
      </c>
      <c r="D97" s="6">
        <v>0.09118106641142171</v>
      </c>
    </row>
    <row r="98" spans="1:4">
      <c r="A98" s="5" t="s">
        <v>25</v>
      </c>
      <c r="B98" s="5" t="s">
        <v>199</v>
      </c>
      <c r="C98" s="5" t="s">
        <v>75</v>
      </c>
      <c r="D98" s="6">
        <v>0.003119905547319035</v>
      </c>
    </row>
    <row r="99" spans="1:4">
      <c r="A99" s="5" t="s">
        <v>25</v>
      </c>
      <c r="B99" s="5" t="s">
        <v>199</v>
      </c>
      <c r="C99" s="5" t="s">
        <v>65</v>
      </c>
      <c r="D99" s="6">
        <v>0.002517102727958501</v>
      </c>
    </row>
    <row r="100" spans="1:4">
      <c r="A100" s="5" t="s">
        <v>25</v>
      </c>
      <c r="B100" s="5" t="s">
        <v>199</v>
      </c>
      <c r="C100" s="5" t="s">
        <v>69</v>
      </c>
      <c r="D100" s="6">
        <v>0.0009393530368230384</v>
      </c>
    </row>
    <row r="101" spans="1:4">
      <c r="A101" s="5" t="s">
        <v>25</v>
      </c>
      <c r="B101" s="5" t="s">
        <v>200</v>
      </c>
      <c r="C101" s="5" t="s">
        <v>77</v>
      </c>
      <c r="D101" s="6">
        <v>-0.004985285638472571</v>
      </c>
    </row>
    <row r="102" spans="1:4">
      <c r="A102" s="5" t="s">
        <v>25</v>
      </c>
      <c r="B102" s="5" t="s">
        <v>200</v>
      </c>
      <c r="C102" s="5" t="s">
        <v>67</v>
      </c>
      <c r="D102" s="6">
        <v>-0.001996950455824725</v>
      </c>
    </row>
    <row r="103" spans="1:4">
      <c r="A103" s="5" t="s">
        <v>25</v>
      </c>
      <c r="B103" s="5" t="s">
        <v>200</v>
      </c>
      <c r="C103" s="5" t="s">
        <v>71</v>
      </c>
      <c r="D103" s="6">
        <v>-7.278788214407868E-05</v>
      </c>
    </row>
    <row r="104" spans="1:4">
      <c r="A104" s="5" t="s">
        <v>25</v>
      </c>
      <c r="B104" s="5" t="s">
        <v>201</v>
      </c>
      <c r="C104" s="5" t="s">
        <v>65</v>
      </c>
      <c r="D104" s="6">
        <v>0.01077875515560771</v>
      </c>
    </row>
    <row r="105" spans="1:4">
      <c r="A105" s="5" t="s">
        <v>25</v>
      </c>
      <c r="B105" s="5" t="s">
        <v>201</v>
      </c>
      <c r="C105" s="5" t="s">
        <v>69</v>
      </c>
      <c r="D105" s="6">
        <v>0.008822716747721717</v>
      </c>
    </row>
    <row r="106" spans="1:4">
      <c r="A106" s="5" t="s">
        <v>25</v>
      </c>
      <c r="B106" s="5" t="s">
        <v>201</v>
      </c>
      <c r="C106" s="5" t="s">
        <v>75</v>
      </c>
      <c r="D106" s="6">
        <v>0.008348504580349383</v>
      </c>
    </row>
    <row r="107" spans="1:4">
      <c r="A107" s="5" t="s">
        <v>25</v>
      </c>
      <c r="B107" s="5" t="s">
        <v>202</v>
      </c>
      <c r="C107" s="5" t="s">
        <v>77</v>
      </c>
      <c r="D107" s="6">
        <v>-0.001838885457543282</v>
      </c>
    </row>
    <row r="108" spans="1:4">
      <c r="A108" s="5" t="s">
        <v>25</v>
      </c>
      <c r="B108" s="5" t="s">
        <v>202</v>
      </c>
      <c r="C108" s="5" t="s">
        <v>67</v>
      </c>
      <c r="D108" s="6">
        <v>-0.001402995412254425</v>
      </c>
    </row>
    <row r="109" spans="1:4">
      <c r="A109" s="5" t="s">
        <v>25</v>
      </c>
      <c r="B109" s="5" t="s">
        <v>202</v>
      </c>
      <c r="C109" s="5" t="s">
        <v>71</v>
      </c>
      <c r="D109" s="6">
        <v>-7.909871158484721E-05</v>
      </c>
    </row>
    <row r="110" spans="1:4">
      <c r="A110" s="5" t="s">
        <v>25</v>
      </c>
      <c r="B110" s="5" t="s">
        <v>203</v>
      </c>
      <c r="C110" s="5" t="s">
        <v>75</v>
      </c>
      <c r="D110" s="6">
        <v>0.01694981912593006</v>
      </c>
    </row>
    <row r="111" spans="1:4">
      <c r="A111" s="5" t="s">
        <v>25</v>
      </c>
      <c r="B111" s="5" t="s">
        <v>203</v>
      </c>
      <c r="C111" s="5" t="s">
        <v>65</v>
      </c>
      <c r="D111" s="6">
        <v>0.006155176300007977</v>
      </c>
    </row>
    <row r="112" spans="1:4">
      <c r="A112" s="5" t="s">
        <v>25</v>
      </c>
      <c r="B112" s="5" t="s">
        <v>203</v>
      </c>
      <c r="C112" s="5" t="s">
        <v>69</v>
      </c>
      <c r="D112" s="6">
        <v>0.002313329470824958</v>
      </c>
    </row>
    <row r="113" spans="1:4">
      <c r="A113" s="5" t="s">
        <v>25</v>
      </c>
      <c r="B113" s="5" t="s">
        <v>204</v>
      </c>
      <c r="C113" s="5" t="s">
        <v>67</v>
      </c>
      <c r="D113" s="6">
        <v>-0.03012924497308084</v>
      </c>
    </row>
    <row r="114" spans="1:4">
      <c r="A114" s="5" t="s">
        <v>25</v>
      </c>
      <c r="B114" s="5" t="s">
        <v>204</v>
      </c>
      <c r="C114" s="5" t="s">
        <v>71</v>
      </c>
      <c r="D114" s="6">
        <v>-0.0009712162154754513</v>
      </c>
    </row>
    <row r="115" spans="1:4">
      <c r="A115" s="5" t="s">
        <v>25</v>
      </c>
      <c r="B115" s="5" t="s">
        <v>204</v>
      </c>
      <c r="C115" s="5" t="s">
        <v>77</v>
      </c>
      <c r="D115" s="6">
        <v>-0.0007012389572785919</v>
      </c>
    </row>
    <row r="116" spans="1:4">
      <c r="A116" s="5" t="s">
        <v>25</v>
      </c>
      <c r="B116" s="5" t="s">
        <v>205</v>
      </c>
      <c r="C116" s="5" t="s">
        <v>77</v>
      </c>
      <c r="D116" s="6">
        <v>0.03908004421080818</v>
      </c>
    </row>
    <row r="117" spans="1:4">
      <c r="A117" s="5" t="s">
        <v>25</v>
      </c>
      <c r="B117" s="5" t="s">
        <v>205</v>
      </c>
      <c r="C117" s="5" t="s">
        <v>75</v>
      </c>
      <c r="D117" s="6">
        <v>0.01080927455503392</v>
      </c>
    </row>
    <row r="118" spans="1:4">
      <c r="A118" s="5" t="s">
        <v>25</v>
      </c>
      <c r="B118" s="5" t="s">
        <v>205</v>
      </c>
      <c r="C118" s="5" t="s">
        <v>65</v>
      </c>
      <c r="D118" s="6">
        <v>0.007755069543522935</v>
      </c>
    </row>
    <row r="119" spans="1:4">
      <c r="A119" s="5" t="s">
        <v>25</v>
      </c>
      <c r="B119" s="5" t="s">
        <v>206</v>
      </c>
      <c r="C119" s="5" t="s">
        <v>67</v>
      </c>
      <c r="D119" s="6">
        <v>-0.0137875486647648</v>
      </c>
    </row>
    <row r="120" spans="1:4">
      <c r="A120" s="5" t="s">
        <v>25</v>
      </c>
      <c r="B120" s="5" t="s">
        <v>206</v>
      </c>
      <c r="C120" s="5" t="s">
        <v>73</v>
      </c>
      <c r="D120" s="6">
        <v>-0.002908437181928043</v>
      </c>
    </row>
    <row r="121" spans="1:4">
      <c r="A121" s="5" t="s">
        <v>25</v>
      </c>
      <c r="B121" s="5" t="s">
        <v>206</v>
      </c>
      <c r="C121" s="5" t="s">
        <v>71</v>
      </c>
      <c r="D121" s="6">
        <v>-0.001682262687062106</v>
      </c>
    </row>
    <row r="122" spans="1:4">
      <c r="A122" s="5" t="s">
        <v>26</v>
      </c>
      <c r="B122" s="5" t="s">
        <v>199</v>
      </c>
      <c r="C122" s="5" t="s">
        <v>145</v>
      </c>
      <c r="D122" s="6">
        <v>0.0003674582317888321</v>
      </c>
    </row>
    <row r="123" spans="1:4">
      <c r="A123" s="5" t="s">
        <v>26</v>
      </c>
      <c r="B123" s="5" t="s">
        <v>199</v>
      </c>
      <c r="C123" s="5" t="s">
        <v>137</v>
      </c>
      <c r="D123" s="6">
        <v>0.0001372788447148564</v>
      </c>
    </row>
    <row r="124" spans="1:4">
      <c r="A124" s="5" t="s">
        <v>26</v>
      </c>
      <c r="B124" s="5" t="s">
        <v>199</v>
      </c>
      <c r="C124" s="5" t="s">
        <v>143</v>
      </c>
      <c r="D124" s="6">
        <v>-5.897809618538322E-06</v>
      </c>
    </row>
    <row r="125" spans="1:4">
      <c r="A125" s="5" t="s">
        <v>26</v>
      </c>
      <c r="B125" s="5" t="s">
        <v>200</v>
      </c>
      <c r="C125" s="5" t="s">
        <v>135</v>
      </c>
      <c r="D125" s="6">
        <v>-0.001945682744261467</v>
      </c>
    </row>
    <row r="126" spans="1:4">
      <c r="A126" s="5" t="s">
        <v>26</v>
      </c>
      <c r="B126" s="5" t="s">
        <v>200</v>
      </c>
      <c r="C126" s="5" t="s">
        <v>149</v>
      </c>
      <c r="D126" s="6">
        <v>-0.0002094239047406891</v>
      </c>
    </row>
    <row r="127" spans="1:4">
      <c r="A127" s="5" t="s">
        <v>26</v>
      </c>
      <c r="B127" s="5" t="s">
        <v>200</v>
      </c>
      <c r="C127" s="5" t="s">
        <v>139</v>
      </c>
      <c r="D127" s="6">
        <v>-0.0001899021453488779</v>
      </c>
    </row>
    <row r="128" spans="1:4">
      <c r="A128" s="5" t="s">
        <v>26</v>
      </c>
      <c r="B128" s="5" t="s">
        <v>201</v>
      </c>
      <c r="C128" s="5" t="s">
        <v>149</v>
      </c>
      <c r="D128" s="6">
        <v>0.006387742206523489</v>
      </c>
    </row>
    <row r="129" spans="1:4">
      <c r="A129" s="5" t="s">
        <v>26</v>
      </c>
      <c r="B129" s="5" t="s">
        <v>201</v>
      </c>
      <c r="C129" s="5" t="s">
        <v>145</v>
      </c>
      <c r="D129" s="6">
        <v>0.001012630837174076</v>
      </c>
    </row>
    <row r="130" spans="1:4">
      <c r="A130" s="5" t="s">
        <v>26</v>
      </c>
      <c r="B130" s="5" t="s">
        <v>201</v>
      </c>
      <c r="C130" s="5" t="s">
        <v>137</v>
      </c>
      <c r="D130" s="6">
        <v>0.0006792115165396913</v>
      </c>
    </row>
    <row r="131" spans="1:4">
      <c r="A131" s="5" t="s">
        <v>26</v>
      </c>
      <c r="B131" s="5" t="s">
        <v>202</v>
      </c>
      <c r="C131" s="5" t="s">
        <v>135</v>
      </c>
      <c r="D131" s="6">
        <v>-0.02102477368001176</v>
      </c>
    </row>
    <row r="132" spans="1:4">
      <c r="A132" s="5" t="s">
        <v>26</v>
      </c>
      <c r="B132" s="5" t="s">
        <v>202</v>
      </c>
      <c r="C132" s="5" t="s">
        <v>139</v>
      </c>
      <c r="D132" s="6">
        <v>-0.0002065713916242689</v>
      </c>
    </row>
    <row r="133" spans="1:4">
      <c r="A133" s="5" t="s">
        <v>26</v>
      </c>
      <c r="B133" s="5" t="s">
        <v>202</v>
      </c>
      <c r="C133" s="5" t="s">
        <v>141</v>
      </c>
      <c r="D133" s="6">
        <v>-0.0001958471137356098</v>
      </c>
    </row>
    <row r="134" spans="1:4">
      <c r="A134" s="5" t="s">
        <v>26</v>
      </c>
      <c r="B134" s="5" t="s">
        <v>203</v>
      </c>
      <c r="C134" s="5" t="s">
        <v>149</v>
      </c>
      <c r="D134" s="6">
        <v>0.02411827705853913</v>
      </c>
    </row>
    <row r="135" spans="1:4">
      <c r="A135" s="5" t="s">
        <v>26</v>
      </c>
      <c r="B135" s="5" t="s">
        <v>203</v>
      </c>
      <c r="C135" s="5" t="s">
        <v>135</v>
      </c>
      <c r="D135" s="6">
        <v>0.004566207400748082</v>
      </c>
    </row>
    <row r="136" spans="1:4">
      <c r="A136" s="5" t="s">
        <v>26</v>
      </c>
      <c r="B136" s="5" t="s">
        <v>203</v>
      </c>
      <c r="C136" s="5" t="s">
        <v>145</v>
      </c>
      <c r="D136" s="6">
        <v>0.001395813930674291</v>
      </c>
    </row>
    <row r="137" spans="1:4">
      <c r="A137" s="5" t="s">
        <v>26</v>
      </c>
      <c r="B137" s="5" t="s">
        <v>204</v>
      </c>
      <c r="C137" s="5" t="s">
        <v>137</v>
      </c>
      <c r="D137" s="6">
        <v>-0.001884899675987334</v>
      </c>
    </row>
    <row r="138" spans="1:4">
      <c r="A138" s="5" t="s">
        <v>26</v>
      </c>
      <c r="B138" s="5" t="s">
        <v>204</v>
      </c>
      <c r="C138" s="5" t="s">
        <v>139</v>
      </c>
      <c r="D138" s="6">
        <v>-0.001024413744593899</v>
      </c>
    </row>
    <row r="139" spans="1:4">
      <c r="A139" s="5" t="s">
        <v>26</v>
      </c>
      <c r="B139" s="5" t="s">
        <v>204</v>
      </c>
      <c r="C139" s="5" t="s">
        <v>141</v>
      </c>
      <c r="D139" s="6">
        <v>-0.0006441263484637682</v>
      </c>
    </row>
    <row r="140" spans="1:4">
      <c r="A140" s="5" t="s">
        <v>26</v>
      </c>
      <c r="B140" s="5" t="s">
        <v>205</v>
      </c>
      <c r="C140" s="5" t="s">
        <v>135</v>
      </c>
      <c r="D140" s="6">
        <v>0.05707352724690053</v>
      </c>
    </row>
    <row r="141" spans="1:4">
      <c r="A141" s="5" t="s">
        <v>26</v>
      </c>
      <c r="B141" s="5" t="s">
        <v>205</v>
      </c>
      <c r="C141" s="5" t="s">
        <v>139</v>
      </c>
      <c r="D141" s="6">
        <v>0.0004736704617318863</v>
      </c>
    </row>
    <row r="142" spans="1:4">
      <c r="A142" s="5" t="s">
        <v>26</v>
      </c>
      <c r="B142" s="5" t="s">
        <v>205</v>
      </c>
      <c r="C142" s="5" t="s">
        <v>147</v>
      </c>
      <c r="D142" s="6">
        <v>-0.0005998470001652859</v>
      </c>
    </row>
    <row r="143" spans="1:4">
      <c r="A143" s="5" t="s">
        <v>26</v>
      </c>
      <c r="B143" s="5" t="s">
        <v>206</v>
      </c>
      <c r="C143" s="5" t="s">
        <v>149</v>
      </c>
      <c r="D143" s="6">
        <v>-0.01699632802931346</v>
      </c>
    </row>
    <row r="144" spans="1:4">
      <c r="A144" s="5" t="s">
        <v>26</v>
      </c>
      <c r="B144" s="5" t="s">
        <v>206</v>
      </c>
      <c r="C144" s="5" t="s">
        <v>145</v>
      </c>
      <c r="D144" s="6">
        <v>-0.004794603958465109</v>
      </c>
    </row>
    <row r="145" spans="1:4">
      <c r="A145" s="5" t="s">
        <v>26</v>
      </c>
      <c r="B145" s="5" t="s">
        <v>206</v>
      </c>
      <c r="C145" s="5" t="s">
        <v>137</v>
      </c>
      <c r="D145" s="6">
        <v>-0.003019726506105661</v>
      </c>
    </row>
    <row r="146" spans="1:4">
      <c r="A146" s="5" t="s">
        <v>27</v>
      </c>
      <c r="B146" s="5" t="s">
        <v>199</v>
      </c>
      <c r="C146" s="5" t="s">
        <v>191</v>
      </c>
      <c r="D146" s="6">
        <v>0.007996708937575054</v>
      </c>
    </row>
    <row r="147" spans="1:4">
      <c r="A147" s="5" t="s">
        <v>27</v>
      </c>
      <c r="B147" s="5" t="s">
        <v>199</v>
      </c>
      <c r="C147" s="5" t="s">
        <v>189</v>
      </c>
      <c r="D147" s="6">
        <v>0.0005773571974481374</v>
      </c>
    </row>
    <row r="148" spans="1:4">
      <c r="A148" s="5" t="s">
        <v>27</v>
      </c>
      <c r="B148" s="5" t="s">
        <v>199</v>
      </c>
      <c r="C148" s="5" t="s">
        <v>195</v>
      </c>
      <c r="D148" s="6">
        <v>-0.0002001304015381549</v>
      </c>
    </row>
    <row r="149" spans="1:4">
      <c r="A149" s="5" t="s">
        <v>27</v>
      </c>
      <c r="B149" s="5" t="s">
        <v>200</v>
      </c>
      <c r="C149" s="5" t="s">
        <v>187</v>
      </c>
      <c r="D149" s="6">
        <v>-0.007329595214550364</v>
      </c>
    </row>
    <row r="150" spans="1:4">
      <c r="A150" s="5" t="s">
        <v>27</v>
      </c>
      <c r="B150" s="5" t="s">
        <v>200</v>
      </c>
      <c r="C150" s="5" t="s">
        <v>185</v>
      </c>
      <c r="D150" s="6">
        <v>-0.003848147916931785</v>
      </c>
    </row>
    <row r="151" spans="1:4">
      <c r="A151" s="5" t="s">
        <v>27</v>
      </c>
      <c r="B151" s="5" t="s">
        <v>200</v>
      </c>
      <c r="C151" s="5" t="s">
        <v>193</v>
      </c>
      <c r="D151" s="6">
        <v>-0.001333273622536971</v>
      </c>
    </row>
    <row r="152" spans="1:4">
      <c r="A152" s="5" t="s">
        <v>27</v>
      </c>
      <c r="B152" s="5" t="s">
        <v>201</v>
      </c>
      <c r="C152" s="5" t="s">
        <v>191</v>
      </c>
      <c r="D152" s="6">
        <v>0.01221262659456405</v>
      </c>
    </row>
    <row r="153" spans="1:4">
      <c r="A153" s="5" t="s">
        <v>27</v>
      </c>
      <c r="B153" s="5" t="s">
        <v>201</v>
      </c>
      <c r="C153" s="5" t="s">
        <v>195</v>
      </c>
      <c r="D153" s="6">
        <v>0.00360428181531874</v>
      </c>
    </row>
    <row r="154" spans="1:4">
      <c r="A154" s="5" t="s">
        <v>27</v>
      </c>
      <c r="B154" s="5" t="s">
        <v>201</v>
      </c>
      <c r="C154" s="5" t="s">
        <v>189</v>
      </c>
      <c r="D154" s="6">
        <v>0.0006117088996873451</v>
      </c>
    </row>
    <row r="155" spans="1:4">
      <c r="A155" s="5" t="s">
        <v>27</v>
      </c>
      <c r="B155" s="5" t="s">
        <v>202</v>
      </c>
      <c r="C155" s="5" t="s">
        <v>187</v>
      </c>
      <c r="D155" s="6">
        <v>-0.006204964581942883</v>
      </c>
    </row>
    <row r="156" spans="1:4">
      <c r="A156" s="5" t="s">
        <v>27</v>
      </c>
      <c r="B156" s="5" t="s">
        <v>202</v>
      </c>
      <c r="C156" s="5" t="s">
        <v>193</v>
      </c>
      <c r="D156" s="6">
        <v>-0.003024990539287842</v>
      </c>
    </row>
    <row r="157" spans="1:4">
      <c r="A157" s="5" t="s">
        <v>27</v>
      </c>
      <c r="B157" s="5" t="s">
        <v>202</v>
      </c>
      <c r="C157" s="5" t="s">
        <v>185</v>
      </c>
      <c r="D157" s="6">
        <v>-0.002192796740066674</v>
      </c>
    </row>
    <row r="158" spans="1:4">
      <c r="A158" s="5" t="s">
        <v>27</v>
      </c>
      <c r="B158" s="5" t="s">
        <v>203</v>
      </c>
      <c r="C158" s="5" t="s">
        <v>191</v>
      </c>
      <c r="D158" s="6">
        <v>0.0119253748444794</v>
      </c>
    </row>
    <row r="159" spans="1:4">
      <c r="A159" s="5" t="s">
        <v>27</v>
      </c>
      <c r="B159" s="5" t="s">
        <v>203</v>
      </c>
      <c r="C159" s="5" t="s">
        <v>195</v>
      </c>
      <c r="D159" s="6">
        <v>0.003198603675508485</v>
      </c>
    </row>
    <row r="160" spans="1:4">
      <c r="A160" s="5" t="s">
        <v>27</v>
      </c>
      <c r="B160" s="5" t="s">
        <v>203</v>
      </c>
      <c r="C160" s="5" t="s">
        <v>189</v>
      </c>
      <c r="D160" s="6">
        <v>0.0001904765234170415</v>
      </c>
    </row>
    <row r="161" spans="1:4">
      <c r="A161" s="5" t="s">
        <v>27</v>
      </c>
      <c r="B161" s="5" t="s">
        <v>204</v>
      </c>
      <c r="C161" s="5" t="s">
        <v>187</v>
      </c>
      <c r="D161" s="6">
        <v>-0.02195884435182804</v>
      </c>
    </row>
    <row r="162" spans="1:4">
      <c r="A162" s="5" t="s">
        <v>27</v>
      </c>
      <c r="B162" s="5" t="s">
        <v>204</v>
      </c>
      <c r="C162" s="5" t="s">
        <v>185</v>
      </c>
      <c r="D162" s="6">
        <v>-0.01810167629951649</v>
      </c>
    </row>
    <row r="163" spans="1:4">
      <c r="A163" s="5" t="s">
        <v>27</v>
      </c>
      <c r="B163" s="5" t="s">
        <v>204</v>
      </c>
      <c r="C163" s="5" t="s">
        <v>193</v>
      </c>
      <c r="D163" s="6">
        <v>-0.004706968535394345</v>
      </c>
    </row>
    <row r="164" spans="1:4">
      <c r="A164" s="5" t="s">
        <v>27</v>
      </c>
      <c r="B164" s="5" t="s">
        <v>205</v>
      </c>
      <c r="C164" s="5" t="s">
        <v>193</v>
      </c>
      <c r="D164" s="6">
        <v>0.05293331477769487</v>
      </c>
    </row>
    <row r="165" spans="1:4">
      <c r="A165" s="5" t="s">
        <v>27</v>
      </c>
      <c r="B165" s="5" t="s">
        <v>205</v>
      </c>
      <c r="C165" s="5" t="s">
        <v>191</v>
      </c>
      <c r="D165" s="6">
        <v>0.01416473390375803</v>
      </c>
    </row>
    <row r="166" spans="1:4">
      <c r="A166" s="5" t="s">
        <v>27</v>
      </c>
      <c r="B166" s="5" t="s">
        <v>205</v>
      </c>
      <c r="C166" s="5" t="s">
        <v>185</v>
      </c>
      <c r="D166" s="6">
        <v>0.007131891584446262</v>
      </c>
    </row>
    <row r="167" spans="1:4">
      <c r="A167" s="5" t="s">
        <v>27</v>
      </c>
      <c r="B167" s="5" t="s">
        <v>206</v>
      </c>
      <c r="C167" s="5" t="s">
        <v>187</v>
      </c>
      <c r="D167" s="6">
        <v>-0.0329570022206807</v>
      </c>
    </row>
    <row r="168" spans="1:4">
      <c r="A168" s="5" t="s">
        <v>27</v>
      </c>
      <c r="B168" s="5" t="s">
        <v>206</v>
      </c>
      <c r="C168" s="5" t="s">
        <v>195</v>
      </c>
      <c r="D168" s="6">
        <v>-0.01026095547201958</v>
      </c>
    </row>
    <row r="169" spans="1:4">
      <c r="A169" s="5" t="s">
        <v>27</v>
      </c>
      <c r="B169" s="5" t="s">
        <v>206</v>
      </c>
      <c r="C169" s="5" t="s">
        <v>189</v>
      </c>
      <c r="D169" s="6">
        <v>-0.002850040769224809</v>
      </c>
    </row>
    <row r="170" spans="1:4">
      <c r="A170" s="5" t="s">
        <v>28</v>
      </c>
      <c r="B170" s="5" t="s">
        <v>199</v>
      </c>
      <c r="C170" s="5" t="s">
        <v>96</v>
      </c>
      <c r="D170" s="6">
        <v>0.001770713101843826</v>
      </c>
    </row>
    <row r="171" spans="1:4">
      <c r="A171" s="5" t="s">
        <v>28</v>
      </c>
      <c r="B171" s="5" t="s">
        <v>199</v>
      </c>
      <c r="C171" s="5" t="s">
        <v>94</v>
      </c>
      <c r="D171" s="6">
        <v>0.0008428749964306342</v>
      </c>
    </row>
    <row r="172" spans="1:4">
      <c r="A172" s="5" t="s">
        <v>28</v>
      </c>
      <c r="B172" s="5" t="s">
        <v>199</v>
      </c>
      <c r="C172" s="5" t="s">
        <v>98</v>
      </c>
      <c r="D172" s="6">
        <v>0.0007703855297977699</v>
      </c>
    </row>
    <row r="173" spans="1:4">
      <c r="A173" s="5" t="s">
        <v>28</v>
      </c>
      <c r="B173" s="5" t="s">
        <v>200</v>
      </c>
      <c r="C173" s="5" t="s">
        <v>86</v>
      </c>
      <c r="D173" s="6">
        <v>-0.002105222950522487</v>
      </c>
    </row>
    <row r="174" spans="1:4">
      <c r="A174" s="5" t="s">
        <v>28</v>
      </c>
      <c r="B174" s="5" t="s">
        <v>200</v>
      </c>
      <c r="C174" s="5" t="s">
        <v>88</v>
      </c>
      <c r="D174" s="6">
        <v>-0.0008516215190847234</v>
      </c>
    </row>
    <row r="175" spans="1:4">
      <c r="A175" s="5" t="s">
        <v>28</v>
      </c>
      <c r="B175" s="5" t="s">
        <v>200</v>
      </c>
      <c r="C175" s="5" t="s">
        <v>90</v>
      </c>
      <c r="D175" s="6">
        <v>-0.0003836244504392032</v>
      </c>
    </row>
    <row r="176" spans="1:4">
      <c r="A176" s="5" t="s">
        <v>28</v>
      </c>
      <c r="B176" s="5" t="s">
        <v>201</v>
      </c>
      <c r="C176" s="5" t="s">
        <v>96</v>
      </c>
      <c r="D176" s="6">
        <v>0.01793379167034598</v>
      </c>
    </row>
    <row r="177" spans="1:4">
      <c r="A177" s="5" t="s">
        <v>28</v>
      </c>
      <c r="B177" s="5" t="s">
        <v>201</v>
      </c>
      <c r="C177" s="5" t="s">
        <v>98</v>
      </c>
      <c r="D177" s="6">
        <v>0.00908813942783239</v>
      </c>
    </row>
    <row r="178" spans="1:4">
      <c r="A178" s="5" t="s">
        <v>28</v>
      </c>
      <c r="B178" s="5" t="s">
        <v>201</v>
      </c>
      <c r="C178" s="5" t="s">
        <v>86</v>
      </c>
      <c r="D178" s="6">
        <v>0.007371291654601279</v>
      </c>
    </row>
    <row r="179" spans="1:4">
      <c r="A179" s="5" t="s">
        <v>28</v>
      </c>
      <c r="B179" s="5" t="s">
        <v>202</v>
      </c>
      <c r="C179" s="5" t="s">
        <v>90</v>
      </c>
      <c r="D179" s="6">
        <v>-0.001957451916002087</v>
      </c>
    </row>
    <row r="180" spans="1:4">
      <c r="A180" s="5" t="s">
        <v>28</v>
      </c>
      <c r="B180" s="5" t="s">
        <v>202</v>
      </c>
      <c r="C180" s="5" t="s">
        <v>94</v>
      </c>
      <c r="D180" s="6">
        <v>-8.434258087033572E-05</v>
      </c>
    </row>
    <row r="181" spans="1:4">
      <c r="A181" s="5" t="s">
        <v>28</v>
      </c>
      <c r="B181" s="5" t="s">
        <v>202</v>
      </c>
      <c r="C181" s="5" t="s">
        <v>88</v>
      </c>
      <c r="D181" s="6">
        <v>0.002743206773710555</v>
      </c>
    </row>
    <row r="182" spans="1:4">
      <c r="A182" s="5" t="s">
        <v>28</v>
      </c>
      <c r="B182" s="5" t="s">
        <v>203</v>
      </c>
      <c r="C182" s="5" t="s">
        <v>98</v>
      </c>
      <c r="D182" s="6">
        <v>0.006054620873144879</v>
      </c>
    </row>
    <row r="183" spans="1:4">
      <c r="A183" s="5" t="s">
        <v>28</v>
      </c>
      <c r="B183" s="5" t="s">
        <v>203</v>
      </c>
      <c r="C183" s="5" t="s">
        <v>86</v>
      </c>
      <c r="D183" s="6">
        <v>0.004231631538615315</v>
      </c>
    </row>
    <row r="184" spans="1:4">
      <c r="A184" s="5" t="s">
        <v>28</v>
      </c>
      <c r="B184" s="5" t="s">
        <v>203</v>
      </c>
      <c r="C184" s="5" t="s">
        <v>96</v>
      </c>
      <c r="D184" s="6">
        <v>0.00188604205448548</v>
      </c>
    </row>
    <row r="185" spans="1:4">
      <c r="A185" s="5" t="s">
        <v>28</v>
      </c>
      <c r="B185" s="5" t="s">
        <v>204</v>
      </c>
      <c r="C185" s="5" t="s">
        <v>94</v>
      </c>
      <c r="D185" s="6">
        <v>-0.03725135805495029</v>
      </c>
    </row>
    <row r="186" spans="1:4">
      <c r="A186" s="5" t="s">
        <v>28</v>
      </c>
      <c r="B186" s="5" t="s">
        <v>204</v>
      </c>
      <c r="C186" s="5" t="s">
        <v>92</v>
      </c>
      <c r="D186" s="6">
        <v>-0.01165659102768213</v>
      </c>
    </row>
    <row r="187" spans="1:4">
      <c r="A187" s="5" t="s">
        <v>28</v>
      </c>
      <c r="B187" s="5" t="s">
        <v>204</v>
      </c>
      <c r="C187" s="5" t="s">
        <v>90</v>
      </c>
      <c r="D187" s="6">
        <v>-0.008293539945206867</v>
      </c>
    </row>
    <row r="188" spans="1:4">
      <c r="A188" s="5" t="s">
        <v>28</v>
      </c>
      <c r="B188" s="5" t="s">
        <v>205</v>
      </c>
      <c r="C188" s="5" t="s">
        <v>86</v>
      </c>
      <c r="D188" s="6">
        <v>0.04275612964391881</v>
      </c>
    </row>
    <row r="189" spans="1:4">
      <c r="A189" s="5" t="s">
        <v>28</v>
      </c>
      <c r="B189" s="5" t="s">
        <v>205</v>
      </c>
      <c r="C189" s="5" t="s">
        <v>98</v>
      </c>
      <c r="D189" s="6">
        <v>0.01083502475385516</v>
      </c>
    </row>
    <row r="190" spans="1:4">
      <c r="A190" s="5" t="s">
        <v>28</v>
      </c>
      <c r="B190" s="5" t="s">
        <v>205</v>
      </c>
      <c r="C190" s="5" t="s">
        <v>88</v>
      </c>
      <c r="D190" s="6">
        <v>0.008821710612144642</v>
      </c>
    </row>
    <row r="191" spans="1:4">
      <c r="A191" s="5" t="s">
        <v>28</v>
      </c>
      <c r="B191" s="5" t="s">
        <v>206</v>
      </c>
      <c r="C191" s="5" t="s">
        <v>94</v>
      </c>
      <c r="D191" s="6">
        <v>-0.03587869383971075</v>
      </c>
    </row>
    <row r="192" spans="1:4">
      <c r="A192" s="5" t="s">
        <v>28</v>
      </c>
      <c r="B192" s="5" t="s">
        <v>206</v>
      </c>
      <c r="C192" s="5" t="s">
        <v>90</v>
      </c>
      <c r="D192" s="6">
        <v>-0.01194708300731381</v>
      </c>
    </row>
    <row r="193" spans="1:4">
      <c r="A193" s="5" t="s">
        <v>28</v>
      </c>
      <c r="B193" s="5" t="s">
        <v>206</v>
      </c>
      <c r="C193" s="5" t="s">
        <v>92</v>
      </c>
      <c r="D193" s="6">
        <v>-0.008547645154775982</v>
      </c>
    </row>
    <row r="194" spans="1:4">
      <c r="A194" s="5" t="s">
        <v>29</v>
      </c>
      <c r="B194" s="5" t="s">
        <v>199</v>
      </c>
      <c r="C194" s="5" t="s">
        <v>169</v>
      </c>
      <c r="D194" s="6">
        <v>-0.0005066643204669746</v>
      </c>
    </row>
    <row r="195" spans="1:4">
      <c r="A195" s="5" t="s">
        <v>29</v>
      </c>
      <c r="B195" s="5" t="s">
        <v>199</v>
      </c>
      <c r="C195" s="5" t="s">
        <v>165</v>
      </c>
      <c r="D195" s="6">
        <v>-0.0006501963597470296</v>
      </c>
    </row>
    <row r="196" spans="1:4">
      <c r="A196" s="5" t="s">
        <v>29</v>
      </c>
      <c r="B196" s="5" t="s">
        <v>199</v>
      </c>
      <c r="C196" s="5" t="s">
        <v>167</v>
      </c>
      <c r="D196" s="6">
        <v>-0.001105253801300627</v>
      </c>
    </row>
    <row r="197" spans="1:4">
      <c r="A197" s="5" t="s">
        <v>29</v>
      </c>
      <c r="B197" s="5" t="s">
        <v>200</v>
      </c>
      <c r="C197" s="5" t="s">
        <v>171</v>
      </c>
      <c r="D197" s="6">
        <v>-0.01353560118753673</v>
      </c>
    </row>
    <row r="198" spans="1:4">
      <c r="A198" s="5" t="s">
        <v>29</v>
      </c>
      <c r="B198" s="5" t="s">
        <v>200</v>
      </c>
      <c r="C198" s="5" t="s">
        <v>163</v>
      </c>
      <c r="D198" s="6">
        <v>-0.006793352271799355</v>
      </c>
    </row>
    <row r="199" spans="1:4">
      <c r="A199" s="5" t="s">
        <v>29</v>
      </c>
      <c r="B199" s="5" t="s">
        <v>200</v>
      </c>
      <c r="C199" s="5" t="s">
        <v>161</v>
      </c>
      <c r="D199" s="6">
        <v>-0.003377234208433321</v>
      </c>
    </row>
    <row r="200" spans="1:4">
      <c r="A200" s="5" t="s">
        <v>29</v>
      </c>
      <c r="B200" s="5" t="s">
        <v>201</v>
      </c>
      <c r="C200" s="5" t="s">
        <v>161</v>
      </c>
      <c r="D200" s="6">
        <v>0.01264799737934833</v>
      </c>
    </row>
    <row r="201" spans="1:4">
      <c r="A201" s="5" t="s">
        <v>29</v>
      </c>
      <c r="B201" s="5" t="s">
        <v>201</v>
      </c>
      <c r="C201" s="5" t="s">
        <v>163</v>
      </c>
      <c r="D201" s="6">
        <v>0.01035632293398189</v>
      </c>
    </row>
    <row r="202" spans="1:4">
      <c r="A202" s="5" t="s">
        <v>29</v>
      </c>
      <c r="B202" s="5" t="s">
        <v>201</v>
      </c>
      <c r="C202" s="5" t="s">
        <v>167</v>
      </c>
      <c r="D202" s="6">
        <v>0.004589436784846226</v>
      </c>
    </row>
    <row r="203" spans="1:4">
      <c r="A203" s="5" t="s">
        <v>29</v>
      </c>
      <c r="B203" s="5" t="s">
        <v>202</v>
      </c>
      <c r="C203" s="5" t="s">
        <v>165</v>
      </c>
      <c r="D203" s="6">
        <v>0.0003452213985682798</v>
      </c>
    </row>
    <row r="204" spans="1:4">
      <c r="A204" s="5" t="s">
        <v>29</v>
      </c>
      <c r="B204" s="5" t="s">
        <v>202</v>
      </c>
      <c r="C204" s="5" t="s">
        <v>159</v>
      </c>
      <c r="D204" s="6">
        <v>0.0004075567737118547</v>
      </c>
    </row>
    <row r="205" spans="1:4">
      <c r="A205" s="5" t="s">
        <v>29</v>
      </c>
      <c r="B205" s="5" t="s">
        <v>202</v>
      </c>
      <c r="C205" s="5" t="s">
        <v>169</v>
      </c>
      <c r="D205" s="6">
        <v>0.001514132172444508</v>
      </c>
    </row>
    <row r="206" spans="1:4">
      <c r="A206" s="5" t="s">
        <v>29</v>
      </c>
      <c r="B206" s="5" t="s">
        <v>203</v>
      </c>
      <c r="C206" s="5" t="s">
        <v>165</v>
      </c>
      <c r="D206" s="6">
        <v>-0.003797408092018533</v>
      </c>
    </row>
    <row r="207" spans="1:4">
      <c r="A207" s="5" t="s">
        <v>29</v>
      </c>
      <c r="B207" s="5" t="s">
        <v>203</v>
      </c>
      <c r="C207" s="5" t="s">
        <v>171</v>
      </c>
      <c r="D207" s="6">
        <v>-0.004458754554560474</v>
      </c>
    </row>
    <row r="208" spans="1:4">
      <c r="A208" s="5" t="s">
        <v>29</v>
      </c>
      <c r="B208" s="5" t="s">
        <v>203</v>
      </c>
      <c r="C208" s="5" t="s">
        <v>167</v>
      </c>
      <c r="D208" s="6">
        <v>-0.00537775824193181</v>
      </c>
    </row>
    <row r="209" spans="1:4">
      <c r="A209" s="5" t="s">
        <v>29</v>
      </c>
      <c r="B209" s="5" t="s">
        <v>204</v>
      </c>
      <c r="C209" s="5" t="s">
        <v>161</v>
      </c>
      <c r="D209" s="6">
        <v>-0.01582674015047066</v>
      </c>
    </row>
    <row r="210" spans="1:4">
      <c r="A210" s="5" t="s">
        <v>29</v>
      </c>
      <c r="B210" s="5" t="s">
        <v>204</v>
      </c>
      <c r="C210" s="5" t="s">
        <v>163</v>
      </c>
      <c r="D210" s="6">
        <v>-0.01274042690345583</v>
      </c>
    </row>
    <row r="211" spans="1:4">
      <c r="A211" s="5" t="s">
        <v>29</v>
      </c>
      <c r="B211" s="5" t="s">
        <v>204</v>
      </c>
      <c r="C211" s="5" t="s">
        <v>169</v>
      </c>
      <c r="D211" s="6">
        <v>-0.0102196329322179</v>
      </c>
    </row>
    <row r="212" spans="1:4">
      <c r="A212" s="5" t="s">
        <v>29</v>
      </c>
      <c r="B212" s="5" t="s">
        <v>205</v>
      </c>
      <c r="C212" s="5" t="s">
        <v>163</v>
      </c>
      <c r="D212" s="6">
        <v>0.01046037289971382</v>
      </c>
    </row>
    <row r="213" spans="1:4">
      <c r="A213" s="5" t="s">
        <v>29</v>
      </c>
      <c r="B213" s="5" t="s">
        <v>205</v>
      </c>
      <c r="C213" s="5" t="s">
        <v>161</v>
      </c>
      <c r="D213" s="6">
        <v>0.006605881564712115</v>
      </c>
    </row>
    <row r="214" spans="1:4">
      <c r="A214" s="5" t="s">
        <v>29</v>
      </c>
      <c r="B214" s="5" t="s">
        <v>205</v>
      </c>
      <c r="C214" s="5" t="s">
        <v>165</v>
      </c>
      <c r="D214" s="6">
        <v>-0.002097575180772618</v>
      </c>
    </row>
    <row r="215" spans="1:4">
      <c r="A215" s="5" t="s">
        <v>29</v>
      </c>
      <c r="B215" s="5" t="s">
        <v>206</v>
      </c>
      <c r="C215" s="5" t="s">
        <v>159</v>
      </c>
      <c r="D215" s="6">
        <v>-0.01391029150594458</v>
      </c>
    </row>
    <row r="216" spans="1:4">
      <c r="A216" s="5" t="s">
        <v>29</v>
      </c>
      <c r="B216" s="5" t="s">
        <v>206</v>
      </c>
      <c r="C216" s="5" t="s">
        <v>171</v>
      </c>
      <c r="D216" s="6">
        <v>-0.01289005550456101</v>
      </c>
    </row>
    <row r="217" spans="1:4">
      <c r="A217" s="5" t="s">
        <v>29</v>
      </c>
      <c r="B217" s="5" t="s">
        <v>206</v>
      </c>
      <c r="C217" s="5" t="s">
        <v>169</v>
      </c>
      <c r="D217" s="6">
        <v>-0.00740711321062504</v>
      </c>
    </row>
    <row r="218" spans="1:4">
      <c r="A218" s="5" t="s">
        <v>30</v>
      </c>
      <c r="B218" s="5" t="s">
        <v>199</v>
      </c>
      <c r="C218" s="5" t="s">
        <v>103</v>
      </c>
      <c r="D218" s="6">
        <v>0.0008747495855447558</v>
      </c>
    </row>
    <row r="219" spans="1:4">
      <c r="A219" s="5" t="s">
        <v>30</v>
      </c>
      <c r="B219" s="5" t="s">
        <v>199</v>
      </c>
      <c r="C219" s="5" t="s">
        <v>100</v>
      </c>
      <c r="D219" s="6">
        <v>-0.0007582096163770818</v>
      </c>
    </row>
    <row r="220" spans="1:4">
      <c r="A220" s="5" t="s">
        <v>30</v>
      </c>
      <c r="B220" s="5" t="s">
        <v>199</v>
      </c>
      <c r="C220" s="5" t="s">
        <v>105</v>
      </c>
      <c r="D220" s="6">
        <v>-0.001226831016677876</v>
      </c>
    </row>
    <row r="221" spans="1:4">
      <c r="A221" s="5" t="s">
        <v>30</v>
      </c>
      <c r="B221" s="5" t="s">
        <v>200</v>
      </c>
      <c r="C221" s="5" t="s">
        <v>105</v>
      </c>
      <c r="D221" s="6">
        <v>-0.001226831016677876</v>
      </c>
    </row>
    <row r="222" spans="1:4">
      <c r="A222" s="5" t="s">
        <v>30</v>
      </c>
      <c r="B222" s="5" t="s">
        <v>200</v>
      </c>
      <c r="C222" s="5" t="s">
        <v>100</v>
      </c>
      <c r="D222" s="6">
        <v>-0.0007582096163770818</v>
      </c>
    </row>
    <row r="223" spans="1:4">
      <c r="A223" s="5" t="s">
        <v>30</v>
      </c>
      <c r="B223" s="5" t="s">
        <v>200</v>
      </c>
      <c r="C223" s="5" t="s">
        <v>103</v>
      </c>
      <c r="D223" s="6">
        <v>0.0008747495855447558</v>
      </c>
    </row>
    <row r="224" spans="1:4">
      <c r="A224" s="5" t="s">
        <v>30</v>
      </c>
      <c r="B224" s="5" t="s">
        <v>201</v>
      </c>
      <c r="C224" s="5" t="s">
        <v>103</v>
      </c>
      <c r="D224" s="6">
        <v>0.0115727992444945</v>
      </c>
    </row>
    <row r="225" spans="1:4">
      <c r="A225" s="5" t="s">
        <v>30</v>
      </c>
      <c r="B225" s="5" t="s">
        <v>201</v>
      </c>
      <c r="C225" s="5" t="s">
        <v>100</v>
      </c>
      <c r="D225" s="6">
        <v>0.009868496806051104</v>
      </c>
    </row>
    <row r="226" spans="1:4">
      <c r="A226" s="5" t="s">
        <v>30</v>
      </c>
      <c r="B226" s="5" t="s">
        <v>201</v>
      </c>
      <c r="C226" s="5" t="s">
        <v>105</v>
      </c>
      <c r="D226" s="6">
        <v>0.004954514473531238</v>
      </c>
    </row>
    <row r="227" spans="1:4">
      <c r="A227" s="5" t="s">
        <v>30</v>
      </c>
      <c r="B227" s="5" t="s">
        <v>202</v>
      </c>
      <c r="C227" s="5" t="s">
        <v>105</v>
      </c>
      <c r="D227" s="6">
        <v>0.004954514473531238</v>
      </c>
    </row>
    <row r="228" spans="1:4">
      <c r="A228" s="5" t="s">
        <v>30</v>
      </c>
      <c r="B228" s="5" t="s">
        <v>202</v>
      </c>
      <c r="C228" s="5" t="s">
        <v>100</v>
      </c>
      <c r="D228" s="6">
        <v>0.009868496806051104</v>
      </c>
    </row>
    <row r="229" spans="1:4">
      <c r="A229" s="5" t="s">
        <v>30</v>
      </c>
      <c r="B229" s="5" t="s">
        <v>202</v>
      </c>
      <c r="C229" s="5" t="s">
        <v>103</v>
      </c>
      <c r="D229" s="6">
        <v>0.0115727992444945</v>
      </c>
    </row>
    <row r="230" spans="1:4">
      <c r="A230" s="5" t="s">
        <v>30</v>
      </c>
      <c r="B230" s="5" t="s">
        <v>203</v>
      </c>
      <c r="C230" s="5" t="s">
        <v>103</v>
      </c>
      <c r="D230" s="6">
        <v>0.000204861002353414</v>
      </c>
    </row>
    <row r="231" spans="1:4">
      <c r="A231" s="5" t="s">
        <v>30</v>
      </c>
      <c r="B231" s="5" t="s">
        <v>203</v>
      </c>
      <c r="C231" s="5" t="s">
        <v>105</v>
      </c>
      <c r="D231" s="6">
        <v>-0.008329017575500161</v>
      </c>
    </row>
    <row r="232" spans="1:4">
      <c r="A232" s="5" t="s">
        <v>30</v>
      </c>
      <c r="B232" s="5" t="s">
        <v>203</v>
      </c>
      <c r="C232" s="5" t="s">
        <v>100</v>
      </c>
      <c r="D232" s="6">
        <v>-0.008389464603890518</v>
      </c>
    </row>
    <row r="233" spans="1:4">
      <c r="A233" s="5" t="s">
        <v>30</v>
      </c>
      <c r="B233" s="5" t="s">
        <v>204</v>
      </c>
      <c r="C233" s="5" t="s">
        <v>100</v>
      </c>
      <c r="D233" s="6">
        <v>-0.008389464603890518</v>
      </c>
    </row>
    <row r="234" spans="1:4">
      <c r="A234" s="5" t="s">
        <v>30</v>
      </c>
      <c r="B234" s="5" t="s">
        <v>204</v>
      </c>
      <c r="C234" s="5" t="s">
        <v>105</v>
      </c>
      <c r="D234" s="6">
        <v>-0.008329017575500161</v>
      </c>
    </row>
    <row r="235" spans="1:4">
      <c r="A235" s="5" t="s">
        <v>30</v>
      </c>
      <c r="B235" s="5" t="s">
        <v>204</v>
      </c>
      <c r="C235" s="5" t="s">
        <v>103</v>
      </c>
      <c r="D235" s="6">
        <v>0.000204861002353414</v>
      </c>
    </row>
    <row r="236" spans="1:4">
      <c r="A236" s="5" t="s">
        <v>30</v>
      </c>
      <c r="B236" s="5" t="s">
        <v>205</v>
      </c>
      <c r="C236" s="5" t="s">
        <v>100</v>
      </c>
      <c r="D236" s="6">
        <v>0.00712853733954141</v>
      </c>
    </row>
    <row r="237" spans="1:4">
      <c r="A237" s="5" t="s">
        <v>30</v>
      </c>
      <c r="B237" s="5" t="s">
        <v>205</v>
      </c>
      <c r="C237" s="5" t="s">
        <v>103</v>
      </c>
      <c r="D237" s="6">
        <v>-0.007949096330911745</v>
      </c>
    </row>
    <row r="238" spans="1:4">
      <c r="A238" s="5" t="s">
        <v>30</v>
      </c>
      <c r="B238" s="5" t="s">
        <v>205</v>
      </c>
      <c r="C238" s="5" t="s">
        <v>105</v>
      </c>
      <c r="D238" s="6">
        <v>-0.01560591378356279</v>
      </c>
    </row>
    <row r="239" spans="1:4">
      <c r="A239" s="5" t="s">
        <v>30</v>
      </c>
      <c r="B239" s="5" t="s">
        <v>206</v>
      </c>
      <c r="C239" s="5" t="s">
        <v>105</v>
      </c>
      <c r="D239" s="6">
        <v>-0.01560591378356279</v>
      </c>
    </row>
    <row r="240" spans="1:4">
      <c r="A240" s="5" t="s">
        <v>30</v>
      </c>
      <c r="B240" s="5" t="s">
        <v>206</v>
      </c>
      <c r="C240" s="5" t="s">
        <v>103</v>
      </c>
      <c r="D240" s="6">
        <v>-0.007949096330911745</v>
      </c>
    </row>
    <row r="241" spans="1:4">
      <c r="A241" s="5" t="s">
        <v>30</v>
      </c>
      <c r="B241" s="5" t="s">
        <v>206</v>
      </c>
      <c r="C241" s="5" t="s">
        <v>100</v>
      </c>
      <c r="D241" s="6">
        <v>0.00712853733954141</v>
      </c>
    </row>
    <row r="242" spans="1:4">
      <c r="A242" s="5" t="s">
        <v>31</v>
      </c>
      <c r="B242" s="5" t="s">
        <v>199</v>
      </c>
      <c r="C242" s="5" t="s">
        <v>183</v>
      </c>
      <c r="D242" s="6">
        <v>0.001472735915286319</v>
      </c>
    </row>
    <row r="243" spans="1:4">
      <c r="A243" s="5" t="s">
        <v>31</v>
      </c>
      <c r="B243" s="5" t="s">
        <v>199</v>
      </c>
      <c r="C243" s="5" t="s">
        <v>181</v>
      </c>
      <c r="D243" s="6">
        <v>0.0001847135900523514</v>
      </c>
    </row>
    <row r="244" spans="1:4">
      <c r="A244" s="5" t="s">
        <v>31</v>
      </c>
      <c r="B244" s="5" t="s">
        <v>199</v>
      </c>
      <c r="C244" s="5" t="s">
        <v>175</v>
      </c>
      <c r="D244" s="6">
        <v>0.0001093026627112637</v>
      </c>
    </row>
    <row r="245" spans="1:4">
      <c r="A245" s="5" t="s">
        <v>31</v>
      </c>
      <c r="B245" s="5" t="s">
        <v>200</v>
      </c>
      <c r="C245" s="5" t="s">
        <v>177</v>
      </c>
      <c r="D245" s="6">
        <v>-0.006423715157630273</v>
      </c>
    </row>
    <row r="246" spans="1:4">
      <c r="A246" s="5" t="s">
        <v>31</v>
      </c>
      <c r="B246" s="5" t="s">
        <v>200</v>
      </c>
      <c r="C246" s="5" t="s">
        <v>179</v>
      </c>
      <c r="D246" s="6">
        <v>-0.004642024618879514</v>
      </c>
    </row>
    <row r="247" spans="1:4">
      <c r="A247" s="5" t="s">
        <v>31</v>
      </c>
      <c r="B247" s="5" t="s">
        <v>200</v>
      </c>
      <c r="C247" s="5" t="s">
        <v>173</v>
      </c>
      <c r="D247" s="6">
        <v>-0.002532612172854076</v>
      </c>
    </row>
    <row r="248" spans="1:4">
      <c r="A248" s="5" t="s">
        <v>31</v>
      </c>
      <c r="B248" s="5" t="s">
        <v>201</v>
      </c>
      <c r="C248" s="5" t="s">
        <v>179</v>
      </c>
      <c r="D248" s="6">
        <v>0.02990857862780071</v>
      </c>
    </row>
    <row r="249" spans="1:4">
      <c r="A249" s="5" t="s">
        <v>31</v>
      </c>
      <c r="B249" s="5" t="s">
        <v>201</v>
      </c>
      <c r="C249" s="5" t="s">
        <v>173</v>
      </c>
      <c r="D249" s="6">
        <v>0.02094641561382593</v>
      </c>
    </row>
    <row r="250" spans="1:4">
      <c r="A250" s="5" t="s">
        <v>31</v>
      </c>
      <c r="B250" s="5" t="s">
        <v>201</v>
      </c>
      <c r="C250" s="5" t="s">
        <v>177</v>
      </c>
      <c r="D250" s="6">
        <v>0.01208518745994978</v>
      </c>
    </row>
    <row r="251" spans="1:4">
      <c r="A251" s="5" t="s">
        <v>31</v>
      </c>
      <c r="B251" s="5" t="s">
        <v>202</v>
      </c>
      <c r="C251" s="5" t="s">
        <v>175</v>
      </c>
      <c r="D251" s="6">
        <v>-0.005278824863214421</v>
      </c>
    </row>
    <row r="252" spans="1:4">
      <c r="A252" s="5" t="s">
        <v>31</v>
      </c>
      <c r="B252" s="5" t="s">
        <v>202</v>
      </c>
      <c r="C252" s="5" t="s">
        <v>181</v>
      </c>
      <c r="D252" s="6">
        <v>-0.003786505642146985</v>
      </c>
    </row>
    <row r="253" spans="1:4">
      <c r="A253" s="5" t="s">
        <v>31</v>
      </c>
      <c r="B253" s="5" t="s">
        <v>202</v>
      </c>
      <c r="C253" s="5" t="s">
        <v>183</v>
      </c>
      <c r="D253" s="6">
        <v>0.005712462966184661</v>
      </c>
    </row>
    <row r="254" spans="1:4">
      <c r="A254" s="5" t="s">
        <v>31</v>
      </c>
      <c r="B254" s="5" t="s">
        <v>203</v>
      </c>
      <c r="C254" s="5" t="s">
        <v>179</v>
      </c>
      <c r="D254" s="6">
        <v>0.004292566696998618</v>
      </c>
    </row>
    <row r="255" spans="1:4">
      <c r="A255" s="5" t="s">
        <v>31</v>
      </c>
      <c r="B255" s="5" t="s">
        <v>203</v>
      </c>
      <c r="C255" s="5" t="s">
        <v>183</v>
      </c>
      <c r="D255" s="6">
        <v>0.000523177279972348</v>
      </c>
    </row>
    <row r="256" spans="1:4">
      <c r="A256" s="5" t="s">
        <v>31</v>
      </c>
      <c r="B256" s="5" t="s">
        <v>203</v>
      </c>
      <c r="C256" s="5" t="s">
        <v>181</v>
      </c>
      <c r="D256" s="6">
        <v>-0.003331096600014339</v>
      </c>
    </row>
    <row r="257" spans="1:4">
      <c r="A257" s="5" t="s">
        <v>31</v>
      </c>
      <c r="B257" s="5" t="s">
        <v>204</v>
      </c>
      <c r="C257" s="5" t="s">
        <v>173</v>
      </c>
      <c r="D257" s="6">
        <v>-0.04263773724073405</v>
      </c>
    </row>
    <row r="258" spans="1:4">
      <c r="A258" s="5" t="s">
        <v>31</v>
      </c>
      <c r="B258" s="5" t="s">
        <v>204</v>
      </c>
      <c r="C258" s="5" t="s">
        <v>177</v>
      </c>
      <c r="D258" s="6">
        <v>-0.01517297632814161</v>
      </c>
    </row>
    <row r="259" spans="1:4">
      <c r="A259" s="5" t="s">
        <v>31</v>
      </c>
      <c r="B259" s="5" t="s">
        <v>204</v>
      </c>
      <c r="C259" s="5" t="s">
        <v>175</v>
      </c>
      <c r="D259" s="6">
        <v>-0.01149650602439562</v>
      </c>
    </row>
    <row r="260" spans="1:4">
      <c r="A260" s="5" t="s">
        <v>31</v>
      </c>
      <c r="B260" s="5" t="s">
        <v>205</v>
      </c>
      <c r="C260" s="5" t="s">
        <v>183</v>
      </c>
      <c r="D260" s="6">
        <v>0.001692028517714145</v>
      </c>
    </row>
    <row r="261" spans="1:4">
      <c r="A261" s="5" t="s">
        <v>31</v>
      </c>
      <c r="B261" s="5" t="s">
        <v>205</v>
      </c>
      <c r="C261" s="5" t="s">
        <v>181</v>
      </c>
      <c r="D261" s="6">
        <v>-0.01029825357795494</v>
      </c>
    </row>
    <row r="262" spans="1:4">
      <c r="A262" s="5" t="s">
        <v>31</v>
      </c>
      <c r="B262" s="5" t="s">
        <v>205</v>
      </c>
      <c r="C262" s="5" t="s">
        <v>179</v>
      </c>
      <c r="D262" s="6">
        <v>-0.01056726592497821</v>
      </c>
    </row>
    <row r="263" spans="1:4">
      <c r="A263" s="5" t="s">
        <v>31</v>
      </c>
      <c r="B263" s="5" t="s">
        <v>206</v>
      </c>
      <c r="C263" s="5" t="s">
        <v>177</v>
      </c>
      <c r="D263" s="6">
        <v>-0.0302539535149354</v>
      </c>
    </row>
    <row r="264" spans="1:4">
      <c r="A264" s="5" t="s">
        <v>31</v>
      </c>
      <c r="B264" s="5" t="s">
        <v>206</v>
      </c>
      <c r="C264" s="5" t="s">
        <v>175</v>
      </c>
      <c r="D264" s="6">
        <v>-0.02188569845973468</v>
      </c>
    </row>
    <row r="265" spans="1:4">
      <c r="A265" s="5" t="s">
        <v>31</v>
      </c>
      <c r="B265" s="5" t="s">
        <v>206</v>
      </c>
      <c r="C265" s="5" t="s">
        <v>173</v>
      </c>
      <c r="D265" s="6">
        <v>-0.01799317098496295</v>
      </c>
    </row>
    <row r="266" spans="1:4">
      <c r="A266" s="5" t="s">
        <v>32</v>
      </c>
      <c r="B266" s="5" t="s">
        <v>199</v>
      </c>
      <c r="C266" s="5" t="s">
        <v>79</v>
      </c>
      <c r="D266" s="6">
        <v>-0.004422766971257323</v>
      </c>
    </row>
    <row r="267" spans="1:4">
      <c r="A267" s="5" t="s">
        <v>32</v>
      </c>
      <c r="B267" s="5" t="s">
        <v>199</v>
      </c>
      <c r="C267" s="5" t="s">
        <v>82</v>
      </c>
      <c r="D267" s="6">
        <v>-0.006232946240363526</v>
      </c>
    </row>
    <row r="268" spans="1:4">
      <c r="A268" s="5" t="s">
        <v>32</v>
      </c>
      <c r="B268" s="5" t="s">
        <v>199</v>
      </c>
      <c r="C268" s="5" t="s">
        <v>84</v>
      </c>
      <c r="D268" s="6">
        <v>-0.009642238930979439</v>
      </c>
    </row>
    <row r="269" spans="1:4">
      <c r="A269" s="5" t="s">
        <v>32</v>
      </c>
      <c r="B269" s="5" t="s">
        <v>200</v>
      </c>
      <c r="C269" s="5" t="s">
        <v>84</v>
      </c>
      <c r="D269" s="6">
        <v>-0.009642238930979439</v>
      </c>
    </row>
    <row r="270" spans="1:4">
      <c r="A270" s="5" t="s">
        <v>32</v>
      </c>
      <c r="B270" s="5" t="s">
        <v>200</v>
      </c>
      <c r="C270" s="5" t="s">
        <v>82</v>
      </c>
      <c r="D270" s="6">
        <v>-0.006232946240363526</v>
      </c>
    </row>
    <row r="271" spans="1:4">
      <c r="A271" s="5" t="s">
        <v>32</v>
      </c>
      <c r="B271" s="5" t="s">
        <v>200</v>
      </c>
      <c r="C271" s="5" t="s">
        <v>79</v>
      </c>
      <c r="D271" s="6">
        <v>-0.004422766971257323</v>
      </c>
    </row>
    <row r="272" spans="1:4">
      <c r="A272" s="5" t="s">
        <v>32</v>
      </c>
      <c r="B272" s="5" t="s">
        <v>201</v>
      </c>
      <c r="C272" s="5" t="s">
        <v>84</v>
      </c>
      <c r="D272" s="6">
        <v>0.01359716754435391</v>
      </c>
    </row>
    <row r="273" spans="1:4">
      <c r="A273" s="5" t="s">
        <v>32</v>
      </c>
      <c r="B273" s="5" t="s">
        <v>201</v>
      </c>
      <c r="C273" s="5" t="s">
        <v>82</v>
      </c>
      <c r="D273" s="6">
        <v>0.01080846600233224</v>
      </c>
    </row>
    <row r="274" spans="1:4">
      <c r="A274" s="5" t="s">
        <v>32</v>
      </c>
      <c r="B274" s="5" t="s">
        <v>201</v>
      </c>
      <c r="C274" s="5" t="s">
        <v>79</v>
      </c>
      <c r="D274" s="6">
        <v>0.004932489468189053</v>
      </c>
    </row>
    <row r="275" spans="1:4">
      <c r="A275" s="5" t="s">
        <v>32</v>
      </c>
      <c r="B275" s="5" t="s">
        <v>202</v>
      </c>
      <c r="C275" s="5" t="s">
        <v>79</v>
      </c>
      <c r="D275" s="6">
        <v>0.004932489468189053</v>
      </c>
    </row>
    <row r="276" spans="1:4">
      <c r="A276" s="5" t="s">
        <v>32</v>
      </c>
      <c r="B276" s="5" t="s">
        <v>202</v>
      </c>
      <c r="C276" s="5" t="s">
        <v>82</v>
      </c>
      <c r="D276" s="6">
        <v>0.01080846600233224</v>
      </c>
    </row>
    <row r="277" spans="1:4">
      <c r="A277" s="5" t="s">
        <v>32</v>
      </c>
      <c r="B277" s="5" t="s">
        <v>202</v>
      </c>
      <c r="C277" s="5" t="s">
        <v>84</v>
      </c>
      <c r="D277" s="6">
        <v>0.01359716754435391</v>
      </c>
    </row>
    <row r="278" spans="1:4">
      <c r="A278" s="5" t="s">
        <v>32</v>
      </c>
      <c r="B278" s="5" t="s">
        <v>203</v>
      </c>
      <c r="C278" s="5" t="s">
        <v>79</v>
      </c>
      <c r="D278" s="6">
        <v>-0.01404158449075021</v>
      </c>
    </row>
    <row r="279" spans="1:4">
      <c r="A279" s="5" t="s">
        <v>32</v>
      </c>
      <c r="B279" s="5" t="s">
        <v>203</v>
      </c>
      <c r="C279" s="5" t="s">
        <v>82</v>
      </c>
      <c r="D279" s="6">
        <v>-0.01420966972466793</v>
      </c>
    </row>
    <row r="280" spans="1:4">
      <c r="A280" s="5" t="s">
        <v>32</v>
      </c>
      <c r="B280" s="5" t="s">
        <v>203</v>
      </c>
      <c r="C280" s="5" t="s">
        <v>84</v>
      </c>
      <c r="D280" s="6">
        <v>-0.03430627486155546</v>
      </c>
    </row>
    <row r="281" spans="1:4">
      <c r="A281" s="5" t="s">
        <v>32</v>
      </c>
      <c r="B281" s="5" t="s">
        <v>204</v>
      </c>
      <c r="C281" s="5" t="s">
        <v>84</v>
      </c>
      <c r="D281" s="6">
        <v>-0.03430627486155546</v>
      </c>
    </row>
    <row r="282" spans="1:4">
      <c r="A282" s="5" t="s">
        <v>32</v>
      </c>
      <c r="B282" s="5" t="s">
        <v>204</v>
      </c>
      <c r="C282" s="5" t="s">
        <v>82</v>
      </c>
      <c r="D282" s="6">
        <v>-0.01420966972466793</v>
      </c>
    </row>
    <row r="283" spans="1:4">
      <c r="A283" s="5" t="s">
        <v>32</v>
      </c>
      <c r="B283" s="5" t="s">
        <v>204</v>
      </c>
      <c r="C283" s="5" t="s">
        <v>79</v>
      </c>
      <c r="D283" s="6">
        <v>-0.01404158449075021</v>
      </c>
    </row>
    <row r="284" spans="1:4">
      <c r="A284" s="5" t="s">
        <v>32</v>
      </c>
      <c r="B284" s="5" t="s">
        <v>205</v>
      </c>
      <c r="C284" s="5" t="s">
        <v>79</v>
      </c>
      <c r="D284" s="6">
        <v>-0.01592382641965571</v>
      </c>
    </row>
    <row r="285" spans="1:4">
      <c r="A285" s="5" t="s">
        <v>32</v>
      </c>
      <c r="B285" s="5" t="s">
        <v>205</v>
      </c>
      <c r="C285" s="5" t="s">
        <v>82</v>
      </c>
      <c r="D285" s="6">
        <v>-0.03714601445668855</v>
      </c>
    </row>
    <row r="286" spans="1:4">
      <c r="A286" s="5" t="s">
        <v>32</v>
      </c>
      <c r="B286" s="5" t="s">
        <v>205</v>
      </c>
      <c r="C286" s="5" t="s">
        <v>84</v>
      </c>
      <c r="D286" s="6">
        <v>-0.04753578401914867</v>
      </c>
    </row>
    <row r="287" spans="1:4">
      <c r="A287" s="5" t="s">
        <v>32</v>
      </c>
      <c r="B287" s="5" t="s">
        <v>206</v>
      </c>
      <c r="C287" s="5" t="s">
        <v>84</v>
      </c>
      <c r="D287" s="6">
        <v>-0.04753578401914867</v>
      </c>
    </row>
    <row r="288" spans="1:4">
      <c r="A288" s="5" t="s">
        <v>32</v>
      </c>
      <c r="B288" s="5" t="s">
        <v>206</v>
      </c>
      <c r="C288" s="5" t="s">
        <v>82</v>
      </c>
      <c r="D288" s="6">
        <v>-0.03714601445668855</v>
      </c>
    </row>
    <row r="289" spans="1:4">
      <c r="A289" s="5" t="s">
        <v>32</v>
      </c>
      <c r="B289" s="5" t="s">
        <v>206</v>
      </c>
      <c r="C289" s="5" t="s">
        <v>79</v>
      </c>
      <c r="D289" s="6">
        <v>-0.01592382641965571</v>
      </c>
    </row>
  </sheetData>
  <autoFilter ref="A1:D2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.7109375" customWidth="1"/>
    <col min="2" max="2" width="100.7109375" customWidth="1"/>
  </cols>
  <sheetData>
    <row r="1" spans="1:2">
      <c r="A1" s="4" t="s">
        <v>207</v>
      </c>
      <c r="B1" s="4" t="s">
        <v>208</v>
      </c>
    </row>
    <row r="2" spans="1:2">
      <c r="A2" s="5" t="s">
        <v>209</v>
      </c>
      <c r="B2" s="5" t="s">
        <v>210</v>
      </c>
    </row>
    <row r="3" spans="1:2">
      <c r="A3" s="5" t="s">
        <v>4</v>
      </c>
      <c r="B3" s="5" t="s">
        <v>10</v>
      </c>
    </row>
    <row r="4" spans="1:2">
      <c r="A4" s="5" t="s">
        <v>211</v>
      </c>
      <c r="B4" s="5" t="s">
        <v>212</v>
      </c>
    </row>
    <row r="5" spans="1:2">
      <c r="A5" s="5" t="s">
        <v>213</v>
      </c>
      <c r="B5" s="5" t="s">
        <v>214</v>
      </c>
    </row>
    <row r="6" spans="1:2">
      <c r="A6" s="5" t="s">
        <v>215</v>
      </c>
      <c r="B6" s="5" t="s">
        <v>216</v>
      </c>
    </row>
    <row r="7" spans="1:2">
      <c r="A7" s="5" t="s">
        <v>217</v>
      </c>
      <c r="B7" s="5" t="s">
        <v>218</v>
      </c>
    </row>
    <row r="8" spans="1:2">
      <c r="A8" s="5" t="s">
        <v>219</v>
      </c>
      <c r="B8" s="5" t="s">
        <v>220</v>
      </c>
    </row>
    <row r="9" spans="1:2">
      <c r="A9" s="5" t="s">
        <v>221</v>
      </c>
      <c r="B9" s="5" t="s">
        <v>222</v>
      </c>
    </row>
    <row r="10" spans="1:2">
      <c r="A10" s="5" t="s">
        <v>223</v>
      </c>
      <c r="B10" s="5" t="s">
        <v>224</v>
      </c>
    </row>
    <row r="11" spans="1:2">
      <c r="A11" s="5" t="s">
        <v>225</v>
      </c>
      <c r="B11" s="5" t="s">
        <v>226</v>
      </c>
    </row>
    <row r="12" spans="1:2">
      <c r="A12" s="5" t="s">
        <v>3</v>
      </c>
      <c r="B12" s="5" t="s">
        <v>227</v>
      </c>
    </row>
    <row r="13" spans="1:2">
      <c r="A13" s="5" t="s">
        <v>228</v>
      </c>
      <c r="B13" s="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Stage_Performance</vt:lpstr>
      <vt:lpstr>Stock_Returns</vt:lpstr>
      <vt:lpstr>Contributors</vt:lpstr>
      <vt:lpstr>Methodology</vt:lpstr>
    </vt:vector>
  </TitlesOfParts>
  <Company>NPS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description>Calculated from BQuant_Master.xlsx</dc:description>
  <cp:lastModifiedBy>OpenAI Codex</cp:lastModifiedBy>
  <dcterms:created xsi:type="dcterms:W3CDTF">2026-09-09T23:50:10Z</dcterms:created>
  <dcterms:modified xsi:type="dcterms:W3CDTF">2026-09-09T23:50:10Z</dcterms:modified>
</cp:coreProperties>
</file>