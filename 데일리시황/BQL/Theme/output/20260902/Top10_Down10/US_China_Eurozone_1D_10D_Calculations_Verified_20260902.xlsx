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ummary" sheetId="1" r:id="rId1"/>
    <sheet name="QA_Audit" sheetId="2" r:id="rId2"/>
    <sheet name="SPX" sheetId="3" r:id="rId3"/>
    <sheet name="SPX_Ranks" sheetId="4" r:id="rId4"/>
    <sheet name="SHSZ300" sheetId="5" r:id="rId5"/>
    <sheet name="SHSZ300_Ranks" sheetId="6" r:id="rId6"/>
    <sheet name="SX5E" sheetId="7" r:id="rId7"/>
    <sheet name="SX5E_Ranks" sheetId="8" r:id="rId8"/>
    <sheet name="Methodology" sheetId="9" r:id="rId9"/>
  </sheets>
  <definedNames>
    <definedName name="_xlnm._FilterDatabase" localSheetId="4" hidden="1">SHSZ300!$A$1:$M$301</definedName>
    <definedName name="_xlnm._FilterDatabase" localSheetId="5" hidden="1">SHSZ300_Ranks!$A$1:$I$41</definedName>
    <definedName name="_xlnm._FilterDatabase" localSheetId="2" hidden="1">SPX!$A$1:$M$504</definedName>
    <definedName name="_xlnm._FilterDatabase" localSheetId="3" hidden="1">SPX_Ranks!$A$1:$I$41</definedName>
    <definedName name="_xlnm._FilterDatabase" localSheetId="6" hidden="1">SX5E!$A$1:$M$51</definedName>
    <definedName name="_xlnm._FilterDatabase" localSheetId="7" hidden="1">SX5E_Ranks!$A$1:$I$41</definedName>
  </definedNames>
  <calcPr calcId="125725"/>
</workbook>
</file>

<file path=xl/calcChain.xml><?xml version="1.0" encoding="utf-8"?>
<calcChain xmlns="http://schemas.openxmlformats.org/spreadsheetml/2006/main">
  <c r="I51" i="7"/>
  <c r="H51"/>
  <c r="I50"/>
  <c r="H50"/>
  <c r="I49"/>
  <c r="H49"/>
  <c r="I48"/>
  <c r="H48"/>
  <c r="I47"/>
  <c r="H47"/>
  <c r="I46"/>
  <c r="H46"/>
  <c r="I45"/>
  <c r="H45"/>
  <c r="I44"/>
  <c r="H44"/>
  <c r="I43"/>
  <c r="H43"/>
  <c r="I42"/>
  <c r="H42"/>
  <c r="I41"/>
  <c r="H41"/>
  <c r="I40"/>
  <c r="H40"/>
  <c r="I39"/>
  <c r="H39"/>
  <c r="I38"/>
  <c r="H38"/>
  <c r="I37"/>
  <c r="H37"/>
  <c r="I36"/>
  <c r="H36"/>
  <c r="I35"/>
  <c r="H35"/>
  <c r="I34"/>
  <c r="H34"/>
  <c r="I33"/>
  <c r="H33"/>
  <c r="I32"/>
  <c r="H32"/>
  <c r="I31"/>
  <c r="H31"/>
  <c r="I30"/>
  <c r="H30"/>
  <c r="I29"/>
  <c r="H29"/>
  <c r="I28"/>
  <c r="H28"/>
  <c r="I27"/>
  <c r="H27"/>
  <c r="I26"/>
  <c r="H26"/>
  <c r="I25"/>
  <c r="H25"/>
  <c r="I24"/>
  <c r="H24"/>
  <c r="I23"/>
  <c r="H23"/>
  <c r="I22"/>
  <c r="H22"/>
  <c r="I21"/>
  <c r="H21"/>
  <c r="I20"/>
  <c r="H20"/>
  <c r="I19"/>
  <c r="H19"/>
  <c r="I18"/>
  <c r="H18"/>
  <c r="I17"/>
  <c r="H17"/>
  <c r="I16"/>
  <c r="H16"/>
  <c r="I15"/>
  <c r="H15"/>
  <c r="I14"/>
  <c r="H14"/>
  <c r="I13"/>
  <c r="H13"/>
  <c r="I12"/>
  <c r="H12"/>
  <c r="I11"/>
  <c r="H11"/>
  <c r="I10"/>
  <c r="H10"/>
  <c r="I9"/>
  <c r="H9"/>
  <c r="I8"/>
  <c r="H8"/>
  <c r="I7"/>
  <c r="H7"/>
  <c r="I6"/>
  <c r="H6"/>
  <c r="I5"/>
  <c r="H5"/>
  <c r="I4"/>
  <c r="H4"/>
  <c r="I3"/>
  <c r="H3"/>
  <c r="I2"/>
  <c r="H2"/>
  <c r="I301" i="5"/>
  <c r="H301"/>
  <c r="I300"/>
  <c r="H300"/>
  <c r="I299"/>
  <c r="H299"/>
  <c r="I298"/>
  <c r="H298"/>
  <c r="I297"/>
  <c r="H297"/>
  <c r="I296"/>
  <c r="H296"/>
  <c r="I295"/>
  <c r="H295"/>
  <c r="I294"/>
  <c r="H294"/>
  <c r="I293"/>
  <c r="H293"/>
  <c r="I292"/>
  <c r="H292"/>
  <c r="I291"/>
  <c r="H291"/>
  <c r="I290"/>
  <c r="H290"/>
  <c r="I289"/>
  <c r="H289"/>
  <c r="I288"/>
  <c r="H288"/>
  <c r="I287"/>
  <c r="H287"/>
  <c r="I286"/>
  <c r="H286"/>
  <c r="I285"/>
  <c r="H285"/>
  <c r="I284"/>
  <c r="H284"/>
  <c r="I283"/>
  <c r="H283"/>
  <c r="I282"/>
  <c r="H282"/>
  <c r="I281"/>
  <c r="H281"/>
  <c r="I280"/>
  <c r="H280"/>
  <c r="I279"/>
  <c r="H279"/>
  <c r="I278"/>
  <c r="H278"/>
  <c r="I277"/>
  <c r="H277"/>
  <c r="I276"/>
  <c r="H276"/>
  <c r="I275"/>
  <c r="H275"/>
  <c r="I274"/>
  <c r="H274"/>
  <c r="I273"/>
  <c r="H273"/>
  <c r="I272"/>
  <c r="H272"/>
  <c r="I271"/>
  <c r="H271"/>
  <c r="I270"/>
  <c r="H270"/>
  <c r="I269"/>
  <c r="H269"/>
  <c r="I268"/>
  <c r="H268"/>
  <c r="I267"/>
  <c r="H267"/>
  <c r="I266"/>
  <c r="H266"/>
  <c r="I265"/>
  <c r="H265"/>
  <c r="I264"/>
  <c r="H264"/>
  <c r="I263"/>
  <c r="H263"/>
  <c r="I262"/>
  <c r="H262"/>
  <c r="I261"/>
  <c r="H261"/>
  <c r="I260"/>
  <c r="H260"/>
  <c r="I259"/>
  <c r="H259"/>
  <c r="I258"/>
  <c r="H258"/>
  <c r="I257"/>
  <c r="H257"/>
  <c r="I256"/>
  <c r="H256"/>
  <c r="I255"/>
  <c r="H255"/>
  <c r="I254"/>
  <c r="H254"/>
  <c r="I253"/>
  <c r="H253"/>
  <c r="I252"/>
  <c r="H252"/>
  <c r="I251"/>
  <c r="H251"/>
  <c r="I250"/>
  <c r="H250"/>
  <c r="I249"/>
  <c r="H249"/>
  <c r="I248"/>
  <c r="H248"/>
  <c r="I247"/>
  <c r="H247"/>
  <c r="I246"/>
  <c r="H246"/>
  <c r="I245"/>
  <c r="H245"/>
  <c r="I244"/>
  <c r="H244"/>
  <c r="I243"/>
  <c r="H243"/>
  <c r="I242"/>
  <c r="H242"/>
  <c r="I241"/>
  <c r="H241"/>
  <c r="I240"/>
  <c r="H240"/>
  <c r="I239"/>
  <c r="H239"/>
  <c r="I238"/>
  <c r="H238"/>
  <c r="I237"/>
  <c r="H237"/>
  <c r="I236"/>
  <c r="H236"/>
  <c r="I235"/>
  <c r="H235"/>
  <c r="I234"/>
  <c r="H234"/>
  <c r="I233"/>
  <c r="H233"/>
  <c r="I232"/>
  <c r="H232"/>
  <c r="I231"/>
  <c r="H231"/>
  <c r="I230"/>
  <c r="H230"/>
  <c r="I229"/>
  <c r="H229"/>
  <c r="I228"/>
  <c r="H228"/>
  <c r="I227"/>
  <c r="H227"/>
  <c r="I226"/>
  <c r="H226"/>
  <c r="I225"/>
  <c r="H225"/>
  <c r="I224"/>
  <c r="H224"/>
  <c r="I223"/>
  <c r="H223"/>
  <c r="I222"/>
  <c r="H222"/>
  <c r="I221"/>
  <c r="H221"/>
  <c r="I220"/>
  <c r="H220"/>
  <c r="I219"/>
  <c r="H219"/>
  <c r="I218"/>
  <c r="H218"/>
  <c r="I217"/>
  <c r="H217"/>
  <c r="I216"/>
  <c r="H216"/>
  <c r="I215"/>
  <c r="H215"/>
  <c r="I214"/>
  <c r="H214"/>
  <c r="I213"/>
  <c r="H213"/>
  <c r="I212"/>
  <c r="H212"/>
  <c r="I211"/>
  <c r="H211"/>
  <c r="I210"/>
  <c r="H210"/>
  <c r="I209"/>
  <c r="H209"/>
  <c r="I208"/>
  <c r="H208"/>
  <c r="I207"/>
  <c r="H207"/>
  <c r="I206"/>
  <c r="H206"/>
  <c r="I205"/>
  <c r="H205"/>
  <c r="I204"/>
  <c r="H204"/>
  <c r="I203"/>
  <c r="H203"/>
  <c r="I202"/>
  <c r="H202"/>
  <c r="I201"/>
  <c r="H201"/>
  <c r="I200"/>
  <c r="H200"/>
  <c r="I199"/>
  <c r="H199"/>
  <c r="I198"/>
  <c r="H198"/>
  <c r="I197"/>
  <c r="H197"/>
  <c r="I196"/>
  <c r="H196"/>
  <c r="I195"/>
  <c r="H195"/>
  <c r="I194"/>
  <c r="H194"/>
  <c r="I193"/>
  <c r="H193"/>
  <c r="I192"/>
  <c r="H192"/>
  <c r="I191"/>
  <c r="H191"/>
  <c r="I190"/>
  <c r="H190"/>
  <c r="I189"/>
  <c r="H189"/>
  <c r="I188"/>
  <c r="H188"/>
  <c r="I187"/>
  <c r="H187"/>
  <c r="I186"/>
  <c r="H186"/>
  <c r="I185"/>
  <c r="H185"/>
  <c r="I184"/>
  <c r="H184"/>
  <c r="I183"/>
  <c r="H183"/>
  <c r="I182"/>
  <c r="H182"/>
  <c r="I181"/>
  <c r="H181"/>
  <c r="I180"/>
  <c r="H180"/>
  <c r="I179"/>
  <c r="H179"/>
  <c r="I178"/>
  <c r="H178"/>
  <c r="I177"/>
  <c r="H177"/>
  <c r="I176"/>
  <c r="H176"/>
  <c r="I175"/>
  <c r="H175"/>
  <c r="I174"/>
  <c r="H174"/>
  <c r="I173"/>
  <c r="H173"/>
  <c r="I172"/>
  <c r="H172"/>
  <c r="I171"/>
  <c r="H171"/>
  <c r="I170"/>
  <c r="H170"/>
  <c r="I169"/>
  <c r="H169"/>
  <c r="I168"/>
  <c r="H168"/>
  <c r="I167"/>
  <c r="H167"/>
  <c r="I166"/>
  <c r="H166"/>
  <c r="I165"/>
  <c r="H165"/>
  <c r="I164"/>
  <c r="H164"/>
  <c r="I163"/>
  <c r="H163"/>
  <c r="I162"/>
  <c r="H162"/>
  <c r="I161"/>
  <c r="H161"/>
  <c r="I160"/>
  <c r="H160"/>
  <c r="I159"/>
  <c r="H159"/>
  <c r="I158"/>
  <c r="H158"/>
  <c r="I157"/>
  <c r="H157"/>
  <c r="I156"/>
  <c r="H156"/>
  <c r="I155"/>
  <c r="H155"/>
  <c r="I154"/>
  <c r="H154"/>
  <c r="I153"/>
  <c r="H153"/>
  <c r="I152"/>
  <c r="H152"/>
  <c r="I151"/>
  <c r="H151"/>
  <c r="I150"/>
  <c r="H150"/>
  <c r="I149"/>
  <c r="H149"/>
  <c r="I148"/>
  <c r="H148"/>
  <c r="I147"/>
  <c r="H147"/>
  <c r="I146"/>
  <c r="H146"/>
  <c r="I145"/>
  <c r="H145"/>
  <c r="I144"/>
  <c r="H144"/>
  <c r="I143"/>
  <c r="H143"/>
  <c r="I142"/>
  <c r="H142"/>
  <c r="I141"/>
  <c r="H141"/>
  <c r="I140"/>
  <c r="H140"/>
  <c r="I139"/>
  <c r="H139"/>
  <c r="I138"/>
  <c r="H138"/>
  <c r="I137"/>
  <c r="H137"/>
  <c r="I136"/>
  <c r="H136"/>
  <c r="I135"/>
  <c r="H135"/>
  <c r="I134"/>
  <c r="H134"/>
  <c r="I133"/>
  <c r="H133"/>
  <c r="I132"/>
  <c r="H132"/>
  <c r="I131"/>
  <c r="H131"/>
  <c r="I130"/>
  <c r="H130"/>
  <c r="I129"/>
  <c r="H129"/>
  <c r="I128"/>
  <c r="H128"/>
  <c r="I127"/>
  <c r="H127"/>
  <c r="I126"/>
  <c r="H126"/>
  <c r="I125"/>
  <c r="H125"/>
  <c r="I124"/>
  <c r="H124"/>
  <c r="I123"/>
  <c r="H123"/>
  <c r="I122"/>
  <c r="H122"/>
  <c r="I121"/>
  <c r="H121"/>
  <c r="I120"/>
  <c r="H120"/>
  <c r="I119"/>
  <c r="H119"/>
  <c r="I118"/>
  <c r="H118"/>
  <c r="I117"/>
  <c r="H117"/>
  <c r="I116"/>
  <c r="H116"/>
  <c r="I115"/>
  <c r="H115"/>
  <c r="I114"/>
  <c r="H114"/>
  <c r="I113"/>
  <c r="H113"/>
  <c r="I112"/>
  <c r="H112"/>
  <c r="I111"/>
  <c r="H111"/>
  <c r="I110"/>
  <c r="H110"/>
  <c r="I109"/>
  <c r="H109"/>
  <c r="I108"/>
  <c r="H108"/>
  <c r="I107"/>
  <c r="H107"/>
  <c r="I106"/>
  <c r="H106"/>
  <c r="I105"/>
  <c r="H105"/>
  <c r="I104"/>
  <c r="H104"/>
  <c r="I103"/>
  <c r="H103"/>
  <c r="I102"/>
  <c r="H102"/>
  <c r="I101"/>
  <c r="H101"/>
  <c r="I100"/>
  <c r="H100"/>
  <c r="I99"/>
  <c r="H99"/>
  <c r="I98"/>
  <c r="H98"/>
  <c r="I97"/>
  <c r="H97"/>
  <c r="I96"/>
  <c r="H96"/>
  <c r="I95"/>
  <c r="H95"/>
  <c r="I94"/>
  <c r="H94"/>
  <c r="I93"/>
  <c r="H93"/>
  <c r="I92"/>
  <c r="H92"/>
  <c r="I91"/>
  <c r="H91"/>
  <c r="I90"/>
  <c r="H90"/>
  <c r="I89"/>
  <c r="H89"/>
  <c r="I88"/>
  <c r="H88"/>
  <c r="I87"/>
  <c r="H87"/>
  <c r="I86"/>
  <c r="H86"/>
  <c r="I85"/>
  <c r="H85"/>
  <c r="I84"/>
  <c r="H84"/>
  <c r="I83"/>
  <c r="H83"/>
  <c r="I82"/>
  <c r="H82"/>
  <c r="I81"/>
  <c r="H81"/>
  <c r="I80"/>
  <c r="H80"/>
  <c r="I79"/>
  <c r="H79"/>
  <c r="I78"/>
  <c r="H78"/>
  <c r="I77"/>
  <c r="H77"/>
  <c r="I76"/>
  <c r="H76"/>
  <c r="I75"/>
  <c r="H75"/>
  <c r="I74"/>
  <c r="H74"/>
  <c r="I73"/>
  <c r="H73"/>
  <c r="I72"/>
  <c r="H72"/>
  <c r="I71"/>
  <c r="H71"/>
  <c r="I70"/>
  <c r="H70"/>
  <c r="I69"/>
  <c r="H69"/>
  <c r="I68"/>
  <c r="H68"/>
  <c r="I67"/>
  <c r="H67"/>
  <c r="I66"/>
  <c r="H66"/>
  <c r="I65"/>
  <c r="H65"/>
  <c r="I64"/>
  <c r="H64"/>
  <c r="I63"/>
  <c r="H63"/>
  <c r="I62"/>
  <c r="H62"/>
  <c r="I61"/>
  <c r="H61"/>
  <c r="I60"/>
  <c r="H60"/>
  <c r="I59"/>
  <c r="H59"/>
  <c r="I58"/>
  <c r="H58"/>
  <c r="I57"/>
  <c r="H57"/>
  <c r="I56"/>
  <c r="H56"/>
  <c r="I55"/>
  <c r="H55"/>
  <c r="I54"/>
  <c r="H54"/>
  <c r="I53"/>
  <c r="H53"/>
  <c r="I52"/>
  <c r="H52"/>
  <c r="I51"/>
  <c r="H51"/>
  <c r="I50"/>
  <c r="H50"/>
  <c r="I49"/>
  <c r="H49"/>
  <c r="I48"/>
  <c r="H48"/>
  <c r="I47"/>
  <c r="H47"/>
  <c r="I46"/>
  <c r="H46"/>
  <c r="I45"/>
  <c r="H45"/>
  <c r="I44"/>
  <c r="H44"/>
  <c r="I43"/>
  <c r="H43"/>
  <c r="I42"/>
  <c r="H42"/>
  <c r="I41"/>
  <c r="H41"/>
  <c r="I40"/>
  <c r="H40"/>
  <c r="I39"/>
  <c r="H39"/>
  <c r="I38"/>
  <c r="H38"/>
  <c r="I37"/>
  <c r="H37"/>
  <c r="I36"/>
  <c r="H36"/>
  <c r="I35"/>
  <c r="H35"/>
  <c r="I34"/>
  <c r="H34"/>
  <c r="I33"/>
  <c r="H33"/>
  <c r="I32"/>
  <c r="H32"/>
  <c r="I31"/>
  <c r="H31"/>
  <c r="I30"/>
  <c r="H30"/>
  <c r="I29"/>
  <c r="H29"/>
  <c r="I28"/>
  <c r="H28"/>
  <c r="I27"/>
  <c r="H27"/>
  <c r="I26"/>
  <c r="H26"/>
  <c r="I25"/>
  <c r="H25"/>
  <c r="I24"/>
  <c r="H24"/>
  <c r="I23"/>
  <c r="H23"/>
  <c r="I22"/>
  <c r="H22"/>
  <c r="I21"/>
  <c r="H21"/>
  <c r="I20"/>
  <c r="H20"/>
  <c r="I19"/>
  <c r="H19"/>
  <c r="I18"/>
  <c r="H18"/>
  <c r="I17"/>
  <c r="H17"/>
  <c r="I16"/>
  <c r="H16"/>
  <c r="I15"/>
  <c r="H15"/>
  <c r="I14"/>
  <c r="H14"/>
  <c r="I13"/>
  <c r="H13"/>
  <c r="I12"/>
  <c r="H12"/>
  <c r="I11"/>
  <c r="H11"/>
  <c r="I10"/>
  <c r="H10"/>
  <c r="I9"/>
  <c r="H9"/>
  <c r="I8"/>
  <c r="H8"/>
  <c r="I7"/>
  <c r="H7"/>
  <c r="I6"/>
  <c r="H6"/>
  <c r="I5"/>
  <c r="H5"/>
  <c r="I4"/>
  <c r="H4"/>
  <c r="I3"/>
  <c r="H3"/>
  <c r="I2"/>
  <c r="H2"/>
  <c r="I504" i="3"/>
  <c r="H504"/>
  <c r="I503"/>
  <c r="H503"/>
  <c r="I502"/>
  <c r="H502"/>
  <c r="I501"/>
  <c r="H501"/>
  <c r="I500"/>
  <c r="H500"/>
  <c r="I499"/>
  <c r="H499"/>
  <c r="I498"/>
  <c r="H498"/>
  <c r="I497"/>
  <c r="H497"/>
  <c r="I496"/>
  <c r="H496"/>
  <c r="I495"/>
  <c r="H495"/>
  <c r="I494"/>
  <c r="H494"/>
  <c r="I493"/>
  <c r="H493"/>
  <c r="I492"/>
  <c r="H492"/>
  <c r="I491"/>
  <c r="H491"/>
  <c r="I490"/>
  <c r="H490"/>
  <c r="I489"/>
  <c r="H489"/>
  <c r="I488"/>
  <c r="H488"/>
  <c r="I487"/>
  <c r="H487"/>
  <c r="I486"/>
  <c r="H486"/>
  <c r="I485"/>
  <c r="H485"/>
  <c r="I484"/>
  <c r="H484"/>
  <c r="I483"/>
  <c r="H483"/>
  <c r="I482"/>
  <c r="H482"/>
  <c r="I481"/>
  <c r="H481"/>
  <c r="I480"/>
  <c r="H480"/>
  <c r="I479"/>
  <c r="H479"/>
  <c r="I478"/>
  <c r="H478"/>
  <c r="I477"/>
  <c r="H477"/>
  <c r="I476"/>
  <c r="H476"/>
  <c r="I475"/>
  <c r="H475"/>
  <c r="I474"/>
  <c r="H474"/>
  <c r="I473"/>
  <c r="H473"/>
  <c r="I472"/>
  <c r="H472"/>
  <c r="I471"/>
  <c r="H471"/>
  <c r="I470"/>
  <c r="H470"/>
  <c r="I469"/>
  <c r="H469"/>
  <c r="I468"/>
  <c r="H468"/>
  <c r="I467"/>
  <c r="H467"/>
  <c r="I466"/>
  <c r="H466"/>
  <c r="I465"/>
  <c r="H465"/>
  <c r="I464"/>
  <c r="H464"/>
  <c r="I463"/>
  <c r="H463"/>
  <c r="I462"/>
  <c r="H462"/>
  <c r="I461"/>
  <c r="H461"/>
  <c r="I460"/>
  <c r="H460"/>
  <c r="I459"/>
  <c r="H459"/>
  <c r="I458"/>
  <c r="H458"/>
  <c r="I457"/>
  <c r="H457"/>
  <c r="I456"/>
  <c r="H456"/>
  <c r="I455"/>
  <c r="H455"/>
  <c r="I454"/>
  <c r="H454"/>
  <c r="I453"/>
  <c r="H453"/>
  <c r="I452"/>
  <c r="H452"/>
  <c r="I451"/>
  <c r="H451"/>
  <c r="I450"/>
  <c r="H450"/>
  <c r="I449"/>
  <c r="H449"/>
  <c r="I448"/>
  <c r="H448"/>
  <c r="I447"/>
  <c r="H447"/>
  <c r="I446"/>
  <c r="H446"/>
  <c r="I445"/>
  <c r="H445"/>
  <c r="I444"/>
  <c r="H444"/>
  <c r="I443"/>
  <c r="H443"/>
  <c r="I442"/>
  <c r="H442"/>
  <c r="I441"/>
  <c r="H441"/>
  <c r="I440"/>
  <c r="H440"/>
  <c r="I439"/>
  <c r="H439"/>
  <c r="I438"/>
  <c r="H438"/>
  <c r="I437"/>
  <c r="H437"/>
  <c r="I436"/>
  <c r="H436"/>
  <c r="I435"/>
  <c r="H435"/>
  <c r="I434"/>
  <c r="H434"/>
  <c r="I433"/>
  <c r="H433"/>
  <c r="I432"/>
  <c r="H432"/>
  <c r="I431"/>
  <c r="H431"/>
  <c r="I430"/>
  <c r="H430"/>
  <c r="I429"/>
  <c r="H429"/>
  <c r="I428"/>
  <c r="H428"/>
  <c r="I427"/>
  <c r="H427"/>
  <c r="I426"/>
  <c r="H426"/>
  <c r="I425"/>
  <c r="H425"/>
  <c r="I424"/>
  <c r="H424"/>
  <c r="I423"/>
  <c r="H423"/>
  <c r="I422"/>
  <c r="H422"/>
  <c r="I421"/>
  <c r="H421"/>
  <c r="I420"/>
  <c r="H420"/>
  <c r="I419"/>
  <c r="H419"/>
  <c r="I418"/>
  <c r="H418"/>
  <c r="I417"/>
  <c r="H417"/>
  <c r="I416"/>
  <c r="H416"/>
  <c r="I415"/>
  <c r="H415"/>
  <c r="I414"/>
  <c r="H414"/>
  <c r="I413"/>
  <c r="H413"/>
  <c r="I412"/>
  <c r="H412"/>
  <c r="I411"/>
  <c r="H411"/>
  <c r="I410"/>
  <c r="H410"/>
  <c r="I409"/>
  <c r="H409"/>
  <c r="I408"/>
  <c r="H408"/>
  <c r="I407"/>
  <c r="H407"/>
  <c r="I406"/>
  <c r="H406"/>
  <c r="I405"/>
  <c r="H405"/>
  <c r="I404"/>
  <c r="H404"/>
  <c r="I403"/>
  <c r="H403"/>
  <c r="I402"/>
  <c r="H402"/>
  <c r="I401"/>
  <c r="H401"/>
  <c r="I400"/>
  <c r="H400"/>
  <c r="I399"/>
  <c r="H399"/>
  <c r="I398"/>
  <c r="H398"/>
  <c r="I397"/>
  <c r="H397"/>
  <c r="I396"/>
  <c r="H396"/>
  <c r="I395"/>
  <c r="H395"/>
  <c r="I394"/>
  <c r="H394"/>
  <c r="I393"/>
  <c r="H393"/>
  <c r="I392"/>
  <c r="H392"/>
  <c r="I391"/>
  <c r="H391"/>
  <c r="I390"/>
  <c r="H390"/>
  <c r="I389"/>
  <c r="H389"/>
  <c r="I388"/>
  <c r="H388"/>
  <c r="I387"/>
  <c r="H387"/>
  <c r="I386"/>
  <c r="H386"/>
  <c r="I385"/>
  <c r="H385"/>
  <c r="I384"/>
  <c r="H384"/>
  <c r="I383"/>
  <c r="H383"/>
  <c r="I382"/>
  <c r="H382"/>
  <c r="I381"/>
  <c r="H381"/>
  <c r="I380"/>
  <c r="H380"/>
  <c r="I379"/>
  <c r="H379"/>
  <c r="I378"/>
  <c r="H378"/>
  <c r="I377"/>
  <c r="H377"/>
  <c r="I376"/>
  <c r="H376"/>
  <c r="I375"/>
  <c r="H375"/>
  <c r="I374"/>
  <c r="H374"/>
  <c r="I373"/>
  <c r="H373"/>
  <c r="I372"/>
  <c r="H372"/>
  <c r="I371"/>
  <c r="H371"/>
  <c r="I370"/>
  <c r="H370"/>
  <c r="I369"/>
  <c r="H369"/>
  <c r="I368"/>
  <c r="H368"/>
  <c r="I367"/>
  <c r="H367"/>
  <c r="I366"/>
  <c r="H366"/>
  <c r="I365"/>
  <c r="H365"/>
  <c r="I364"/>
  <c r="H364"/>
  <c r="I363"/>
  <c r="H363"/>
  <c r="I362"/>
  <c r="H362"/>
  <c r="I361"/>
  <c r="H361"/>
  <c r="I360"/>
  <c r="H360"/>
  <c r="I359"/>
  <c r="H359"/>
  <c r="I358"/>
  <c r="H358"/>
  <c r="I357"/>
  <c r="H357"/>
  <c r="I356"/>
  <c r="H356"/>
  <c r="I355"/>
  <c r="H355"/>
  <c r="I354"/>
  <c r="H354"/>
  <c r="I353"/>
  <c r="H353"/>
  <c r="I352"/>
  <c r="H352"/>
  <c r="I351"/>
  <c r="H351"/>
  <c r="I350"/>
  <c r="H350"/>
  <c r="I349"/>
  <c r="H349"/>
  <c r="I348"/>
  <c r="H348"/>
  <c r="I347"/>
  <c r="H347"/>
  <c r="I346"/>
  <c r="H346"/>
  <c r="I345"/>
  <c r="H345"/>
  <c r="I344"/>
  <c r="H344"/>
  <c r="I343"/>
  <c r="H343"/>
  <c r="I342"/>
  <c r="H342"/>
  <c r="I341"/>
  <c r="H341"/>
  <c r="I340"/>
  <c r="H340"/>
  <c r="I339"/>
  <c r="H339"/>
  <c r="I338"/>
  <c r="H338"/>
  <c r="I337"/>
  <c r="H337"/>
  <c r="I336"/>
  <c r="H336"/>
  <c r="I335"/>
  <c r="H335"/>
  <c r="I334"/>
  <c r="H334"/>
  <c r="I333"/>
  <c r="H333"/>
  <c r="I332"/>
  <c r="H332"/>
  <c r="I331"/>
  <c r="H331"/>
  <c r="I330"/>
  <c r="H330"/>
  <c r="I329"/>
  <c r="H329"/>
  <c r="I328"/>
  <c r="H328"/>
  <c r="I327"/>
  <c r="H327"/>
  <c r="I326"/>
  <c r="H326"/>
  <c r="I325"/>
  <c r="H325"/>
  <c r="I324"/>
  <c r="H324"/>
  <c r="I323"/>
  <c r="H323"/>
  <c r="I322"/>
  <c r="H322"/>
  <c r="I321"/>
  <c r="H321"/>
  <c r="I320"/>
  <c r="H320"/>
  <c r="I319"/>
  <c r="H319"/>
  <c r="I318"/>
  <c r="H318"/>
  <c r="I317"/>
  <c r="H317"/>
  <c r="I316"/>
  <c r="H316"/>
  <c r="I315"/>
  <c r="H315"/>
  <c r="I314"/>
  <c r="H314"/>
  <c r="I313"/>
  <c r="H313"/>
  <c r="I312"/>
  <c r="H312"/>
  <c r="I311"/>
  <c r="H311"/>
  <c r="I310"/>
  <c r="H310"/>
  <c r="I309"/>
  <c r="H309"/>
  <c r="I308"/>
  <c r="H308"/>
  <c r="I307"/>
  <c r="H307"/>
  <c r="I306"/>
  <c r="H306"/>
  <c r="I305"/>
  <c r="H305"/>
  <c r="I304"/>
  <c r="H304"/>
  <c r="I303"/>
  <c r="H303"/>
  <c r="I302"/>
  <c r="H302"/>
  <c r="I301"/>
  <c r="H301"/>
  <c r="I300"/>
  <c r="H300"/>
  <c r="I299"/>
  <c r="H299"/>
  <c r="I298"/>
  <c r="H298"/>
  <c r="I297"/>
  <c r="H297"/>
  <c r="I296"/>
  <c r="H296"/>
  <c r="I295"/>
  <c r="H295"/>
  <c r="I294"/>
  <c r="H294"/>
  <c r="I293"/>
  <c r="H293"/>
  <c r="I292"/>
  <c r="H292"/>
  <c r="I291"/>
  <c r="H291"/>
  <c r="I290"/>
  <c r="H290"/>
  <c r="I289"/>
  <c r="H289"/>
  <c r="I288"/>
  <c r="H288"/>
  <c r="I287"/>
  <c r="H287"/>
  <c r="I286"/>
  <c r="H286"/>
  <c r="I285"/>
  <c r="H285"/>
  <c r="I284"/>
  <c r="H284"/>
  <c r="I283"/>
  <c r="H283"/>
  <c r="I282"/>
  <c r="H282"/>
  <c r="I281"/>
  <c r="H281"/>
  <c r="I280"/>
  <c r="H280"/>
  <c r="I279"/>
  <c r="H279"/>
  <c r="I278"/>
  <c r="H278"/>
  <c r="I277"/>
  <c r="H277"/>
  <c r="I276"/>
  <c r="H276"/>
  <c r="I275"/>
  <c r="H275"/>
  <c r="I274"/>
  <c r="H274"/>
  <c r="I273"/>
  <c r="H273"/>
  <c r="I272"/>
  <c r="H272"/>
  <c r="I271"/>
  <c r="H271"/>
  <c r="I270"/>
  <c r="H270"/>
  <c r="I269"/>
  <c r="H269"/>
  <c r="I268"/>
  <c r="H268"/>
  <c r="I267"/>
  <c r="H267"/>
  <c r="I266"/>
  <c r="H266"/>
  <c r="I265"/>
  <c r="H265"/>
  <c r="I264"/>
  <c r="H264"/>
  <c r="I263"/>
  <c r="H263"/>
  <c r="I262"/>
  <c r="H262"/>
  <c r="I261"/>
  <c r="H261"/>
  <c r="I260"/>
  <c r="H260"/>
  <c r="I259"/>
  <c r="H259"/>
  <c r="I258"/>
  <c r="H258"/>
  <c r="I257"/>
  <c r="H257"/>
  <c r="I256"/>
  <c r="H256"/>
  <c r="I255"/>
  <c r="H255"/>
  <c r="I254"/>
  <c r="H254"/>
  <c r="I253"/>
  <c r="H253"/>
  <c r="I252"/>
  <c r="H252"/>
  <c r="I251"/>
  <c r="H251"/>
  <c r="I250"/>
  <c r="H250"/>
  <c r="I249"/>
  <c r="H249"/>
  <c r="I248"/>
  <c r="H248"/>
  <c r="I247"/>
  <c r="H247"/>
  <c r="I246"/>
  <c r="H246"/>
  <c r="I245"/>
  <c r="H245"/>
  <c r="I244"/>
  <c r="H244"/>
  <c r="I243"/>
  <c r="H243"/>
  <c r="I242"/>
  <c r="H242"/>
  <c r="I241"/>
  <c r="H241"/>
  <c r="I240"/>
  <c r="H240"/>
  <c r="I239"/>
  <c r="H239"/>
  <c r="I238"/>
  <c r="H238"/>
  <c r="I237"/>
  <c r="H237"/>
  <c r="I236"/>
  <c r="H236"/>
  <c r="I235"/>
  <c r="H235"/>
  <c r="I234"/>
  <c r="H234"/>
  <c r="I233"/>
  <c r="H233"/>
  <c r="I232"/>
  <c r="H232"/>
  <c r="I231"/>
  <c r="H231"/>
  <c r="I230"/>
  <c r="H230"/>
  <c r="I229"/>
  <c r="H229"/>
  <c r="I228"/>
  <c r="H228"/>
  <c r="I227"/>
  <c r="H227"/>
  <c r="I226"/>
  <c r="H226"/>
  <c r="I225"/>
  <c r="H225"/>
  <c r="I224"/>
  <c r="H224"/>
  <c r="I223"/>
  <c r="H223"/>
  <c r="I222"/>
  <c r="H222"/>
  <c r="I221"/>
  <c r="H221"/>
  <c r="I220"/>
  <c r="H220"/>
  <c r="I219"/>
  <c r="H219"/>
  <c r="I218"/>
  <c r="H218"/>
  <c r="I217"/>
  <c r="H217"/>
  <c r="I216"/>
  <c r="H216"/>
  <c r="I215"/>
  <c r="H215"/>
  <c r="I214"/>
  <c r="H214"/>
  <c r="I213"/>
  <c r="H213"/>
  <c r="I212"/>
  <c r="H212"/>
  <c r="I211"/>
  <c r="H211"/>
  <c r="I210"/>
  <c r="H210"/>
  <c r="I209"/>
  <c r="H209"/>
  <c r="I208"/>
  <c r="H208"/>
  <c r="I207"/>
  <c r="H207"/>
  <c r="I206"/>
  <c r="H206"/>
  <c r="I205"/>
  <c r="H205"/>
  <c r="I204"/>
  <c r="H204"/>
  <c r="I203"/>
  <c r="H203"/>
  <c r="I202"/>
  <c r="H202"/>
  <c r="I201"/>
  <c r="H201"/>
  <c r="I200"/>
  <c r="H200"/>
  <c r="I199"/>
  <c r="H199"/>
  <c r="I198"/>
  <c r="H198"/>
  <c r="I197"/>
  <c r="H197"/>
  <c r="I196"/>
  <c r="H196"/>
  <c r="I195"/>
  <c r="H195"/>
  <c r="I194"/>
  <c r="H194"/>
  <c r="I193"/>
  <c r="H193"/>
  <c r="I192"/>
  <c r="H192"/>
  <c r="I191"/>
  <c r="H191"/>
  <c r="I190"/>
  <c r="H190"/>
  <c r="I189"/>
  <c r="H189"/>
  <c r="I188"/>
  <c r="H188"/>
  <c r="I187"/>
  <c r="H187"/>
  <c r="I186"/>
  <c r="H186"/>
  <c r="I185"/>
  <c r="H185"/>
  <c r="I184"/>
  <c r="H184"/>
  <c r="I183"/>
  <c r="H183"/>
  <c r="I182"/>
  <c r="H182"/>
  <c r="I181"/>
  <c r="H181"/>
  <c r="I180"/>
  <c r="H180"/>
  <c r="I179"/>
  <c r="H179"/>
  <c r="I178"/>
  <c r="H178"/>
  <c r="I177"/>
  <c r="H177"/>
  <c r="I176"/>
  <c r="H176"/>
  <c r="I175"/>
  <c r="H175"/>
  <c r="I174"/>
  <c r="H174"/>
  <c r="I173"/>
  <c r="H173"/>
  <c r="I172"/>
  <c r="H172"/>
  <c r="I171"/>
  <c r="H171"/>
  <c r="I170"/>
  <c r="H170"/>
  <c r="I169"/>
  <c r="H169"/>
  <c r="I168"/>
  <c r="H168"/>
  <c r="I167"/>
  <c r="H167"/>
  <c r="I166"/>
  <c r="H166"/>
  <c r="I165"/>
  <c r="H165"/>
  <c r="I164"/>
  <c r="H164"/>
  <c r="I163"/>
  <c r="H163"/>
  <c r="I162"/>
  <c r="H162"/>
  <c r="I161"/>
  <c r="H161"/>
  <c r="I160"/>
  <c r="H160"/>
  <c r="I159"/>
  <c r="H159"/>
  <c r="I158"/>
  <c r="H158"/>
  <c r="I157"/>
  <c r="H157"/>
  <c r="I156"/>
  <c r="H156"/>
  <c r="I155"/>
  <c r="H155"/>
  <c r="I154"/>
  <c r="H154"/>
  <c r="I153"/>
  <c r="H153"/>
  <c r="I152"/>
  <c r="H152"/>
  <c r="I151"/>
  <c r="H151"/>
  <c r="I150"/>
  <c r="H150"/>
  <c r="I149"/>
  <c r="H149"/>
  <c r="I148"/>
  <c r="H148"/>
  <c r="I147"/>
  <c r="H147"/>
  <c r="I146"/>
  <c r="H146"/>
  <c r="I145"/>
  <c r="H145"/>
  <c r="I144"/>
  <c r="H144"/>
  <c r="I143"/>
  <c r="H143"/>
  <c r="I142"/>
  <c r="H142"/>
  <c r="I141"/>
  <c r="H141"/>
  <c r="I140"/>
  <c r="H140"/>
  <c r="I139"/>
  <c r="H139"/>
  <c r="I138"/>
  <c r="H138"/>
  <c r="I137"/>
  <c r="H137"/>
  <c r="I136"/>
  <c r="H136"/>
  <c r="I135"/>
  <c r="H135"/>
  <c r="I134"/>
  <c r="H134"/>
  <c r="I133"/>
  <c r="H133"/>
  <c r="I132"/>
  <c r="H132"/>
  <c r="I131"/>
  <c r="H131"/>
  <c r="I130"/>
  <c r="H130"/>
  <c r="I129"/>
  <c r="H129"/>
  <c r="I128"/>
  <c r="H128"/>
  <c r="I127"/>
  <c r="H127"/>
  <c r="I126"/>
  <c r="H126"/>
  <c r="I125"/>
  <c r="H125"/>
  <c r="I124"/>
  <c r="H124"/>
  <c r="I123"/>
  <c r="H123"/>
  <c r="I122"/>
  <c r="H122"/>
  <c r="I121"/>
  <c r="H121"/>
  <c r="I120"/>
  <c r="H120"/>
  <c r="I119"/>
  <c r="H119"/>
  <c r="I118"/>
  <c r="H118"/>
  <c r="I117"/>
  <c r="H117"/>
  <c r="I116"/>
  <c r="H116"/>
  <c r="I115"/>
  <c r="H115"/>
  <c r="I114"/>
  <c r="H114"/>
  <c r="I113"/>
  <c r="H113"/>
  <c r="I112"/>
  <c r="H112"/>
  <c r="I111"/>
  <c r="H111"/>
  <c r="I110"/>
  <c r="H110"/>
  <c r="I109"/>
  <c r="H109"/>
  <c r="I108"/>
  <c r="H108"/>
  <c r="I107"/>
  <c r="H107"/>
  <c r="I106"/>
  <c r="H106"/>
  <c r="I105"/>
  <c r="H105"/>
  <c r="I104"/>
  <c r="H104"/>
  <c r="I103"/>
  <c r="H103"/>
  <c r="I102"/>
  <c r="H102"/>
  <c r="I101"/>
  <c r="H101"/>
  <c r="I100"/>
  <c r="H100"/>
  <c r="I99"/>
  <c r="H99"/>
  <c r="I98"/>
  <c r="H98"/>
  <c r="I97"/>
  <c r="H97"/>
  <c r="I96"/>
  <c r="H96"/>
  <c r="I95"/>
  <c r="H95"/>
  <c r="I94"/>
  <c r="H94"/>
  <c r="I93"/>
  <c r="H93"/>
  <c r="I92"/>
  <c r="H92"/>
  <c r="I91"/>
  <c r="H91"/>
  <c r="I90"/>
  <c r="H90"/>
  <c r="I89"/>
  <c r="H89"/>
  <c r="I88"/>
  <c r="H88"/>
  <c r="I87"/>
  <c r="H87"/>
  <c r="I86"/>
  <c r="H86"/>
  <c r="I85"/>
  <c r="H85"/>
  <c r="I84"/>
  <c r="H84"/>
  <c r="I83"/>
  <c r="H83"/>
  <c r="I82"/>
  <c r="H82"/>
  <c r="I81"/>
  <c r="H81"/>
  <c r="I80"/>
  <c r="H80"/>
  <c r="I79"/>
  <c r="H79"/>
  <c r="I78"/>
  <c r="H78"/>
  <c r="I77"/>
  <c r="H77"/>
  <c r="I76"/>
  <c r="H76"/>
  <c r="I75"/>
  <c r="H75"/>
  <c r="I74"/>
  <c r="H74"/>
  <c r="I73"/>
  <c r="H73"/>
  <c r="I72"/>
  <c r="H72"/>
  <c r="I71"/>
  <c r="H71"/>
  <c r="I70"/>
  <c r="H70"/>
  <c r="I69"/>
  <c r="H69"/>
  <c r="I68"/>
  <c r="H68"/>
  <c r="I67"/>
  <c r="H67"/>
  <c r="I66"/>
  <c r="H66"/>
  <c r="I65"/>
  <c r="H65"/>
  <c r="I64"/>
  <c r="H64"/>
  <c r="I63"/>
  <c r="H63"/>
  <c r="I62"/>
  <c r="H62"/>
  <c r="I61"/>
  <c r="H61"/>
  <c r="I60"/>
  <c r="H60"/>
  <c r="I59"/>
  <c r="H59"/>
  <c r="I58"/>
  <c r="H58"/>
  <c r="I57"/>
  <c r="H57"/>
  <c r="I56"/>
  <c r="H56"/>
  <c r="I55"/>
  <c r="H55"/>
  <c r="I54"/>
  <c r="H54"/>
  <c r="I53"/>
  <c r="H53"/>
  <c r="I52"/>
  <c r="H52"/>
  <c r="I51"/>
  <c r="H51"/>
  <c r="I50"/>
  <c r="H50"/>
  <c r="I49"/>
  <c r="H49"/>
  <c r="I48"/>
  <c r="H48"/>
  <c r="I47"/>
  <c r="H47"/>
  <c r="I46"/>
  <c r="H46"/>
  <c r="I45"/>
  <c r="H45"/>
  <c r="I44"/>
  <c r="H44"/>
  <c r="I43"/>
  <c r="H43"/>
  <c r="I42"/>
  <c r="H42"/>
  <c r="I41"/>
  <c r="H41"/>
  <c r="I40"/>
  <c r="H40"/>
  <c r="I39"/>
  <c r="H39"/>
  <c r="I38"/>
  <c r="H38"/>
  <c r="I37"/>
  <c r="H37"/>
  <c r="I36"/>
  <c r="H36"/>
  <c r="I35"/>
  <c r="H35"/>
  <c r="I34"/>
  <c r="H34"/>
  <c r="I33"/>
  <c r="H33"/>
  <c r="I32"/>
  <c r="H32"/>
  <c r="I31"/>
  <c r="H31"/>
  <c r="I30"/>
  <c r="H30"/>
  <c r="I29"/>
  <c r="H29"/>
  <c r="I28"/>
  <c r="H28"/>
  <c r="I27"/>
  <c r="H27"/>
  <c r="I26"/>
  <c r="H26"/>
  <c r="I25"/>
  <c r="H25"/>
  <c r="I24"/>
  <c r="H24"/>
  <c r="I23"/>
  <c r="H23"/>
  <c r="I22"/>
  <c r="H22"/>
  <c r="I21"/>
  <c r="H21"/>
  <c r="I20"/>
  <c r="H20"/>
  <c r="I19"/>
  <c r="H19"/>
  <c r="I18"/>
  <c r="H18"/>
  <c r="I17"/>
  <c r="H17"/>
  <c r="I16"/>
  <c r="H16"/>
  <c r="I15"/>
  <c r="H15"/>
  <c r="I14"/>
  <c r="H14"/>
  <c r="I13"/>
  <c r="H13"/>
  <c r="I12"/>
  <c r="H12"/>
  <c r="I11"/>
  <c r="H11"/>
  <c r="I10"/>
  <c r="H10"/>
  <c r="I9"/>
  <c r="H9"/>
  <c r="I8"/>
  <c r="H8"/>
  <c r="I7"/>
  <c r="H7"/>
  <c r="I6"/>
  <c r="H6"/>
  <c r="I5"/>
  <c r="H5"/>
  <c r="I4"/>
  <c r="H4"/>
  <c r="I3"/>
  <c r="H3"/>
  <c r="I2"/>
  <c r="H2"/>
</calcChain>
</file>

<file path=xl/sharedStrings.xml><?xml version="1.0" encoding="utf-8"?>
<sst xmlns="http://schemas.openxmlformats.org/spreadsheetml/2006/main" count="4869" uniqueCount="1810">
  <si>
    <t>US · China · Eurozone — 1D &amp; 10D Verification</t>
  </si>
  <si>
    <t>Index</t>
  </si>
  <si>
    <t>Start</t>
  </si>
  <si>
    <t>Previous</t>
  </si>
  <si>
    <t>End</t>
  </si>
  <si>
    <t>Members</t>
  </si>
  <si>
    <t>1D Proxy</t>
  </si>
  <si>
    <t>10D Proxy</t>
  </si>
  <si>
    <t>SPX</t>
  </si>
  <si>
    <t>2026-08-19</t>
  </si>
  <si>
    <t>2026-09-01</t>
  </si>
  <si>
    <t>2026-09-02</t>
  </si>
  <si>
    <t>SHSZ300</t>
  </si>
  <si>
    <t>2026-08-18</t>
  </si>
  <si>
    <t>2026-08-31</t>
  </si>
  <si>
    <t>SX5E</t>
  </si>
  <si>
    <t>Index return note</t>
  </si>
  <si>
    <t>Start-date market-cap-weighted constituent price-return proxy; official index level return may differ due to free-float/capping/corporate actions.</t>
  </si>
  <si>
    <t>Source members</t>
  </si>
  <si>
    <t>Ranked members</t>
  </si>
  <si>
    <t>Missing intersection</t>
  </si>
  <si>
    <t>Repeated latest</t>
  </si>
  <si>
    <t>Actual sessions / exclusions</t>
  </si>
  <si>
    <t>Sessions: 2026-08-19, 2026-08-20, 2026-08-21, 2026-08-24, 2026-08-25, 2026-08-26, 2026-08-27, 2026-08-28, 2026-08-31, 2026-09-01, 2026-09-02</t>
  </si>
  <si>
    <t>Sessions: 2026-08-18, 2026-08-19, 2026-08-20, 2026-08-21, 2026-08-24, 2026-08-25, 2026-08-26, 2026-08-27, 2026-08-28, 2026-08-31, 2026-09-01</t>
  </si>
  <si>
    <t>Ticker</t>
  </si>
  <si>
    <t>Company</t>
  </si>
  <si>
    <t>GICS Sector</t>
  </si>
  <si>
    <t>Industry Group</t>
  </si>
  <si>
    <t>Start Price</t>
  </si>
  <si>
    <t>Previous Price</t>
  </si>
  <si>
    <t>End Price</t>
  </si>
  <si>
    <t>1D Return</t>
  </si>
  <si>
    <t>10D Return</t>
  </si>
  <si>
    <t>10D Max Drawdown</t>
  </si>
  <si>
    <t>1D Percentile</t>
  </si>
  <si>
    <t>10D Percentile</t>
  </si>
  <si>
    <t>Direction</t>
  </si>
  <si>
    <t>CRM UN Equity</t>
  </si>
  <si>
    <t>Salesforce Inc</t>
  </si>
  <si>
    <t>Information Technology</t>
  </si>
  <si>
    <t>Software &amp; Services</t>
  </si>
  <si>
    <t>차익실현</t>
  </si>
  <si>
    <t>DE UN Equity</t>
  </si>
  <si>
    <t>Deere &amp; Co</t>
  </si>
  <si>
    <t>Industrials</t>
  </si>
  <si>
    <t>Capital Goods</t>
  </si>
  <si>
    <t>추세 강화</t>
  </si>
  <si>
    <t>MOS UN Equity</t>
  </si>
  <si>
    <t>Mosaic Co/The</t>
  </si>
  <si>
    <t>Materials</t>
  </si>
  <si>
    <t>CF UN Equity</t>
  </si>
  <si>
    <t>CF Industries Holdings Inc</t>
  </si>
  <si>
    <t>CTVA UN Equity</t>
  </si>
  <si>
    <t>Corteva Inc</t>
  </si>
  <si>
    <t>CMG UN Equity</t>
  </si>
  <si>
    <t>Chipotle Mexican Grill Inc</t>
  </si>
  <si>
    <t>Consumer Discretionary</t>
  </si>
  <si>
    <t>Consumer Services</t>
  </si>
  <si>
    <t>VEEV UN Equity</t>
  </si>
  <si>
    <t>Veeva Systems Inc</t>
  </si>
  <si>
    <t>Health Care</t>
  </si>
  <si>
    <t>Health Care Equipment &amp; Services</t>
  </si>
  <si>
    <t>중립</t>
  </si>
  <si>
    <t>GEN UW Equity</t>
  </si>
  <si>
    <t>Gen Digital Inc</t>
  </si>
  <si>
    <t>CDW UW Equity</t>
  </si>
  <si>
    <t>CDW Corp/DE</t>
  </si>
  <si>
    <t>Technology Hardware &amp; Equipment</t>
  </si>
  <si>
    <t>HOOD UW Equity</t>
  </si>
  <si>
    <t>Robinhood Markets Inc</t>
  </si>
  <si>
    <t>Financials</t>
  </si>
  <si>
    <t>Financial Services</t>
  </si>
  <si>
    <t>COIN UW Equity</t>
  </si>
  <si>
    <t>Coinbase Global Inc</t>
  </si>
  <si>
    <t>RVTY UN Equity</t>
  </si>
  <si>
    <t>Revvity Inc</t>
  </si>
  <si>
    <t>Pharmaceuticals, Biotechnology &amp; Life Sciences</t>
  </si>
  <si>
    <t>META UW Equity</t>
  </si>
  <si>
    <t>Meta Platforms Inc</t>
  </si>
  <si>
    <t>Communication Services</t>
  </si>
  <si>
    <t>Media &amp; Entertainment</t>
  </si>
  <si>
    <t>NOW UN Equity</t>
  </si>
  <si>
    <t>ServiceNow Inc</t>
  </si>
  <si>
    <t>TYL UN Equity</t>
  </si>
  <si>
    <t>Tyler Technologies Inc</t>
  </si>
  <si>
    <t>MCK UN Equity</t>
  </si>
  <si>
    <t>McKesson Corp</t>
  </si>
  <si>
    <t>SLB UN Equity</t>
  </si>
  <si>
    <t>SLB Ltd</t>
  </si>
  <si>
    <t>Energy</t>
  </si>
  <si>
    <t>FCX UN Equity</t>
  </si>
  <si>
    <t>Freeport-McMoRan Inc</t>
  </si>
  <si>
    <t>DG UN Equity</t>
  </si>
  <si>
    <t>Dollar General Corp</t>
  </si>
  <si>
    <t>Consumer Staples</t>
  </si>
  <si>
    <t>Consumer Staples Distribution &amp; Retail</t>
  </si>
  <si>
    <t>BG UN Equity</t>
  </si>
  <si>
    <t>Bunge Global SA</t>
  </si>
  <si>
    <t>Food, Beverage &amp; Tobacco</t>
  </si>
  <si>
    <t>SJM UN Equity</t>
  </si>
  <si>
    <t>J M Smucker Co/The</t>
  </si>
  <si>
    <t>MPC UN Equity</t>
  </si>
  <si>
    <t>Marathon Petroleum Corp</t>
  </si>
  <si>
    <t>HAL UN Equity</t>
  </si>
  <si>
    <t>Halliburton Co</t>
  </si>
  <si>
    <t>CBOE UF Equity</t>
  </si>
  <si>
    <t>Cboe Global Markets Inc</t>
  </si>
  <si>
    <t>COR UN Equity</t>
  </si>
  <si>
    <t>Cencora Inc</t>
  </si>
  <si>
    <t>CVNA UN Equity</t>
  </si>
  <si>
    <t>Carvana Co</t>
  </si>
  <si>
    <t>Consumer Discretionary Distribution &amp; Retail</t>
  </si>
  <si>
    <t>CME UW Equity</t>
  </si>
  <si>
    <t>CME Group Inc</t>
  </si>
  <si>
    <t>ULTA UW Equity</t>
  </si>
  <si>
    <t>Ulta Beauty Inc</t>
  </si>
  <si>
    <t>HUM UN Equity</t>
  </si>
  <si>
    <t>Humana Inc</t>
  </si>
  <si>
    <t>STLD UW Equity</t>
  </si>
  <si>
    <t>Steel Dynamics Inc</t>
  </si>
  <si>
    <t>ADM UN Equity</t>
  </si>
  <si>
    <t>Archer-Daniels-Midland Co</t>
  </si>
  <si>
    <t>VLO UN Equity</t>
  </si>
  <si>
    <t>Valero Energy Corp</t>
  </si>
  <si>
    <t>TTD UQ Equity</t>
  </si>
  <si>
    <t>Trade Desk Inc/The</t>
  </si>
  <si>
    <t>KDP UW Equity</t>
  </si>
  <si>
    <t>Keurig Dr Pepper Inc</t>
  </si>
  <si>
    <t>PSX UN Equity</t>
  </si>
  <si>
    <t>Phillips 66</t>
  </si>
  <si>
    <t>IQV UN Equity</t>
  </si>
  <si>
    <t>IQVIA Holdings Inc</t>
  </si>
  <si>
    <t>VRSN UW Equity</t>
  </si>
  <si>
    <t>VeriSign Inc</t>
  </si>
  <si>
    <t>T UN Equity</t>
  </si>
  <si>
    <t>AT&amp;T Inc</t>
  </si>
  <si>
    <t>Telecommunication Services</t>
  </si>
  <si>
    <t>MO UN Equity</t>
  </si>
  <si>
    <t>Altria Group Inc</t>
  </si>
  <si>
    <t>NUE UN Equity</t>
  </si>
  <si>
    <t>Nucor Corp</t>
  </si>
  <si>
    <t>IFF UN Equity</t>
  </si>
  <si>
    <t>International Flavors &amp; Fragra</t>
  </si>
  <si>
    <t>EG UN Equity</t>
  </si>
  <si>
    <t>Everest Group Ltd</t>
  </si>
  <si>
    <t>Insurance</t>
  </si>
  <si>
    <t>HPQ UN Equity</t>
  </si>
  <si>
    <t>HP Inc</t>
  </si>
  <si>
    <t>NWSA UW Equity</t>
  </si>
  <si>
    <t>News Corp</t>
  </si>
  <si>
    <t>SOLV UN Equity</t>
  </si>
  <si>
    <t>Solventum Corp</t>
  </si>
  <si>
    <t>CVS UN Equity</t>
  </si>
  <si>
    <t>CVS Health Corp</t>
  </si>
  <si>
    <t>YUM UN Equity</t>
  </si>
  <si>
    <t>Yum! Brands Inc</t>
  </si>
  <si>
    <t>CAH UN Equity</t>
  </si>
  <si>
    <t>Cardinal Health Inc</t>
  </si>
  <si>
    <t>QCOM UW Equity</t>
  </si>
  <si>
    <t>QUALCOMM Inc</t>
  </si>
  <si>
    <t>Semiconductors &amp; Semiconductor Equipment</t>
  </si>
  <si>
    <t>ARE UN Equity</t>
  </si>
  <si>
    <t>Alexandria Real Estate Equitie</t>
  </si>
  <si>
    <t>Real Estate</t>
  </si>
  <si>
    <t>Equity Real Estate Investment Trusts (REITs)</t>
  </si>
  <si>
    <t>WFC UN Equity</t>
  </si>
  <si>
    <t>Wells Fargo &amp; Co</t>
  </si>
  <si>
    <t>Banks</t>
  </si>
  <si>
    <t>PSKY UW Equity</t>
  </si>
  <si>
    <t>Paramount Skydance Corp</t>
  </si>
  <si>
    <t>VTRS UW Equity</t>
  </si>
  <si>
    <t>Viatris Inc</t>
  </si>
  <si>
    <t>COP UN Equity</t>
  </si>
  <si>
    <t>ConocoPhillips</t>
  </si>
  <si>
    <t>GDDY UN Equity</t>
  </si>
  <si>
    <t>GoDaddy Inc</t>
  </si>
  <si>
    <t>CTSH UW Equity</t>
  </si>
  <si>
    <t>Cognizant Technology Solutions</t>
  </si>
  <si>
    <t>EL UN Equity</t>
  </si>
  <si>
    <t>Estee Lauder Cos Inc/The</t>
  </si>
  <si>
    <t>Household &amp; Personal Products</t>
  </si>
  <si>
    <t>NVDA UW Equity</t>
  </si>
  <si>
    <t>NVIDIA Corp</t>
  </si>
  <si>
    <t>V UN Equity</t>
  </si>
  <si>
    <t>Visa Inc</t>
  </si>
  <si>
    <t>EXE UW Equity</t>
  </si>
  <si>
    <t>Expand Energy Corp</t>
  </si>
  <si>
    <t>SNPS UW Equity</t>
  </si>
  <si>
    <t>Synopsys Inc</t>
  </si>
  <si>
    <t>ADBE UW Equity</t>
  </si>
  <si>
    <t>Adobe Inc</t>
  </si>
  <si>
    <t>KR UN Equity</t>
  </si>
  <si>
    <t>Kroger Co/The</t>
  </si>
  <si>
    <t>TGT UN Equity</t>
  </si>
  <si>
    <t>Target Corp</t>
  </si>
  <si>
    <t>EQT UN Equity</t>
  </si>
  <si>
    <t>EQT Corp</t>
  </si>
  <si>
    <t>SWKS UW Equity</t>
  </si>
  <si>
    <t>Skyworks Solutions Inc</t>
  </si>
  <si>
    <t>LITE UW Equity</t>
  </si>
  <si>
    <t>Lumentum Holdings Inc</t>
  </si>
  <si>
    <t>JKHY UW Equity</t>
  </si>
  <si>
    <t>Jack Henry &amp; Associates Inc</t>
  </si>
  <si>
    <t>FIS UN Equity</t>
  </si>
  <si>
    <t>Fidelity National Information</t>
  </si>
  <si>
    <t>STT UN Equity</t>
  </si>
  <si>
    <t>State Street Corp</t>
  </si>
  <si>
    <t>GIS UN Equity</t>
  </si>
  <si>
    <t>General Mills Inc</t>
  </si>
  <si>
    <t>NDSN UW Equity</t>
  </si>
  <si>
    <t>Nordson Corp</t>
  </si>
  <si>
    <t>NFLX UW Equity</t>
  </si>
  <si>
    <t>Netflix Inc</t>
  </si>
  <si>
    <t>CVX UN Equity</t>
  </si>
  <si>
    <t>Chevron Corp</t>
  </si>
  <si>
    <t>DPZ UW Equity</t>
  </si>
  <si>
    <t>Domino's Pizza Inc</t>
  </si>
  <si>
    <t>DASH UW Equity</t>
  </si>
  <si>
    <t>DoorDash Inc</t>
  </si>
  <si>
    <t>NWS UW Equity</t>
  </si>
  <si>
    <t>UNH UN Equity</t>
  </si>
  <si>
    <t>UnitedHealth Group Inc</t>
  </si>
  <si>
    <t>VZ UN Equity</t>
  </si>
  <si>
    <t>Verizon Communications Inc</t>
  </si>
  <si>
    <t>AIZ UN Equity</t>
  </si>
  <si>
    <t>Assurant Inc</t>
  </si>
  <si>
    <t>MA UN Equity</t>
  </si>
  <si>
    <t>Mastercard Inc</t>
  </si>
  <si>
    <t>ROP UW Equity</t>
  </si>
  <si>
    <t>Roper Technologies Inc</t>
  </si>
  <si>
    <t>MSFT UW Equity</t>
  </si>
  <si>
    <t>Microsoft Corp</t>
  </si>
  <si>
    <t>SPGI UN Equity</t>
  </si>
  <si>
    <t>S&amp;P Global Inc</t>
  </si>
  <si>
    <t>AJG UN Equity</t>
  </si>
  <si>
    <t>Arthur J Gallagher &amp; Co</t>
  </si>
  <si>
    <t>SBAC UW Equity</t>
  </si>
  <si>
    <t>SBA Communications Corp</t>
  </si>
  <si>
    <t>FFIV UW Equity</t>
  </si>
  <si>
    <t>F5 Inc</t>
  </si>
  <si>
    <t>TMUS UW Equity</t>
  </si>
  <si>
    <t>T-Mobile US Inc</t>
  </si>
  <si>
    <t>APD UN Equity</t>
  </si>
  <si>
    <t>Air Products and Chemicals Inc</t>
  </si>
  <si>
    <t>CI UN Equity</t>
  </si>
  <si>
    <t>Cigna Group/The</t>
  </si>
  <si>
    <t>AAPL UW Equity</t>
  </si>
  <si>
    <t>Apple Inc</t>
  </si>
  <si>
    <t>CEG UW Equity</t>
  </si>
  <si>
    <t>Constellation Energy Corp</t>
  </si>
  <si>
    <t>Utilities</t>
  </si>
  <si>
    <t>BR UN Equity</t>
  </si>
  <si>
    <t>Broadridge Financial Solutions</t>
  </si>
  <si>
    <t>Commercial &amp; Professional Services</t>
  </si>
  <si>
    <t>PGR UN Equity</t>
  </si>
  <si>
    <t>Progressive Corp/The</t>
  </si>
  <si>
    <t>SBUX UW Equity</t>
  </si>
  <si>
    <t>Starbucks Corp</t>
  </si>
  <si>
    <t>FDS UN Equity</t>
  </si>
  <si>
    <t>FactSet Research Systems Inc</t>
  </si>
  <si>
    <t>KHC UW Equity</t>
  </si>
  <si>
    <t>Kraft Heinz Co/The</t>
  </si>
  <si>
    <t>CNC UN Equity</t>
  </si>
  <si>
    <t>Centene Corp</t>
  </si>
  <si>
    <t>APA UW Equity</t>
  </si>
  <si>
    <t>APA Corp</t>
  </si>
  <si>
    <t>RMD UN Equity</t>
  </si>
  <si>
    <t>ResMed Inc</t>
  </si>
  <si>
    <t>PFE UN Equity</t>
  </si>
  <si>
    <t>Pfizer Inc</t>
  </si>
  <si>
    <t>EBAY UW Equity</t>
  </si>
  <si>
    <t>eBay Inc</t>
  </si>
  <si>
    <t>GL UN Equity</t>
  </si>
  <si>
    <t>Globe Life Inc</t>
  </si>
  <si>
    <t>CINF UW Equity</t>
  </si>
  <si>
    <t>Cincinnati Financial Corp</t>
  </si>
  <si>
    <t>PG UN Equity</t>
  </si>
  <si>
    <t>Procter &amp; Gamble Co/The</t>
  </si>
  <si>
    <t>GPC UN Equity</t>
  </si>
  <si>
    <t>Genuine Parts Co</t>
  </si>
  <si>
    <t>CRWD UW Equity</t>
  </si>
  <si>
    <t>Crowdstrike Holdings Inc</t>
  </si>
  <si>
    <t>단기 반전</t>
  </si>
  <si>
    <t>AVGO UW Equity</t>
  </si>
  <si>
    <t>Broadcom Inc</t>
  </si>
  <si>
    <t>HSIC UW Equity</t>
  </si>
  <si>
    <t>Henry Schein Inc</t>
  </si>
  <si>
    <t>BRO UN Equity</t>
  </si>
  <si>
    <t>Brown &amp; Brown Inc</t>
  </si>
  <si>
    <t>VRSK UW Equity</t>
  </si>
  <si>
    <t>Verisk Analytics Inc</t>
  </si>
  <si>
    <t>C UN Equity</t>
  </si>
  <si>
    <t>Citigroup Inc</t>
  </si>
  <si>
    <t>BNY UN Equity</t>
  </si>
  <si>
    <t>Bank of New York Mellon Corp/T</t>
  </si>
  <si>
    <t>CHTR UW Equity</t>
  </si>
  <si>
    <t>Charter Communications Inc</t>
  </si>
  <si>
    <t>DIS UN Equity</t>
  </si>
  <si>
    <t>Walt Disney Co/The</t>
  </si>
  <si>
    <t>CMCSA UW Equity</t>
  </si>
  <si>
    <t>Comcast Corp</t>
  </si>
  <si>
    <t>BRK/B UN Equity</t>
  </si>
  <si>
    <t>Berkshire Hathaway Inc</t>
  </si>
  <si>
    <t>ACN UN Equity</t>
  </si>
  <si>
    <t>Accenture PLC</t>
  </si>
  <si>
    <t>MET UN Equity</t>
  </si>
  <si>
    <t>MetLife Inc</t>
  </si>
  <si>
    <t>ICE UN Equity</t>
  </si>
  <si>
    <t>Intercontinental Exchange Inc</t>
  </si>
  <si>
    <t>CPAY UN Equity</t>
  </si>
  <si>
    <t>Corpay Inc</t>
  </si>
  <si>
    <t>LIN UW Equity</t>
  </si>
  <si>
    <t>Linde PLC</t>
  </si>
  <si>
    <t>WMB UN Equity</t>
  </si>
  <si>
    <t>Williams Cos Inc/The</t>
  </si>
  <si>
    <t>ELV UN Equity</t>
  </si>
  <si>
    <t>Elevance Health Inc</t>
  </si>
  <si>
    <t>DELL UN Equity</t>
  </si>
  <si>
    <t>Dell Technologies Inc</t>
  </si>
  <si>
    <t>GILD UW Equity</t>
  </si>
  <si>
    <t>Gilead Sciences Inc</t>
  </si>
  <si>
    <t>LH UN Equity</t>
  </si>
  <si>
    <t>Labcorp Holdings Inc</t>
  </si>
  <si>
    <t>PAYX UW Equity</t>
  </si>
  <si>
    <t>Paychex Inc</t>
  </si>
  <si>
    <t>BDX UN Equity</t>
  </si>
  <si>
    <t>Becton Dickinson &amp; Co</t>
  </si>
  <si>
    <t>FTNT UW Equity</t>
  </si>
  <si>
    <t>Fortinet Inc</t>
  </si>
  <si>
    <t>ADP UW Equity</t>
  </si>
  <si>
    <t>Automatic Data Processing Inc</t>
  </si>
  <si>
    <t>VMRK UN Equity</t>
  </si>
  <si>
    <t>Vivmark Residential</t>
  </si>
  <si>
    <t>AIG UN Equity</t>
  </si>
  <si>
    <t>American International Group I</t>
  </si>
  <si>
    <t>LULU UW Equity</t>
  </si>
  <si>
    <t>Lululemon Athletica Inc</t>
  </si>
  <si>
    <t>Consumer Durables &amp; Apparel</t>
  </si>
  <si>
    <t>TRV UN Equity</t>
  </si>
  <si>
    <t>Travelers Cos Inc/The</t>
  </si>
  <si>
    <t>HCA UN Equity</t>
  </si>
  <si>
    <t>HCA Healthcare Inc</t>
  </si>
  <si>
    <t>CHRW UW Equity</t>
  </si>
  <si>
    <t>CH Robinson Worldwide Inc</t>
  </si>
  <si>
    <t>Transportation</t>
  </si>
  <si>
    <t>ORCL UN Equity</t>
  </si>
  <si>
    <t>Oracle Corp</t>
  </si>
  <si>
    <t>APH UN Equity</t>
  </si>
  <si>
    <t>Amphenol Corp</t>
  </si>
  <si>
    <t>FISV UW Equity</t>
  </si>
  <si>
    <t>Fiserv Inc</t>
  </si>
  <si>
    <t>RDDT UN Equity</t>
  </si>
  <si>
    <t>Reddit Inc</t>
  </si>
  <si>
    <t>WELL UN Equity</t>
  </si>
  <si>
    <t>Welltower Inc</t>
  </si>
  <si>
    <t>BALL UN Equity</t>
  </si>
  <si>
    <t>Ball Corp</t>
  </si>
  <si>
    <t>ZTS UN Equity</t>
  </si>
  <si>
    <t>Zoetis Inc</t>
  </si>
  <si>
    <t>DVN UN Equity</t>
  </si>
  <si>
    <t>Devon Energy Corp</t>
  </si>
  <si>
    <t>LYB UN Equity</t>
  </si>
  <si>
    <t>LyondellBasell Industries NV</t>
  </si>
  <si>
    <t>ALB UN Equity</t>
  </si>
  <si>
    <t>Albemarle Corp</t>
  </si>
  <si>
    <t>OXY UN Equity</t>
  </si>
  <si>
    <t>Occidental Petroleum Corp</t>
  </si>
  <si>
    <t>NXPI UW Equity</t>
  </si>
  <si>
    <t>NXP Semiconductors NV</t>
  </si>
  <si>
    <t>CHD UN Equity</t>
  </si>
  <si>
    <t>Church &amp; Dwight Co Inc</t>
  </si>
  <si>
    <t>GPN UN Equity</t>
  </si>
  <si>
    <t>Global Payments Inc</t>
  </si>
  <si>
    <t>TSLA UW Equity</t>
  </si>
  <si>
    <t>Tesla Inc</t>
  </si>
  <si>
    <t>Automobiles &amp; Components</t>
  </si>
  <si>
    <t>JPM UN Equity</t>
  </si>
  <si>
    <t>JPMorgan Chase &amp; Co</t>
  </si>
  <si>
    <t>HAS UW Equity</t>
  </si>
  <si>
    <t>Hasbro Inc</t>
  </si>
  <si>
    <t>IVZ UN Equity</t>
  </si>
  <si>
    <t>Invesco Ltd</t>
  </si>
  <si>
    <t>AES UN Equity</t>
  </si>
  <si>
    <t>AES Corp/The</t>
  </si>
  <si>
    <t>RSG UN Equity</t>
  </si>
  <si>
    <t>Republic Services Inc</t>
  </si>
  <si>
    <t>EXPD UN Equity</t>
  </si>
  <si>
    <t>Expeditors International of Wa</t>
  </si>
  <si>
    <t>MSI UN Equity</t>
  </si>
  <si>
    <t>Motorola Solutions Inc</t>
  </si>
  <si>
    <t>JNJ UN Equity</t>
  </si>
  <si>
    <t>Johnson &amp; Johnson</t>
  </si>
  <si>
    <t>MU UW Equity</t>
  </si>
  <si>
    <t>Micron Technology Inc</t>
  </si>
  <si>
    <t>GM UN Equity</t>
  </si>
  <si>
    <t>General Motors Co</t>
  </si>
  <si>
    <t>WTW UW Equity</t>
  </si>
  <si>
    <t>Willis Towers Watson PLC</t>
  </si>
  <si>
    <t>ACGL UW Equity</t>
  </si>
  <si>
    <t>Arch Capital Group Ltd</t>
  </si>
  <si>
    <t>TEL UN Equity</t>
  </si>
  <si>
    <t>TE Connectivity PLC</t>
  </si>
  <si>
    <t>DVA UN Equity</t>
  </si>
  <si>
    <t>DaVita Inc</t>
  </si>
  <si>
    <t>DLTR UW Equity</t>
  </si>
  <si>
    <t>Dollar Tree Inc</t>
  </si>
  <si>
    <t>AFL UN Equity</t>
  </si>
  <si>
    <t>Aflac Inc</t>
  </si>
  <si>
    <t>UPS UN Equity</t>
  </si>
  <si>
    <t>United Parcel Service Inc</t>
  </si>
  <si>
    <t>HIG UN Equity</t>
  </si>
  <si>
    <t>Hartford Insurance Group Inc/T</t>
  </si>
  <si>
    <t>MS UN Equity</t>
  </si>
  <si>
    <t>Morgan Stanley</t>
  </si>
  <si>
    <t>DXCM UW Equity</t>
  </si>
  <si>
    <t>Dexcom Inc</t>
  </si>
  <si>
    <t>NDAQ UW Equity</t>
  </si>
  <si>
    <t>Nasdaq Inc</t>
  </si>
  <si>
    <t>ALL UN Equity</t>
  </si>
  <si>
    <t>Allstate Corp/The</t>
  </si>
  <si>
    <t>PFG UW Equity</t>
  </si>
  <si>
    <t>Principal Financial Group Inc</t>
  </si>
  <si>
    <t>APP UW Equity</t>
  </si>
  <si>
    <t>AppLovin Corp</t>
  </si>
  <si>
    <t>CCI UN Equity</t>
  </si>
  <si>
    <t>Crown Castle Inc</t>
  </si>
  <si>
    <t>NEM UN Equity</t>
  </si>
  <si>
    <t>Newmont Corp</t>
  </si>
  <si>
    <t>BAC UN Equity</t>
  </si>
  <si>
    <t>Bank of America Corp</t>
  </si>
  <si>
    <t>KEYS UN Equity</t>
  </si>
  <si>
    <t>Keysight Technologies Inc</t>
  </si>
  <si>
    <t>NTRS UW Equity</t>
  </si>
  <si>
    <t>Northern Trust Corp</t>
  </si>
  <si>
    <t>TFC UN Equity</t>
  </si>
  <si>
    <t>Truist Financial Corp</t>
  </si>
  <si>
    <t>ZBH UN Equity</t>
  </si>
  <si>
    <t>Zimmer Biomet Holdings Inc</t>
  </si>
  <si>
    <t>BXP UN Equity</t>
  </si>
  <si>
    <t>BXP Inc</t>
  </si>
  <si>
    <t>WDAY UW Equity</t>
  </si>
  <si>
    <t>Workday Inc</t>
  </si>
  <si>
    <t>USB UN Equity</t>
  </si>
  <si>
    <t>US Bancorp</t>
  </si>
  <si>
    <t>CB UN Equity</t>
  </si>
  <si>
    <t>Chubb Ltd</t>
  </si>
  <si>
    <t>VTR UN Equity</t>
  </si>
  <si>
    <t>Ventas Inc</t>
  </si>
  <si>
    <t>APO UN Equity</t>
  </si>
  <si>
    <t>Apollo Global Management Inc</t>
  </si>
  <si>
    <t>RJF UN Equity</t>
  </si>
  <si>
    <t>Raymond James Financial Inc</t>
  </si>
  <si>
    <t>BKR UW Equity</t>
  </si>
  <si>
    <t>Baker Hughes Co</t>
  </si>
  <si>
    <t>DGX UN Equity</t>
  </si>
  <si>
    <t>Quest Diagnostics Inc</t>
  </si>
  <si>
    <t>TECH UW Equity</t>
  </si>
  <si>
    <t>Bio-Techne Corp</t>
  </si>
  <si>
    <t>BIIB UW Equity</t>
  </si>
  <si>
    <t>Biogen Inc</t>
  </si>
  <si>
    <t>FOX UW Equity</t>
  </si>
  <si>
    <t>Fox Corp</t>
  </si>
  <si>
    <t>AMP UN Equity</t>
  </si>
  <si>
    <t>Ameriprise Financial Inc</t>
  </si>
  <si>
    <t>MSCI UN Equity</t>
  </si>
  <si>
    <t>MSCI Inc</t>
  </si>
  <si>
    <t>FRT UN Equity</t>
  </si>
  <si>
    <t>Federal Realty Investment Trus</t>
  </si>
  <si>
    <t>IBKR UW Equity</t>
  </si>
  <si>
    <t>Interactive Brokers Group Inc</t>
  </si>
  <si>
    <t>ED UN Equity</t>
  </si>
  <si>
    <t>Consolidated Edison Inc</t>
  </si>
  <si>
    <t>ANET UN Equity</t>
  </si>
  <si>
    <t>Arista Networks Inc</t>
  </si>
  <si>
    <t>VRTX UW Equity</t>
  </si>
  <si>
    <t>Vertex Pharmaceuticals Inc</t>
  </si>
  <si>
    <t>WBD UW Equity</t>
  </si>
  <si>
    <t>Warner Bros Discovery Inc</t>
  </si>
  <si>
    <t>DOC UN Equity</t>
  </si>
  <si>
    <t>Healthpeak Properties Inc</t>
  </si>
  <si>
    <t>SYY UN Equity</t>
  </si>
  <si>
    <t>Sysco Corp</t>
  </si>
  <si>
    <t>XYZ UN Equity</t>
  </si>
  <si>
    <t>Block Inc</t>
  </si>
  <si>
    <t>DHR UN Equity</t>
  </si>
  <si>
    <t>Danaher Corp</t>
  </si>
  <si>
    <t>GWW UN Equity</t>
  </si>
  <si>
    <t>WW Grainger Inc</t>
  </si>
  <si>
    <t>J UN Equity</t>
  </si>
  <si>
    <t>Jacobs Solutions Inc</t>
  </si>
  <si>
    <t>PTC UW Equity</t>
  </si>
  <si>
    <t>PTC Inc</t>
  </si>
  <si>
    <t>REGN UW Equity</t>
  </si>
  <si>
    <t>Regeneron Pharmaceuticals Inc</t>
  </si>
  <si>
    <t>OKE UN Equity</t>
  </si>
  <si>
    <t>ONEOK Inc</t>
  </si>
  <si>
    <t>CL UN Equity</t>
  </si>
  <si>
    <t>Colgate-Palmolive Co</t>
  </si>
  <si>
    <t>REG UW Equity</t>
  </si>
  <si>
    <t>Regency Centers Corp</t>
  </si>
  <si>
    <t>MRSH UN Equity</t>
  </si>
  <si>
    <t>Marsh &amp; McLennan Cos Inc</t>
  </si>
  <si>
    <t>AMT UN Equity</t>
  </si>
  <si>
    <t>American Tower Corp</t>
  </si>
  <si>
    <t>MDT UN Equity</t>
  </si>
  <si>
    <t>Medtronic PLC</t>
  </si>
  <si>
    <t>COF UN Equity</t>
  </si>
  <si>
    <t>Capital One Financial Corp</t>
  </si>
  <si>
    <t>TRMB UW Equity</t>
  </si>
  <si>
    <t>Trimble Inc</t>
  </si>
  <si>
    <t>BMY UN Equity</t>
  </si>
  <si>
    <t>Bristol-Myers Squibb Co</t>
  </si>
  <si>
    <t>KMI UN Equity</t>
  </si>
  <si>
    <t>Kinder Morgan Inc</t>
  </si>
  <si>
    <t>FOXA UW Equity</t>
  </si>
  <si>
    <t>SYF UN Equity</t>
  </si>
  <si>
    <t>Synchrony Financial</t>
  </si>
  <si>
    <t>TMO UN Equity</t>
  </si>
  <si>
    <t>Thermo Fisher Scientific Inc</t>
  </si>
  <si>
    <t>CFG UN Equity</t>
  </si>
  <si>
    <t>Citizens Financial Group Inc</t>
  </si>
  <si>
    <t>ECL UN Equity</t>
  </si>
  <si>
    <t>Ecolab Inc</t>
  </si>
  <si>
    <t>MCO UN Equity</t>
  </si>
  <si>
    <t>Moody's Corp</t>
  </si>
  <si>
    <t>WAT UN Equity</t>
  </si>
  <si>
    <t>Waters Corp</t>
  </si>
  <si>
    <t>EW UN Equity</t>
  </si>
  <si>
    <t>Edwards Lifesciences Corp</t>
  </si>
  <si>
    <t>XOM UN Equity</t>
  </si>
  <si>
    <t>ExxonMobil Holdings Corp</t>
  </si>
  <si>
    <t>ZBRA UW Equity</t>
  </si>
  <si>
    <t>Zebra Technologies Corp</t>
  </si>
  <si>
    <t>ETR UN Equity</t>
  </si>
  <si>
    <t>Entergy Corp</t>
  </si>
  <si>
    <t>DRI UN Equity</t>
  </si>
  <si>
    <t>Darden Restaurants Inc</t>
  </si>
  <si>
    <t>GS UN Equity</t>
  </si>
  <si>
    <t>Goldman Sachs Group Inc/The</t>
  </si>
  <si>
    <t>FITB UN Equity</t>
  </si>
  <si>
    <t>Fifth Third Bancorp</t>
  </si>
  <si>
    <t>STE UN Equity</t>
  </si>
  <si>
    <t>STERIS PLC</t>
  </si>
  <si>
    <t>STZ UN Equity</t>
  </si>
  <si>
    <t>Constellation Brands Inc</t>
  </si>
  <si>
    <t>PNC UN Equity</t>
  </si>
  <si>
    <t>PNC Financial Services Group I</t>
  </si>
  <si>
    <t>KIM UN Equity</t>
  </si>
  <si>
    <t>Kimco Realty Corp</t>
  </si>
  <si>
    <t>ROL UN Equity</t>
  </si>
  <si>
    <t>Rollins Inc</t>
  </si>
  <si>
    <t>PEP UW Equity</t>
  </si>
  <si>
    <t>PepsiCo Inc</t>
  </si>
  <si>
    <t>KEY UN Equity</t>
  </si>
  <si>
    <t>KeyCorp</t>
  </si>
  <si>
    <t>PM UN Equity</t>
  </si>
  <si>
    <t>Philip Morris International In</t>
  </si>
  <si>
    <t>AMGN UW Equity</t>
  </si>
  <si>
    <t>Amgen Inc</t>
  </si>
  <si>
    <t>OMC UN Equity</t>
  </si>
  <si>
    <t>Omnicom Group Inc</t>
  </si>
  <si>
    <t>MRK UN Equity</t>
  </si>
  <si>
    <t>Merck &amp; Co Inc</t>
  </si>
  <si>
    <t>HBAN UW Equity</t>
  </si>
  <si>
    <t>Huntington Bancshares Inc/OH</t>
  </si>
  <si>
    <t>AWK UN Equity</t>
  </si>
  <si>
    <t>American Water Works Co Inc</t>
  </si>
  <si>
    <t>L UN Equity</t>
  </si>
  <si>
    <t>Loews Corp</t>
  </si>
  <si>
    <t>CSCO UW Equity</t>
  </si>
  <si>
    <t>Cisco Systems Inc</t>
  </si>
  <si>
    <t>TSCO UW Equity</t>
  </si>
  <si>
    <t>Tractor Supply Co</t>
  </si>
  <si>
    <t>TRGP UN Equity</t>
  </si>
  <si>
    <t>Targa Resources Corp</t>
  </si>
  <si>
    <t>CRL UN Equity</t>
  </si>
  <si>
    <t>Charles River Laboratories Int</t>
  </si>
  <si>
    <t>EOG UN Equity</t>
  </si>
  <si>
    <t>EOG Resources Inc</t>
  </si>
  <si>
    <t>DOW UN Equity</t>
  </si>
  <si>
    <t>Dow Inc</t>
  </si>
  <si>
    <t>SCHW UN Equity</t>
  </si>
  <si>
    <t>Charles Schwab Corp/The</t>
  </si>
  <si>
    <t>KVUE UN Equity</t>
  </si>
  <si>
    <t>Kenvue Inc</t>
  </si>
  <si>
    <t>OTIS UN Equity</t>
  </si>
  <si>
    <t>Otis Worldwide Corp</t>
  </si>
  <si>
    <t>NI UN Equity</t>
  </si>
  <si>
    <t>NiSource Inc</t>
  </si>
  <si>
    <t>RF UN Equity</t>
  </si>
  <si>
    <t>Regions Financial Corp</t>
  </si>
  <si>
    <t>AMCR UN Equity</t>
  </si>
  <si>
    <t>Amcor PLC</t>
  </si>
  <si>
    <t>TROW UW Equity</t>
  </si>
  <si>
    <t>T Rowe Price Group Inc</t>
  </si>
  <si>
    <t>NVR UN Equity</t>
  </si>
  <si>
    <t>NVR Inc</t>
  </si>
  <si>
    <t>UHS UN Equity</t>
  </si>
  <si>
    <t>Universal Health Services Inc</t>
  </si>
  <si>
    <t>ROST UW Equity</t>
  </si>
  <si>
    <t>Ross Stores Inc</t>
  </si>
  <si>
    <t>FDX UN Equity</t>
  </si>
  <si>
    <t>FedEx Corp</t>
  </si>
  <si>
    <t>INCY UW Equity</t>
  </si>
  <si>
    <t>Incyte Corp</t>
  </si>
  <si>
    <t>CTAS UW Equity</t>
  </si>
  <si>
    <t>Cintas Corp</t>
  </si>
  <si>
    <t>MAA UN Equity</t>
  </si>
  <si>
    <t>Mid-America Apartment Communit</t>
  </si>
  <si>
    <t>BEN UN Equity</t>
  </si>
  <si>
    <t>Franklin Templeton Inc</t>
  </si>
  <si>
    <t>PRU UN Equity</t>
  </si>
  <si>
    <t>Prudential Financial Inc</t>
  </si>
  <si>
    <t>VRT UN Equity</t>
  </si>
  <si>
    <t>Vertiv Holdings Co</t>
  </si>
  <si>
    <t>ROK UN Equity</t>
  </si>
  <si>
    <t>Rockwell Automation Inc</t>
  </si>
  <si>
    <t>ARES UN Equity</t>
  </si>
  <si>
    <t>Ares Management Corp</t>
  </si>
  <si>
    <t>ALGN UW Equity</t>
  </si>
  <si>
    <t>Align Technology Inc</t>
  </si>
  <si>
    <t>PPG UN Equity</t>
  </si>
  <si>
    <t>PPG Industries Inc</t>
  </si>
  <si>
    <t>MCD UN Equity</t>
  </si>
  <si>
    <t>McDonald's Corp</t>
  </si>
  <si>
    <t>VLTO UN Equity</t>
  </si>
  <si>
    <t>Veralto Corp</t>
  </si>
  <si>
    <t>SRE UN Equity</t>
  </si>
  <si>
    <t>Sempra</t>
  </si>
  <si>
    <t>WRB UN Equity</t>
  </si>
  <si>
    <t>W R Berkley Corp</t>
  </si>
  <si>
    <t>KMB UW Equity</t>
  </si>
  <si>
    <t>Kimberly-Clark Corp</t>
  </si>
  <si>
    <t>AMD UW Equity</t>
  </si>
  <si>
    <t>Advanced Micro Devices Inc</t>
  </si>
  <si>
    <t>CNP UN Equity</t>
  </si>
  <si>
    <t>CenterPoint Energy Inc</t>
  </si>
  <si>
    <t>VST UN Equity</t>
  </si>
  <si>
    <t>Vistra Corp</t>
  </si>
  <si>
    <t>KO UN Equity</t>
  </si>
  <si>
    <t>Coca-Cola Co/The</t>
  </si>
  <si>
    <t>CDNS UW Equity</t>
  </si>
  <si>
    <t>Cadence Design Systems Inc</t>
  </si>
  <si>
    <t>SMCI UW Equity</t>
  </si>
  <si>
    <t>Super Micro Computer Inc</t>
  </si>
  <si>
    <t>PNW UN Equity</t>
  </si>
  <si>
    <t>Pinnacle West Capital Corp</t>
  </si>
  <si>
    <t>SNDK UW Equity</t>
  </si>
  <si>
    <t>Sandisk Corp</t>
  </si>
  <si>
    <t>KKR UN Equity</t>
  </si>
  <si>
    <t>KKR &amp; Co Inc</t>
  </si>
  <si>
    <t>PODD UW Equity</t>
  </si>
  <si>
    <t>Insulet Corp</t>
  </si>
  <si>
    <t>IDXX UW Equity</t>
  </si>
  <si>
    <t>IDEXX Laboratories Inc</t>
  </si>
  <si>
    <t>UDR UN Equity</t>
  </si>
  <si>
    <t>UDR Inc</t>
  </si>
  <si>
    <t>UBER UN Equity</t>
  </si>
  <si>
    <t>Uber Technologies Inc</t>
  </si>
  <si>
    <t>PLTR UW Equity</t>
  </si>
  <si>
    <t>Palantir Technologies Inc</t>
  </si>
  <si>
    <t>ATO UN Equity</t>
  </si>
  <si>
    <t>Atmos Energy Corp</t>
  </si>
  <si>
    <t>ABT UN Equity</t>
  </si>
  <si>
    <t>Abbott Laboratories</t>
  </si>
  <si>
    <t>LYV UN Equity</t>
  </si>
  <si>
    <t>Live Nation Entertainment Inc</t>
  </si>
  <si>
    <t>COST UW Equity</t>
  </si>
  <si>
    <t>Costco Wholesale Corp</t>
  </si>
  <si>
    <t>ES UN Equity</t>
  </si>
  <si>
    <t>Eversource Energy</t>
  </si>
  <si>
    <t>IT UN Equity</t>
  </si>
  <si>
    <t>Gartner Inc</t>
  </si>
  <si>
    <t>CPT UN Equity</t>
  </si>
  <si>
    <t>Camden Property Trust</t>
  </si>
  <si>
    <t>IBM UN Equity</t>
  </si>
  <si>
    <t>International Business Machine</t>
  </si>
  <si>
    <t>GOOGL UW Equity</t>
  </si>
  <si>
    <t>Alphabet Inc</t>
  </si>
  <si>
    <t>DTE UN Equity</t>
  </si>
  <si>
    <t>DTE Energy Co</t>
  </si>
  <si>
    <t>CRH UN Equity</t>
  </si>
  <si>
    <t>CRH PLC</t>
  </si>
  <si>
    <t>A UN Equity</t>
  </si>
  <si>
    <t>Agilent Technologies Inc</t>
  </si>
  <si>
    <t>ABNB UW Equity</t>
  </si>
  <si>
    <t>Airbnb Inc</t>
  </si>
  <si>
    <t>AXP UN Equity</t>
  </si>
  <si>
    <t>American Express Co</t>
  </si>
  <si>
    <t>ADSK UW Equity</t>
  </si>
  <si>
    <t>Autodesk Inc</t>
  </si>
  <si>
    <t>ABBV UN Equity</t>
  </si>
  <si>
    <t>AbbVie Inc</t>
  </si>
  <si>
    <t>AEP UW Equity</t>
  </si>
  <si>
    <t>American Electric Power Co Inc</t>
  </si>
  <si>
    <t>GOOG UW Equity</t>
  </si>
  <si>
    <t>DUK UN Equity</t>
  </si>
  <si>
    <t>Duke Energy Corp</t>
  </si>
  <si>
    <t>BLK UN Equity</t>
  </si>
  <si>
    <t>Blackrock Inc</t>
  </si>
  <si>
    <t>PEG UN Equity</t>
  </si>
  <si>
    <t>Public Service Enterprise Grou</t>
  </si>
  <si>
    <t>FANG UW Equity</t>
  </si>
  <si>
    <t>Diamondback Energy Inc</t>
  </si>
  <si>
    <t>PLD UN Equity</t>
  </si>
  <si>
    <t>Prologis Inc</t>
  </si>
  <si>
    <t>WST UN Equity</t>
  </si>
  <si>
    <t>West Pharmaceutical Services I</t>
  </si>
  <si>
    <t>WM UN Equity</t>
  </si>
  <si>
    <t>Waste Management Inc</t>
  </si>
  <si>
    <t>O UN Equity</t>
  </si>
  <si>
    <t>Realty Income Corp</t>
  </si>
  <si>
    <t>ECHO UW Equity</t>
  </si>
  <si>
    <t>EchoStar Corp</t>
  </si>
  <si>
    <t>VICI UN Equity</t>
  </si>
  <si>
    <t>VICI Properties Inc</t>
  </si>
  <si>
    <t>FE UN Equity</t>
  </si>
  <si>
    <t>FirstEnergy Corp</t>
  </si>
  <si>
    <t>TPL UN Equity</t>
  </si>
  <si>
    <t>Texas Pacific Land Corp</t>
  </si>
  <si>
    <t>MDLZ UW Equity</t>
  </si>
  <si>
    <t>Mondelez International Inc</t>
  </si>
  <si>
    <t>MGM UN Equity</t>
  </si>
  <si>
    <t>MGM Resorts International</t>
  </si>
  <si>
    <t>AEE UN Equity</t>
  </si>
  <si>
    <t>Ameren Corp</t>
  </si>
  <si>
    <t>PPL UN Equity</t>
  </si>
  <si>
    <t>PPL Corp</t>
  </si>
  <si>
    <t>ESS UN Equity</t>
  </si>
  <si>
    <t>Essex Property Trust Inc</t>
  </si>
  <si>
    <t>EVRG UW Equity</t>
  </si>
  <si>
    <t>Evergy Inc</t>
  </si>
  <si>
    <t>MTB UN Equity</t>
  </si>
  <si>
    <t>M&amp;T Bank Corp</t>
  </si>
  <si>
    <t>WEC UN Equity</t>
  </si>
  <si>
    <t>WEC Energy Group Inc</t>
  </si>
  <si>
    <t>LNT UW Equity</t>
  </si>
  <si>
    <t>Alliant Energy Corp</t>
  </si>
  <si>
    <t>SNA UN Equity</t>
  </si>
  <si>
    <t>Snap-on Inc</t>
  </si>
  <si>
    <t>TT UN Equity</t>
  </si>
  <si>
    <t>Trane Technologies PLC</t>
  </si>
  <si>
    <t>IEX UN Equity</t>
  </si>
  <si>
    <t>IDEX Corp</t>
  </si>
  <si>
    <t>EXC UW Equity</t>
  </si>
  <si>
    <t>Exelon Corp</t>
  </si>
  <si>
    <t>MTD UN Equity</t>
  </si>
  <si>
    <t>Mettler-Toledo International I</t>
  </si>
  <si>
    <t>BBY UN Equity</t>
  </si>
  <si>
    <t>Best Buy Co Inc</t>
  </si>
  <si>
    <t>D UN Equity</t>
  </si>
  <si>
    <t>Dominion Energy Inc</t>
  </si>
  <si>
    <t>BAX UN Equity</t>
  </si>
  <si>
    <t>Baxter International Inc</t>
  </si>
  <si>
    <t>JBHT UW Equity</t>
  </si>
  <si>
    <t>JB Hunt Transport Services Inc</t>
  </si>
  <si>
    <t>UNP UN Equity</t>
  </si>
  <si>
    <t>Union Pacific Corp</t>
  </si>
  <si>
    <t>ERIE UW Equity</t>
  </si>
  <si>
    <t>Erie Indemnity Co</t>
  </si>
  <si>
    <t>EFX UN Equity</t>
  </si>
  <si>
    <t>Equifax Inc</t>
  </si>
  <si>
    <t>MLM UN Equity</t>
  </si>
  <si>
    <t>Martin Marietta Materials Inc</t>
  </si>
  <si>
    <t>SWK UN Equity</t>
  </si>
  <si>
    <t>Stanley Black &amp; Decker Inc</t>
  </si>
  <si>
    <t>FTV UN Equity</t>
  </si>
  <si>
    <t>Fortive Corp</t>
  </si>
  <si>
    <t>F UN Equity</t>
  </si>
  <si>
    <t>Ford Motor Co</t>
  </si>
  <si>
    <t>WAB UN Equity</t>
  </si>
  <si>
    <t>Westinghouse Air Brake Technol</t>
  </si>
  <si>
    <t>CMS UN Equity</t>
  </si>
  <si>
    <t>CMS Energy Corp</t>
  </si>
  <si>
    <t>INTC UW Equity</t>
  </si>
  <si>
    <t>Intel Corp</t>
  </si>
  <si>
    <t>LVS UN Equity</t>
  </si>
  <si>
    <t>Las Vegas Sands Corp</t>
  </si>
  <si>
    <t>NSC UN Equity</t>
  </si>
  <si>
    <t>Norfolk Southern Corp</t>
  </si>
  <si>
    <t>NEE UN Equity</t>
  </si>
  <si>
    <t>NextEra Energy Inc</t>
  </si>
  <si>
    <t>PCAR UW Equity</t>
  </si>
  <si>
    <t>PACCAR Inc</t>
  </si>
  <si>
    <t>CAT UN Equity</t>
  </si>
  <si>
    <t>Caterpillar Inc</t>
  </si>
  <si>
    <t>MKC UN Equity</t>
  </si>
  <si>
    <t>McCormick &amp; Co Inc/MD</t>
  </si>
  <si>
    <t>BF/B UN Equity</t>
  </si>
  <si>
    <t>Brown-Forman Corp</t>
  </si>
  <si>
    <t>AMZN UW Equity</t>
  </si>
  <si>
    <t>Amazon.com Inc</t>
  </si>
  <si>
    <t>TAP UN Equity</t>
  </si>
  <si>
    <t>Molson Coors Beverage Co</t>
  </si>
  <si>
    <t>CSX UW Equity</t>
  </si>
  <si>
    <t>CSX Corp</t>
  </si>
  <si>
    <t>ON UW Equity</t>
  </si>
  <si>
    <t>ON Semiconductor Corp</t>
  </si>
  <si>
    <t>ADI UW Equity</t>
  </si>
  <si>
    <t>Analog Devices Inc</t>
  </si>
  <si>
    <t>VMC UN Equity</t>
  </si>
  <si>
    <t>Vulcan Materials Co</t>
  </si>
  <si>
    <t>INVH UN Equity</t>
  </si>
  <si>
    <t>Invitation Homes Inc</t>
  </si>
  <si>
    <t>ORLY UW Equity</t>
  </si>
  <si>
    <t>O'Reilly Automotive Inc</t>
  </si>
  <si>
    <t>CPRT UW Equity</t>
  </si>
  <si>
    <t>Copart Inc</t>
  </si>
  <si>
    <t>AME UN Equity</t>
  </si>
  <si>
    <t>AMETEK Inc</t>
  </si>
  <si>
    <t>DD UN Equity</t>
  </si>
  <si>
    <t>DuPont de Nemours Inc</t>
  </si>
  <si>
    <t>TXN UW Equity</t>
  </si>
  <si>
    <t>Texas Instruments Inc</t>
  </si>
  <si>
    <t>TDG UN Equity</t>
  </si>
  <si>
    <t>TransDigm Group Inc</t>
  </si>
  <si>
    <t>AZO UN Equity</t>
  </si>
  <si>
    <t>AutoZone Inc</t>
  </si>
  <si>
    <t>GEHC UW Equity</t>
  </si>
  <si>
    <t>GE HealthCare Technologies Inc</t>
  </si>
  <si>
    <t>ALLE UN Equity</t>
  </si>
  <si>
    <t>Allegion plc</t>
  </si>
  <si>
    <t>BX UN Equity</t>
  </si>
  <si>
    <t>Blackstone Inc</t>
  </si>
  <si>
    <t>JCI UN Equity</t>
  </si>
  <si>
    <t>Johnson Controls International</t>
  </si>
  <si>
    <t>SO UN Equity</t>
  </si>
  <si>
    <t>Southern Co/The</t>
  </si>
  <si>
    <t>WDC UW Equity</t>
  </si>
  <si>
    <t>Western Digital Corp</t>
  </si>
  <si>
    <t>ISRG UW Equity</t>
  </si>
  <si>
    <t>Intuitive Surgical Inc</t>
  </si>
  <si>
    <t>LEN UN Equity</t>
  </si>
  <si>
    <t>Lennar Corp</t>
  </si>
  <si>
    <t>STX UW Equity</t>
  </si>
  <si>
    <t>Seagate Technology Holdings PL</t>
  </si>
  <si>
    <t>MPWR UW Equity</t>
  </si>
  <si>
    <t>Monolithic Power Systems Inc</t>
  </si>
  <si>
    <t>TSN UN Equity</t>
  </si>
  <si>
    <t>Tyson Foods Inc</t>
  </si>
  <si>
    <t>AVY UN Equity</t>
  </si>
  <si>
    <t>Avery Dennison Corp</t>
  </si>
  <si>
    <t>EMR UN Equity</t>
  </si>
  <si>
    <t>Emerson Electric Co</t>
  </si>
  <si>
    <t>XEL UW Equity</t>
  </si>
  <si>
    <t>Xcel Energy Inc</t>
  </si>
  <si>
    <t>SW UN Equity</t>
  </si>
  <si>
    <t>Smurfit Westrock PLC</t>
  </si>
  <si>
    <t>MAS UN Equity</t>
  </si>
  <si>
    <t>Masco Corp</t>
  </si>
  <si>
    <t>INTU UW Equity</t>
  </si>
  <si>
    <t>Intuit Inc</t>
  </si>
  <si>
    <t>BA UN Equity</t>
  </si>
  <si>
    <t>Boeing Co/The</t>
  </si>
  <si>
    <t>PHM UN Equity</t>
  </si>
  <si>
    <t>PulteGroup Inc</t>
  </si>
  <si>
    <t>ITW UN Equity</t>
  </si>
  <si>
    <t>Illinois Tool Works Inc</t>
  </si>
  <si>
    <t>HST UW Equity</t>
  </si>
  <si>
    <t>Host Hotels &amp; Resorts Inc</t>
  </si>
  <si>
    <t>WY UN Equity</t>
  </si>
  <si>
    <t>Weyerhaeuser Co</t>
  </si>
  <si>
    <t>EXPE UW Equity</t>
  </si>
  <si>
    <t>Expedia Group Inc</t>
  </si>
  <si>
    <t>LHX UN Equity</t>
  </si>
  <si>
    <t>L3Harris Technologies Inc</t>
  </si>
  <si>
    <t>HPE UN Equity</t>
  </si>
  <si>
    <t>Hewlett Packard Enterprise Co</t>
  </si>
  <si>
    <t>DLR UN Equity</t>
  </si>
  <si>
    <t>Digital Realty Trust Inc</t>
  </si>
  <si>
    <t>DAL UN Equity</t>
  </si>
  <si>
    <t>Delta Air Lines Inc</t>
  </si>
  <si>
    <t>TDY UN Equity</t>
  </si>
  <si>
    <t>Teledyne Technologies Inc</t>
  </si>
  <si>
    <t>SHW UN Equity</t>
  </si>
  <si>
    <t>Sherwin-Williams Co/The</t>
  </si>
  <si>
    <t>UAL UW Equity</t>
  </si>
  <si>
    <t>United Airlines Holdings Inc</t>
  </si>
  <si>
    <t>낙폭과대 반등</t>
  </si>
  <si>
    <t>CSGP UW Equity</t>
  </si>
  <si>
    <t>CoStar Group Inc</t>
  </si>
  <si>
    <t>Real Estate Management &amp; Development</t>
  </si>
  <si>
    <t>EXR UN Equity</t>
  </si>
  <si>
    <t>Extra Space Storage Inc</t>
  </si>
  <si>
    <t>HUBB UN Equity</t>
  </si>
  <si>
    <t>Hubbell Inc</t>
  </si>
  <si>
    <t>MNST UW Equity</t>
  </si>
  <si>
    <t>Monster Beverage Corp</t>
  </si>
  <si>
    <t>FICO UN Equity</t>
  </si>
  <si>
    <t>Fair Isaac Corp</t>
  </si>
  <si>
    <t>EQIX UW Equity</t>
  </si>
  <si>
    <t>Equinix Inc</t>
  </si>
  <si>
    <t>FLEX UW Equity</t>
  </si>
  <si>
    <t>Flex Ltd</t>
  </si>
  <si>
    <t>MMM UN Equity</t>
  </si>
  <si>
    <t>3M Co</t>
  </si>
  <si>
    <t>SPG UN Equity</t>
  </si>
  <si>
    <t>Simon Property Group Inc</t>
  </si>
  <si>
    <t>GLW UN Equity</t>
  </si>
  <si>
    <t>Corning Inc</t>
  </si>
  <si>
    <t>AON UN Equity</t>
  </si>
  <si>
    <t>Aon PLC</t>
  </si>
  <si>
    <t>HLT UN Equity</t>
  </si>
  <si>
    <t>Hilton Worldwide Holdings Inc</t>
  </si>
  <si>
    <t>HON UW Equity</t>
  </si>
  <si>
    <t>Honeywell International Inc</t>
  </si>
  <si>
    <t>CARR UN Equity</t>
  </si>
  <si>
    <t>Carrier Global Corp</t>
  </si>
  <si>
    <t>FAST UW Equity</t>
  </si>
  <si>
    <t>Fastenal Co</t>
  </si>
  <si>
    <t>BSX UN Equity</t>
  </si>
  <si>
    <t>Boston Scientific Corp</t>
  </si>
  <si>
    <t>DOV UN Equity</t>
  </si>
  <si>
    <t>Dover Corp</t>
  </si>
  <si>
    <t>MCHP UW Equity</t>
  </si>
  <si>
    <t>Microchip Technology Inc</t>
  </si>
  <si>
    <t>TPR UN Equity</t>
  </si>
  <si>
    <t>Tapestry Inc</t>
  </si>
  <si>
    <t>NKE UN Equity</t>
  </si>
  <si>
    <t>NIKE Inc</t>
  </si>
  <si>
    <t>HSY UN Equity</t>
  </si>
  <si>
    <t>Hershey Co/The</t>
  </si>
  <si>
    <t>LRCX UW Equity</t>
  </si>
  <si>
    <t>Lam Research Corp</t>
  </si>
  <si>
    <t>PH UN Equity</t>
  </si>
  <si>
    <t>Parker-Hannifin Corp</t>
  </si>
  <si>
    <t>CBRE UN Equity</t>
  </si>
  <si>
    <t>CBRE Group Inc</t>
  </si>
  <si>
    <t>DHI UN Equity</t>
  </si>
  <si>
    <t>DR Horton Inc</t>
  </si>
  <si>
    <t>LUV UN Equity</t>
  </si>
  <si>
    <t>Southwest Airlines Co</t>
  </si>
  <si>
    <t>AKAM UW Equity</t>
  </si>
  <si>
    <t>Akamai Technologies Inc</t>
  </si>
  <si>
    <t>GE UN Equity</t>
  </si>
  <si>
    <t>General Electric Co</t>
  </si>
  <si>
    <t>BKNG UW Equity</t>
  </si>
  <si>
    <t>Booking Holdings Inc</t>
  </si>
  <si>
    <t>NTAP UW Equity</t>
  </si>
  <si>
    <t>NetApp Inc</t>
  </si>
  <si>
    <t>Q UN Equity</t>
  </si>
  <si>
    <t>Qnity Electronics Inc</t>
  </si>
  <si>
    <t>MAR UW Equity</t>
  </si>
  <si>
    <t>Marriott International Inc/MD</t>
  </si>
  <si>
    <t>SYK UN Equity</t>
  </si>
  <si>
    <t>Stryker Corp</t>
  </si>
  <si>
    <t>HD UN Equity</t>
  </si>
  <si>
    <t>Home Depot Inc/The</t>
  </si>
  <si>
    <t>TXT UN Equity</t>
  </si>
  <si>
    <t>Textron Inc</t>
  </si>
  <si>
    <t>APTV UN Equity</t>
  </si>
  <si>
    <t>Aptiv PLC</t>
  </si>
  <si>
    <t>HII UN Equity</t>
  </si>
  <si>
    <t>Huntington Ingalls Industries</t>
  </si>
  <si>
    <t>TKO UN Equity</t>
  </si>
  <si>
    <t>TKO Group Holdings Inc</t>
  </si>
  <si>
    <t>PANW UW Equity</t>
  </si>
  <si>
    <t>Palo Alto Networks Inc</t>
  </si>
  <si>
    <t>GD UN Equity</t>
  </si>
  <si>
    <t>General Dynamics Corp</t>
  </si>
  <si>
    <t>WMT UW Equity</t>
  </si>
  <si>
    <t>Walmart Inc</t>
  </si>
  <si>
    <t>JBL UN Equity</t>
  </si>
  <si>
    <t>Jabil Inc</t>
  </si>
  <si>
    <t>DECK UN Equity</t>
  </si>
  <si>
    <t>Deckers Outdoor Corp</t>
  </si>
  <si>
    <t>COHR UN Equity</t>
  </si>
  <si>
    <t>Coherent Corp</t>
  </si>
  <si>
    <t>WYNN UW Equity</t>
  </si>
  <si>
    <t>Wynn Resorts Ltd</t>
  </si>
  <si>
    <t>PKG UN Equity</t>
  </si>
  <si>
    <t>Packaging Corp of America</t>
  </si>
  <si>
    <t>AOS UN Equity</t>
  </si>
  <si>
    <t>A O Smith Corp</t>
  </si>
  <si>
    <t>IR UN Equity</t>
  </si>
  <si>
    <t>Ingersoll Rand Inc</t>
  </si>
  <si>
    <t>ETN UN Equity</t>
  </si>
  <si>
    <t>Eaton Corp PLC</t>
  </si>
  <si>
    <t>TTWO UW Equity</t>
  </si>
  <si>
    <t>Take-Two Interactive Software</t>
  </si>
  <si>
    <t>PSA UN Equity</t>
  </si>
  <si>
    <t>Public Storage</t>
  </si>
  <si>
    <t>ODFL UW Equity</t>
  </si>
  <si>
    <t>Old Dominion Freight Line Inc</t>
  </si>
  <si>
    <t>LDOS UN Equity</t>
  </si>
  <si>
    <t>Leidos Holdings Inc</t>
  </si>
  <si>
    <t>WSM UN Equity</t>
  </si>
  <si>
    <t>Williams-Sonoma Inc</t>
  </si>
  <si>
    <t>PNR UN Equity</t>
  </si>
  <si>
    <t>Pentair PLC</t>
  </si>
  <si>
    <t>RTX UN Equity</t>
  </si>
  <si>
    <t>RTX Corp</t>
  </si>
  <si>
    <t>GRMN UN Equity</t>
  </si>
  <si>
    <t>Garmin Ltd</t>
  </si>
  <si>
    <t>COO UW Equity</t>
  </si>
  <si>
    <t>Cooper Cos Inc/The</t>
  </si>
  <si>
    <t>FDXF UN Equity</t>
  </si>
  <si>
    <t>Fedex Freight Holding Co Inc</t>
  </si>
  <si>
    <t>TJX UN Equity</t>
  </si>
  <si>
    <t>TJX Cos Inc/The</t>
  </si>
  <si>
    <t>XYL UN Equity</t>
  </si>
  <si>
    <t>Xylem Inc/NY</t>
  </si>
  <si>
    <t>LOW UN Equity</t>
  </si>
  <si>
    <t>Lowe's Cos Inc</t>
  </si>
  <si>
    <t>LLY UN Equity</t>
  </si>
  <si>
    <t>Eli Lilly &amp; Co</t>
  </si>
  <si>
    <t>IRM UN Equity</t>
  </si>
  <si>
    <t>Iron Mountain Inc</t>
  </si>
  <si>
    <t>DDOG UW Equity</t>
  </si>
  <si>
    <t>Datadog Inc</t>
  </si>
  <si>
    <t>KLAC UW Equity</t>
  </si>
  <si>
    <t>KLA Corp</t>
  </si>
  <si>
    <t>CMI UN Equity</t>
  </si>
  <si>
    <t>Cummins Inc</t>
  </si>
  <si>
    <t>HRL UN Equity</t>
  </si>
  <si>
    <t>Hormel Foods Corp</t>
  </si>
  <si>
    <t>FERG UN Equity</t>
  </si>
  <si>
    <t>Ferguson Enterprises Inc</t>
  </si>
  <si>
    <t>NRG UN Equity</t>
  </si>
  <si>
    <t>NRG Energy Inc</t>
  </si>
  <si>
    <t>GEV UN Equity</t>
  </si>
  <si>
    <t>GE Vernova Inc</t>
  </si>
  <si>
    <t>NCLH UN Equity</t>
  </si>
  <si>
    <t>Norwegian Cruise Line Holdings</t>
  </si>
  <si>
    <t>FIX UN Equity</t>
  </si>
  <si>
    <t>Comfort Systems USA Inc</t>
  </si>
  <si>
    <t>IP UN Equity</t>
  </si>
  <si>
    <t>International Paper Co</t>
  </si>
  <si>
    <t>RL UN Equity</t>
  </si>
  <si>
    <t>Ralph Lauren Corp</t>
  </si>
  <si>
    <t>LMT UN Equity</t>
  </si>
  <si>
    <t>Lockheed Martin Corp</t>
  </si>
  <si>
    <t>NOC UN Equity</t>
  </si>
  <si>
    <t>Northrop Grumman Corp</t>
  </si>
  <si>
    <t>HONA UW Equity</t>
  </si>
  <si>
    <t>Honeywell Aerospace Inc</t>
  </si>
  <si>
    <t>TER UW Equity</t>
  </si>
  <si>
    <t>Teradyne Inc</t>
  </si>
  <si>
    <t>EME UN Equity</t>
  </si>
  <si>
    <t>EMCOR Group Inc</t>
  </si>
  <si>
    <t>CASY UW Equity</t>
  </si>
  <si>
    <t>Casey's General Stores Inc</t>
  </si>
  <si>
    <t>FSLR UW Equity</t>
  </si>
  <si>
    <t>First Solar Inc</t>
  </si>
  <si>
    <t>LII UN Equity</t>
  </si>
  <si>
    <t>Lennox International Inc</t>
  </si>
  <si>
    <t>RCL UN Equity</t>
  </si>
  <si>
    <t>Royal Caribbean Cruises Ltd</t>
  </si>
  <si>
    <t>PWR UN Equity</t>
  </si>
  <si>
    <t>Quanta Services Inc</t>
  </si>
  <si>
    <t>HWM UN Equity</t>
  </si>
  <si>
    <t>Howmet Aerospace Inc</t>
  </si>
  <si>
    <t>CLX UN Equity</t>
  </si>
  <si>
    <t>Clorox Co/The</t>
  </si>
  <si>
    <t>CCL UN Equity</t>
  </si>
  <si>
    <t>Carnival Corp Ltd</t>
  </si>
  <si>
    <t>URI UN Equity</t>
  </si>
  <si>
    <t>United Rentals Inc</t>
  </si>
  <si>
    <t>AMAT UW Equity</t>
  </si>
  <si>
    <t>Applied Materials Inc</t>
  </si>
  <si>
    <t>BLDR UN Equity</t>
  </si>
  <si>
    <t>Builders FirstSource Inc</t>
  </si>
  <si>
    <t>PYPL UW Equity</t>
  </si>
  <si>
    <t>PayPal Holdings Inc</t>
  </si>
  <si>
    <t>CIEN UN Equity</t>
  </si>
  <si>
    <t>Ciena Corp</t>
  </si>
  <si>
    <t>MRVL UW Equity</t>
  </si>
  <si>
    <t>Marvell Technology Inc</t>
  </si>
  <si>
    <t>GNRC UN Equity</t>
  </si>
  <si>
    <t>Generac Holdings Inc</t>
  </si>
  <si>
    <t>MRNA UW Equity</t>
  </si>
  <si>
    <t>Moderna Inc</t>
  </si>
  <si>
    <t>AXON UW Equity</t>
  </si>
  <si>
    <t>Axon Enterprise Inc</t>
  </si>
  <si>
    <t>EIX UN Equity</t>
  </si>
  <si>
    <t>Edison International</t>
  </si>
  <si>
    <t>PCG UN Equity</t>
  </si>
  <si>
    <t>PG&amp;E Corp</t>
  </si>
  <si>
    <t>Bucket</t>
  </si>
  <si>
    <t>1D</t>
  </si>
  <si>
    <t>10D</t>
  </si>
  <si>
    <t>MDD</t>
  </si>
  <si>
    <t>1D Pctl</t>
  </si>
  <si>
    <t>10D Pctl</t>
  </si>
  <si>
    <t>1D Best</t>
  </si>
  <si>
    <t>1D Worst</t>
  </si>
  <si>
    <t>10D Best</t>
  </si>
  <si>
    <t>10D Worst</t>
  </si>
  <si>
    <t>300413 CH Equity</t>
  </si>
  <si>
    <t>Mango Excellent Media Co Ltd</t>
  </si>
  <si>
    <t>600547 CH Equity</t>
  </si>
  <si>
    <t>Shandong Gold Mining Co Ltd</t>
  </si>
  <si>
    <t>601319 CH Equity</t>
  </si>
  <si>
    <t>People's Insurance Co Group of</t>
  </si>
  <si>
    <t>002837 CH Equity</t>
  </si>
  <si>
    <t>Shenzhen Envicool Technology C</t>
  </si>
  <si>
    <t>002493 CH Equity</t>
  </si>
  <si>
    <t>Rongsheng Petrochemical Co Ltd</t>
  </si>
  <si>
    <t>600039 CH Equity</t>
  </si>
  <si>
    <t>Sichuan Road and Bridge Group</t>
  </si>
  <si>
    <t>300122 CH Equity</t>
  </si>
  <si>
    <t>Chongqing Zhifei Biological Pr</t>
  </si>
  <si>
    <t>601998 CH Equity</t>
  </si>
  <si>
    <t>China CITIC Bank Corp Ltd</t>
  </si>
  <si>
    <t>300760 CH Equity</t>
  </si>
  <si>
    <t>Shenzhen Mindray Bio-Medical E</t>
  </si>
  <si>
    <t>601058 CH Equity</t>
  </si>
  <si>
    <t>Sailun Group Co Ltd</t>
  </si>
  <si>
    <t>601318 CH Equity</t>
  </si>
  <si>
    <t>Ping An Insurance Group Co of</t>
  </si>
  <si>
    <t>601136 CH Equity</t>
  </si>
  <si>
    <t>Capital Securities Co Ltd</t>
  </si>
  <si>
    <t>003816 CH Equity</t>
  </si>
  <si>
    <t>CGN Power Co Ltd</t>
  </si>
  <si>
    <t>601658 CH Equity</t>
  </si>
  <si>
    <t>Postal Savings Bank of China C</t>
  </si>
  <si>
    <t>000301 CH Equity</t>
  </si>
  <si>
    <t>Jiangsu Eastern Shenghong Co L</t>
  </si>
  <si>
    <t>601169 CH Equity</t>
  </si>
  <si>
    <t>Bank of Beijing Co Ltd</t>
  </si>
  <si>
    <t>601988 CH Equity</t>
  </si>
  <si>
    <t>Bank of China Ltd</t>
  </si>
  <si>
    <t>300866 CH Equity</t>
  </si>
  <si>
    <t>Anker Innovations Technology C</t>
  </si>
  <si>
    <t>601601 CH Equity</t>
  </si>
  <si>
    <t>China Pacific Insurance Group</t>
  </si>
  <si>
    <t>000617 CH Equity</t>
  </si>
  <si>
    <t>CNPC Capital Co Ltd</t>
  </si>
  <si>
    <t>600028 CH Equity</t>
  </si>
  <si>
    <t>China Petroleum &amp; Chemical Cor</t>
  </si>
  <si>
    <t>600018 CH Equity</t>
  </si>
  <si>
    <t>Shanghai International Port Gr</t>
  </si>
  <si>
    <t>600760 CH Equity</t>
  </si>
  <si>
    <t>AVIC Shenyang Aircraft Co Ltd</t>
  </si>
  <si>
    <t>601838 CH Equity</t>
  </si>
  <si>
    <t>Bank of Chengdu Co Ltd</t>
  </si>
  <si>
    <t>000001 CH Equity</t>
  </si>
  <si>
    <t>Ping An Bank Co Ltd</t>
  </si>
  <si>
    <t>001965 CH Equity</t>
  </si>
  <si>
    <t>China Merchants Expressway Net</t>
  </si>
  <si>
    <t>601898 CH Equity</t>
  </si>
  <si>
    <t>China Coal Energy Co Ltd</t>
  </si>
  <si>
    <t>600016 CH Equity</t>
  </si>
  <si>
    <t>China Minsheng Banking Corp Lt</t>
  </si>
  <si>
    <t>688183 CH Equity</t>
  </si>
  <si>
    <t>Shengyi Electronics Co Ltd</t>
  </si>
  <si>
    <t>601288 CH Equity</t>
  </si>
  <si>
    <t>Agricultural Bank of China Ltd</t>
  </si>
  <si>
    <t>600036 CH Equity</t>
  </si>
  <si>
    <t>China Merchants Bank Co Ltd</t>
  </si>
  <si>
    <t>600346 CH Equity</t>
  </si>
  <si>
    <t>Hengli Petrochemical Co Ltd</t>
  </si>
  <si>
    <t>002648 CH Equity</t>
  </si>
  <si>
    <t>Satellite Chemical Co Ltd</t>
  </si>
  <si>
    <t>600031 CH Equity</t>
  </si>
  <si>
    <t>Sany Heavy Industry Co Ltd</t>
  </si>
  <si>
    <t>002241 CH Equity</t>
  </si>
  <si>
    <t>GoerTek Inc</t>
  </si>
  <si>
    <t>300999 CH Equity</t>
  </si>
  <si>
    <t>Yihai Kerry Arawana Holdings C</t>
  </si>
  <si>
    <t>601939 CH Equity</t>
  </si>
  <si>
    <t>China Construction Bank Corp</t>
  </si>
  <si>
    <t>601398 CH Equity</t>
  </si>
  <si>
    <t>Industrial &amp; Commercial Bank o</t>
  </si>
  <si>
    <t>002714 CH Equity</t>
  </si>
  <si>
    <t>Muyuan Foods Group Co Ltd</t>
  </si>
  <si>
    <t>601336 CH Equity</t>
  </si>
  <si>
    <t>New China Life Insurance Co Lt</t>
  </si>
  <si>
    <t>600026 CH Equity</t>
  </si>
  <si>
    <t>COSCO SHIPPING Energy Transpor</t>
  </si>
  <si>
    <t>600803 CH Equity</t>
  </si>
  <si>
    <t>ENN Natural Gas Co Ltd</t>
  </si>
  <si>
    <t>601628 CH Equity</t>
  </si>
  <si>
    <t>China Life Insurance Co Ltd</t>
  </si>
  <si>
    <t>000977 CH Equity</t>
  </si>
  <si>
    <t>IEIT Systems Co Ltd</t>
  </si>
  <si>
    <t>601088 CH Equity</t>
  </si>
  <si>
    <t>China Shenhua Energy Co Ltd</t>
  </si>
  <si>
    <t>002142 CH Equity</t>
  </si>
  <si>
    <t>Bank of Ningbo Co Ltd</t>
  </si>
  <si>
    <t>601825 CH Equity</t>
  </si>
  <si>
    <t>Shanghai Rural Commercial Bank</t>
  </si>
  <si>
    <t>600887 CH Equity</t>
  </si>
  <si>
    <t>Inner Mongolia Yili Industrial</t>
  </si>
  <si>
    <t>600415 CH Equity</t>
  </si>
  <si>
    <t>Zhejiang China Commodities Cit</t>
  </si>
  <si>
    <t>000768 CH Equity</t>
  </si>
  <si>
    <t>AVIC Xi'an Aircraft Industry G</t>
  </si>
  <si>
    <t>600309 CH Equity</t>
  </si>
  <si>
    <t>Wanhua Chemical Group Co Ltd</t>
  </si>
  <si>
    <t>601018 CH Equity</t>
  </si>
  <si>
    <t>Ningbo Zhoushan Port Co Ltd</t>
  </si>
  <si>
    <t>601328 CH Equity</t>
  </si>
  <si>
    <t>Bank of Communications Co Ltd</t>
  </si>
  <si>
    <t>600919 CH Equity</t>
  </si>
  <si>
    <t>Bank of Jiangsu Co Ltd</t>
  </si>
  <si>
    <t>601059 CH Equity</t>
  </si>
  <si>
    <t>Cinda Securities Co Ltd</t>
  </si>
  <si>
    <t>600104 CH Equity</t>
  </si>
  <si>
    <t>SAIC Motor Corp Ltd</t>
  </si>
  <si>
    <t>600061 CH Equity</t>
  </si>
  <si>
    <t>SDIC Capital Co Ltd</t>
  </si>
  <si>
    <t>601225 CH Equity</t>
  </si>
  <si>
    <t>Shaanxi Coal Industry Co Ltd</t>
  </si>
  <si>
    <t>000596 CH Equity</t>
  </si>
  <si>
    <t>Anhui Gujing Distillery Co Ltd</t>
  </si>
  <si>
    <t>600918 CH Equity</t>
  </si>
  <si>
    <t>Zhongtai Securities Co Ltd</t>
  </si>
  <si>
    <t>000333 CH Equity</t>
  </si>
  <si>
    <t>Midea Group Co Ltd</t>
  </si>
  <si>
    <t>601857 CH Equity</t>
  </si>
  <si>
    <t>PetroChina Co Ltd</t>
  </si>
  <si>
    <t>601077 CH Equity</t>
  </si>
  <si>
    <t>Chongqing Rural Commercial Ban</t>
  </si>
  <si>
    <t>601766 CH Equity</t>
  </si>
  <si>
    <t>CRRC Corp Ltd</t>
  </si>
  <si>
    <t>600941 CH Equity</t>
  </si>
  <si>
    <t>China Mobile Ltd</t>
  </si>
  <si>
    <t>300803 CH Equity</t>
  </si>
  <si>
    <t>Beijing Compass Technology Dev</t>
  </si>
  <si>
    <t>600000 CH Equity</t>
  </si>
  <si>
    <t>Shanghai Pudong Development Ba</t>
  </si>
  <si>
    <t>300628 CH Equity</t>
  </si>
  <si>
    <t>Yealink Network Technology Cor</t>
  </si>
  <si>
    <t>300251 CH Equity</t>
  </si>
  <si>
    <t>Beijing Enlight Media Co Ltd</t>
  </si>
  <si>
    <t>601919 CH Equity</t>
  </si>
  <si>
    <t>COSCO SHIPPING Holdings Co Ltd</t>
  </si>
  <si>
    <t>600893 CH Equity</t>
  </si>
  <si>
    <t>AECC Aviation Power Co Ltd</t>
  </si>
  <si>
    <t>600795 CH Equity</t>
  </si>
  <si>
    <t>GD Power Development Co Ltd</t>
  </si>
  <si>
    <t>601009 CH Equity</t>
  </si>
  <si>
    <t>Bank of Nanjing Co Ltd</t>
  </si>
  <si>
    <t>300498 CH Equity</t>
  </si>
  <si>
    <t>Wens Foodstuff Group Co Ltd</t>
  </si>
  <si>
    <t>000776 CH Equity</t>
  </si>
  <si>
    <t>GF Securities Co Ltd</t>
  </si>
  <si>
    <t>002736 CH Equity</t>
  </si>
  <si>
    <t>Guosen Securities Co Ltd</t>
  </si>
  <si>
    <t>002920 CH Equity</t>
  </si>
  <si>
    <t>Huizhou Desay Sv Automotive Co</t>
  </si>
  <si>
    <t>600999 CH Equity</t>
  </si>
  <si>
    <t>China Merchants Securities Co</t>
  </si>
  <si>
    <t>601600 CH Equity</t>
  </si>
  <si>
    <t>Aluminum Corp of China Ltd</t>
  </si>
  <si>
    <t>600183 CH Equity</t>
  </si>
  <si>
    <t>Shengyi Technology Co Ltd</t>
  </si>
  <si>
    <t>601881 CH Equity</t>
  </si>
  <si>
    <t>China Galaxy Securities Co Ltd</t>
  </si>
  <si>
    <t>600989 CH Equity</t>
  </si>
  <si>
    <t>Ningxia Baofeng Energy Group C</t>
  </si>
  <si>
    <t>688036 CH Equity</t>
  </si>
  <si>
    <t>Shenzhen Transsion Holdings Co</t>
  </si>
  <si>
    <t>300418 CH Equity</t>
  </si>
  <si>
    <t>Kunlun Tech Co Ltd</t>
  </si>
  <si>
    <t>600066 CH Equity</t>
  </si>
  <si>
    <t>Yutong Bus Co Ltd</t>
  </si>
  <si>
    <t>600362 CH Equity</t>
  </si>
  <si>
    <t>Jiangxi Copper Co Ltd</t>
  </si>
  <si>
    <t>600926 CH Equity</t>
  </si>
  <si>
    <t>Bank of Hangzhou Co Ltd</t>
  </si>
  <si>
    <t>601877 CH Equity</t>
  </si>
  <si>
    <t>Zhejiang Chint Electrics Co Lt</t>
  </si>
  <si>
    <t>600660 CH Equity</t>
  </si>
  <si>
    <t>Fuyao Glass Industry Group Co</t>
  </si>
  <si>
    <t>600426 CH Equity</t>
  </si>
  <si>
    <t>Shandong Hualu Hengsheng Chemi</t>
  </si>
  <si>
    <t>600674 CH Equity</t>
  </si>
  <si>
    <t>Sichuan Chuantou Energy Co Ltd</t>
  </si>
  <si>
    <t>600150 CH Equity</t>
  </si>
  <si>
    <t>China CSSC Holdings Ltd</t>
  </si>
  <si>
    <t>603893 CH Equity</t>
  </si>
  <si>
    <t>Rockchip Electronics Co Ltd</t>
  </si>
  <si>
    <t>600958 CH Equity</t>
  </si>
  <si>
    <t>Orient Securities Co Ltd/China</t>
  </si>
  <si>
    <t>600938 CH Equity</t>
  </si>
  <si>
    <t>CNOOC Ltd</t>
  </si>
  <si>
    <t>601238 CH Equity</t>
  </si>
  <si>
    <t>Guangzhou Automobile Group Co</t>
  </si>
  <si>
    <t>002466 CH Equity</t>
  </si>
  <si>
    <t>Tianqi Lithium Corp</t>
  </si>
  <si>
    <t>600741 CH Equity</t>
  </si>
  <si>
    <t>Huayu Automotive Systems Co Lt</t>
  </si>
  <si>
    <t>601688 CH Equity</t>
  </si>
  <si>
    <t>Huatai Securities Co Ltd</t>
  </si>
  <si>
    <t>601788 CH Equity</t>
  </si>
  <si>
    <t>Everbright Securities Co Ltd</t>
  </si>
  <si>
    <t>000425 CH Equity</t>
  </si>
  <si>
    <t>XCMG Construction Machinery Co</t>
  </si>
  <si>
    <t>601878 CH Equity</t>
  </si>
  <si>
    <t>Zheshang Securities Co Ltd</t>
  </si>
  <si>
    <t>600027 CH Equity</t>
  </si>
  <si>
    <t>Huadian Power International Co</t>
  </si>
  <si>
    <t>601916 CH Equity</t>
  </si>
  <si>
    <t>China Zheshang Bank Co Ltd</t>
  </si>
  <si>
    <t>600570 CH Equity</t>
  </si>
  <si>
    <t>Hundsun Technologies Inc</t>
  </si>
  <si>
    <t>000538 CH Equity</t>
  </si>
  <si>
    <t>Yunnan Baiyao Group Co Ltd</t>
  </si>
  <si>
    <t>600030 CH Equity</t>
  </si>
  <si>
    <t>CITIC Securities Co Ltd</t>
  </si>
  <si>
    <t>601872 CH Equity</t>
  </si>
  <si>
    <t>China Merchants Energy Shippin</t>
  </si>
  <si>
    <t>600010 CH Equity</t>
  </si>
  <si>
    <t>Inner Mongolia BaoTou Steel Un</t>
  </si>
  <si>
    <t>601377 CH Equity</t>
  </si>
  <si>
    <t>Industrial Securities Co Ltd</t>
  </si>
  <si>
    <t>002415 CH Equity</t>
  </si>
  <si>
    <t>Hangzhou Hikvision Digital Tec</t>
  </si>
  <si>
    <t>601901 CH Equity</t>
  </si>
  <si>
    <t>Founder Securities Co Ltd</t>
  </si>
  <si>
    <t>601800 CH Equity</t>
  </si>
  <si>
    <t>China Communications Construct</t>
  </si>
  <si>
    <t>600009 CH Equity</t>
  </si>
  <si>
    <t>Shanghai International Airport</t>
  </si>
  <si>
    <t>000166 CH Equity</t>
  </si>
  <si>
    <t>Shenwan Hongyuan Group Co Ltd</t>
  </si>
  <si>
    <t>000002 CH Equity</t>
  </si>
  <si>
    <t>China Vanke Co Ltd</t>
  </si>
  <si>
    <t>000807 CH Equity</t>
  </si>
  <si>
    <t>Yunnan Aluminium Co Ltd</t>
  </si>
  <si>
    <t>601390 CH Equity</t>
  </si>
  <si>
    <t>China Railway Group Ltd</t>
  </si>
  <si>
    <t>600585 CH Equity</t>
  </si>
  <si>
    <t>Anhui Conch Cement Co Ltd</t>
  </si>
  <si>
    <t>601006 CH Equity</t>
  </si>
  <si>
    <t>Daqin Railway Co Ltd</t>
  </si>
  <si>
    <t>601818 CH Equity</t>
  </si>
  <si>
    <t>China Everbright Bank Co Ltd</t>
  </si>
  <si>
    <t>601186 CH Equity</t>
  </si>
  <si>
    <t>China Railway Construction Cor</t>
  </si>
  <si>
    <t>603392 CH Equity</t>
  </si>
  <si>
    <t>Beijing Wantai Biological Phar</t>
  </si>
  <si>
    <t>688009 CH Equity</t>
  </si>
  <si>
    <t>China Railway Signal &amp; Communi</t>
  </si>
  <si>
    <t>601456 CH Equity</t>
  </si>
  <si>
    <t>Guolian Minsheng Securities Co</t>
  </si>
  <si>
    <t>601229 CH Equity</t>
  </si>
  <si>
    <t>Bank of Shanghai Co Ltd</t>
  </si>
  <si>
    <t>600886 CH Equity</t>
  </si>
  <si>
    <t>SDIC Power Holdings Co Ltd</t>
  </si>
  <si>
    <t>002311 CH Equity</t>
  </si>
  <si>
    <t>Guangdong Haid Group Co Ltd</t>
  </si>
  <si>
    <t>603993 CH Equity</t>
  </si>
  <si>
    <t>CMOC Group Ltd</t>
  </si>
  <si>
    <t>601360 CH Equity</t>
  </si>
  <si>
    <t>360 Security Technology Inc</t>
  </si>
  <si>
    <t>302132 CH Equity</t>
  </si>
  <si>
    <t>Avic Chengdu Aircraft Co Ltd</t>
  </si>
  <si>
    <t>601211 CH Equity</t>
  </si>
  <si>
    <t>Guotai Haitong Securities Co L</t>
  </si>
  <si>
    <t>601995 CH Equity</t>
  </si>
  <si>
    <t>China International Capital Co</t>
  </si>
  <si>
    <t>600900 CH Equity</t>
  </si>
  <si>
    <t>China Yangtze Power Co Ltd</t>
  </si>
  <si>
    <t>300059 CH Equity</t>
  </si>
  <si>
    <t>East Money Information Co Ltd</t>
  </si>
  <si>
    <t>600372 CH Equity</t>
  </si>
  <si>
    <t>AVIC Airborne Systems Co Ltd</t>
  </si>
  <si>
    <t>600025 CH Equity</t>
  </si>
  <si>
    <t>Huaneng Lancang River Hydropow</t>
  </si>
  <si>
    <t>601166 CH Equity</t>
  </si>
  <si>
    <t>Industrial Bank Co Ltd</t>
  </si>
  <si>
    <t>601899 CH Equity</t>
  </si>
  <si>
    <t>Zijin Mining Group Co Ltd</t>
  </si>
  <si>
    <t>601066 CH Equity</t>
  </si>
  <si>
    <t>CSC Financial Co Ltd</t>
  </si>
  <si>
    <t>600050 CH Equity</t>
  </si>
  <si>
    <t>China United Network Communica</t>
  </si>
  <si>
    <t>600023 CH Equity</t>
  </si>
  <si>
    <t>Zhejiang Zheneng Electric Powe</t>
  </si>
  <si>
    <t>601618 CH Equity</t>
  </si>
  <si>
    <t>Metallurgical Corp of China Lt</t>
  </si>
  <si>
    <t>600019 CH Equity</t>
  </si>
  <si>
    <t>Baoshan Iron &amp; Steel Co Ltd</t>
  </si>
  <si>
    <t>601985 CH Equity</t>
  </si>
  <si>
    <t>China National Nuclear Power C</t>
  </si>
  <si>
    <t>600188 CH Equity</t>
  </si>
  <si>
    <t>Yankuang Energy Group Co Ltd</t>
  </si>
  <si>
    <t>000408 CH Equity</t>
  </si>
  <si>
    <t>Zangge Mining Co Ltd</t>
  </si>
  <si>
    <t>601816 CH Equity</t>
  </si>
  <si>
    <t>Beijing-Shanghai High Speed Ra</t>
  </si>
  <si>
    <t>601117 CH Equity</t>
  </si>
  <si>
    <t>China National Chemical Engine</t>
  </si>
  <si>
    <t>605499 CH Equity</t>
  </si>
  <si>
    <t>Eastroc Beverage Group Co Ltd</t>
  </si>
  <si>
    <t>600809 CH Equity</t>
  </si>
  <si>
    <t>Shanxi Xinghuacun Fen Wine Fac</t>
  </si>
  <si>
    <t>600519 CH Equity</t>
  </si>
  <si>
    <t>Kweichow Moutai Co Ltd</t>
  </si>
  <si>
    <t>600029 CH Equity</t>
  </si>
  <si>
    <t>China Southern Airlines Co Ltd</t>
  </si>
  <si>
    <t>601668 CH Equity</t>
  </si>
  <si>
    <t>China State Construction Engin</t>
  </si>
  <si>
    <t>600489 CH Equity</t>
  </si>
  <si>
    <t>Zhongjin Gold Corp Ltd</t>
  </si>
  <si>
    <t>002027 CH Equity</t>
  </si>
  <si>
    <t>Focus Media Information Techno</t>
  </si>
  <si>
    <t>600219 CH Equity</t>
  </si>
  <si>
    <t>Shandong Nanshan Aluminum Co L</t>
  </si>
  <si>
    <t>000625 CH Equity</t>
  </si>
  <si>
    <t>Chongqing Changan Automobile C</t>
  </si>
  <si>
    <t>000630 CH Equity</t>
  </si>
  <si>
    <t>Tongling Nonferrous Metals Gro</t>
  </si>
  <si>
    <t>001391 CH Equity</t>
  </si>
  <si>
    <t>Air China Cargo Co Ltd</t>
  </si>
  <si>
    <t>601607 CH Equity</t>
  </si>
  <si>
    <t>Shanghai Pharmaceuticals Holdi</t>
  </si>
  <si>
    <t>600115 CH Equity</t>
  </si>
  <si>
    <t>China Eastern Airlines Corp Lt</t>
  </si>
  <si>
    <t>000999 CH Equity</t>
  </si>
  <si>
    <t>China Resources Sanjiu Medical</t>
  </si>
  <si>
    <t>002558 CH Equity</t>
  </si>
  <si>
    <t>Giant Network Group Co Ltd</t>
  </si>
  <si>
    <t>002236 CH Equity</t>
  </si>
  <si>
    <t>Zhejiang Dahua Technology Co L</t>
  </si>
  <si>
    <t>601727 CH Equity</t>
  </si>
  <si>
    <t>Shanghai Electric Group Co Ltd</t>
  </si>
  <si>
    <t>002304 CH Equity</t>
  </si>
  <si>
    <t>Jiangsu Yanghe Distillery Co L</t>
  </si>
  <si>
    <t>601111 CH Equity</t>
  </si>
  <si>
    <t>Air China Ltd</t>
  </si>
  <si>
    <t>600905 CH Equity</t>
  </si>
  <si>
    <t>China Three Gorges Renewables</t>
  </si>
  <si>
    <t>600085 CH Equity</t>
  </si>
  <si>
    <t>Beijing Tong Ren Tang Co Ltd</t>
  </si>
  <si>
    <t>601888 CH Equity</t>
  </si>
  <si>
    <t>China Tourism Group Duty Free</t>
  </si>
  <si>
    <t>002532 CH Equity</t>
  </si>
  <si>
    <t>Tianshan Aluminum Group Co Ltd</t>
  </si>
  <si>
    <t>600221 CH Equity</t>
  </si>
  <si>
    <t>Hainan Airlines Holding Co Ltd</t>
  </si>
  <si>
    <t>603369 CH Equity</t>
  </si>
  <si>
    <t>Jiangsu King's Luck Brewery JS</t>
  </si>
  <si>
    <t>001280 CH Equity</t>
  </si>
  <si>
    <t>China National Uranium Co Ltd</t>
  </si>
  <si>
    <t>601633 CH Equity</t>
  </si>
  <si>
    <t>Great Wall Motor Co Ltd</t>
  </si>
  <si>
    <t>601669 CH Equity</t>
  </si>
  <si>
    <t>Power Construction Corp of Chi</t>
  </si>
  <si>
    <t>002594 CH Equity</t>
  </si>
  <si>
    <t>BYD Co Ltd</t>
  </si>
  <si>
    <t>000858 CH Equity</t>
  </si>
  <si>
    <t>Wuliangye Yibin Co Ltd</t>
  </si>
  <si>
    <t>600690 CH Equity</t>
  </si>
  <si>
    <t>Haier Smart Home Co Ltd</t>
  </si>
  <si>
    <t>601868 CH Equity</t>
  </si>
  <si>
    <t>China Energy Engineering Corp</t>
  </si>
  <si>
    <t>002074 CH Equity</t>
  </si>
  <si>
    <t>Gotion High-tech Co Ltd</t>
  </si>
  <si>
    <t>601021 CH Equity</t>
  </si>
  <si>
    <t>Spring Airlines Co Ltd</t>
  </si>
  <si>
    <t>000792 CH Equity</t>
  </si>
  <si>
    <t>Qinghai Salt Lake Industry Co</t>
  </si>
  <si>
    <t>600011 CH Equity</t>
  </si>
  <si>
    <t>Huaneng Power International In</t>
  </si>
  <si>
    <t>600600 CH Equity</t>
  </si>
  <si>
    <t>Tsingtao Brewery Co Ltd</t>
  </si>
  <si>
    <t>002475 CH Equity</t>
  </si>
  <si>
    <t>Luxshare Precision Industry Co</t>
  </si>
  <si>
    <t>600845 CH Equity</t>
  </si>
  <si>
    <t>Shanghai Baosight Software Co</t>
  </si>
  <si>
    <t>601728 CH Equity</t>
  </si>
  <si>
    <t>China Telecom Corp Ltd</t>
  </si>
  <si>
    <t>002352 CH Equity</t>
  </si>
  <si>
    <t>SF Holding Co Ltd</t>
  </si>
  <si>
    <t>002460 CH Equity</t>
  </si>
  <si>
    <t>Ganfeng Lithium Group Co Ltd</t>
  </si>
  <si>
    <t>300124 CH Equity</t>
  </si>
  <si>
    <t>Shenzhen Inovance Technology C</t>
  </si>
  <si>
    <t>300033 CH Equity</t>
  </si>
  <si>
    <t>Hithink RoyalFlush Information</t>
  </si>
  <si>
    <t>600515 CH Equity</t>
  </si>
  <si>
    <t>Hainan Airport Infrastructure</t>
  </si>
  <si>
    <t>000975 CH Equity</t>
  </si>
  <si>
    <t>Shanjin International Gold Co</t>
  </si>
  <si>
    <t>002179 CH Equity</t>
  </si>
  <si>
    <t>Jonhon Optronic Technology Co</t>
  </si>
  <si>
    <t>002463 CH Equity</t>
  </si>
  <si>
    <t>WUS Printed Circuit Kunshan Co</t>
  </si>
  <si>
    <t>002230 CH Equity</t>
  </si>
  <si>
    <t>Iflytek Co Ltd</t>
  </si>
  <si>
    <t>000063 CH Equity</t>
  </si>
  <si>
    <t>ZTE Corp</t>
  </si>
  <si>
    <t>000938 CH Equity</t>
  </si>
  <si>
    <t>Unisplendour Corp Ltd</t>
  </si>
  <si>
    <t>600160 CH Equity</t>
  </si>
  <si>
    <t>Zhejiang Juhua Co Ltd</t>
  </si>
  <si>
    <t>600930 CH Equity</t>
  </si>
  <si>
    <t>Huadian New Energy Group Co Lt</t>
  </si>
  <si>
    <t>601127 CH Equity</t>
  </si>
  <si>
    <t>Seres Group Co Ltd</t>
  </si>
  <si>
    <t>600406 CH Equity</t>
  </si>
  <si>
    <t>NARI Technology Co Ltd</t>
  </si>
  <si>
    <t>002602 CH Equity</t>
  </si>
  <si>
    <t>Zhejiang Century Huatong Group</t>
  </si>
  <si>
    <t>000157 CH Equity</t>
  </si>
  <si>
    <t>Zoomlion Heavy Industry Scienc</t>
  </si>
  <si>
    <t>688271 CH Equity</t>
  </si>
  <si>
    <t>Shanghai United Imaging Health</t>
  </si>
  <si>
    <t>000708 CH Equity</t>
  </si>
  <si>
    <t>Citic Pacific Special Steel Gr</t>
  </si>
  <si>
    <t>002600 CH Equity</t>
  </si>
  <si>
    <t>Lingyi iTech Guangdong Co</t>
  </si>
  <si>
    <t>300015 CH Equity</t>
  </si>
  <si>
    <t>Aier Eye Hospital Group Co Ltd</t>
  </si>
  <si>
    <t>603019 CH Equity</t>
  </si>
  <si>
    <t>Dawning Information Industry C</t>
  </si>
  <si>
    <t>600522 CH Equity</t>
  </si>
  <si>
    <t>Jiangsu Zhongtian Technology C</t>
  </si>
  <si>
    <t>300896 CH Equity</t>
  </si>
  <si>
    <t>Imeik Technology Development C</t>
  </si>
  <si>
    <t>300661 CH Equity</t>
  </si>
  <si>
    <t>SG Micro Corp</t>
  </si>
  <si>
    <t>000651 CH Equity</t>
  </si>
  <si>
    <t>Gree Electric Appliances Inc o</t>
  </si>
  <si>
    <t>600482 CH Equity</t>
  </si>
  <si>
    <t>China Shipbuilding Industry Gr</t>
  </si>
  <si>
    <t>301269 CH Equity</t>
  </si>
  <si>
    <t>Empyrean Technology Co Ltd</t>
  </si>
  <si>
    <t>600015 CH Equity</t>
  </si>
  <si>
    <t>Huaxia Bank Co Ltd</t>
  </si>
  <si>
    <t>000895 CH Equity</t>
  </si>
  <si>
    <t>Henan Shuanghui Investment &amp; D</t>
  </si>
  <si>
    <t>600176 CH Equity</t>
  </si>
  <si>
    <t>China Jushi Co Ltd</t>
  </si>
  <si>
    <t>301236 CH Equity</t>
  </si>
  <si>
    <t>Isoftstone Information Technol</t>
  </si>
  <si>
    <t>688111 CH Equity</t>
  </si>
  <si>
    <t>Beijing Kingsoft Office Softwa</t>
  </si>
  <si>
    <t>603288 CH Equity</t>
  </si>
  <si>
    <t>Foshan Haitian Flavouring &amp; Fo</t>
  </si>
  <si>
    <t>600436 CH Equity</t>
  </si>
  <si>
    <t>Zhangzhou Pientzehuang Pharmac</t>
  </si>
  <si>
    <t>600111 CH Equity</t>
  </si>
  <si>
    <t>China Northern Rare Earth Grou</t>
  </si>
  <si>
    <t>603260 CH Equity</t>
  </si>
  <si>
    <t>Hoshine Silicon Industry Co Lt</t>
  </si>
  <si>
    <t>002049 CH Equity</t>
  </si>
  <si>
    <t>Unigroup Guoxin Microelectroni</t>
  </si>
  <si>
    <t>000100 CH Equity</t>
  </si>
  <si>
    <t>TCL Technology Group Corp</t>
  </si>
  <si>
    <t>688256 CH Equity</t>
  </si>
  <si>
    <t>Cambricon Technologies Corp Lt</t>
  </si>
  <si>
    <t>300433 CH Equity</t>
  </si>
  <si>
    <t>Lens Technology Co Ltd</t>
  </si>
  <si>
    <t>601138 CH Equity</t>
  </si>
  <si>
    <t>Foxconn Industrial Internet Co</t>
  </si>
  <si>
    <t>300832 CH Equity</t>
  </si>
  <si>
    <t>Shenzhen New Industries Biomed</t>
  </si>
  <si>
    <t>000963 CH Equity</t>
  </si>
  <si>
    <t>Huadong Medicine Co Ltd</t>
  </si>
  <si>
    <t>601100 CH Equity</t>
  </si>
  <si>
    <t>Jiangsu Hengli Hydraulic Co Lt</t>
  </si>
  <si>
    <t>002625 CH Equity</t>
  </si>
  <si>
    <t>Kuang-Chi Technologies Co Ltd</t>
  </si>
  <si>
    <t>601012 CH Equity</t>
  </si>
  <si>
    <t>LONGi Green Energy Technology</t>
  </si>
  <si>
    <t>600196 CH Equity</t>
  </si>
  <si>
    <t>Shanghai Fosun Pharmaceutical</t>
  </si>
  <si>
    <t>002001 CH Equity</t>
  </si>
  <si>
    <t>Zhejiang NHU Co Ltd</t>
  </si>
  <si>
    <t>600048 CH Equity</t>
  </si>
  <si>
    <t>Poly Developments and Holdings</t>
  </si>
  <si>
    <t>603799 CH Equity</t>
  </si>
  <si>
    <t>Zhejiang Huayou Cobalt Co Ltd</t>
  </si>
  <si>
    <t>688981 CH Equity</t>
  </si>
  <si>
    <t>Semiconductor Manufacturing In</t>
  </si>
  <si>
    <t>603296 CH Equity</t>
  </si>
  <si>
    <t>Huaqin Co Ltd</t>
  </si>
  <si>
    <t>688303 CH Equity</t>
  </si>
  <si>
    <t>Xinjiang Daqo New Energy Co Lt</t>
  </si>
  <si>
    <t>300450 CH Equity</t>
  </si>
  <si>
    <t>Wuxi Lead Intelligent Equipmen</t>
  </si>
  <si>
    <t>002938 CH Equity</t>
  </si>
  <si>
    <t>Avary Holding Shenzhen Co Ltd</t>
  </si>
  <si>
    <t>688047 CH Equity</t>
  </si>
  <si>
    <t>Loongson Technology Corp Ltd</t>
  </si>
  <si>
    <t>300442 CH Equity</t>
  </si>
  <si>
    <t>Range Intelligent Computing Te</t>
  </si>
  <si>
    <t>002916 CH Equity</t>
  </si>
  <si>
    <t>Shennan Circuits Co Ltd</t>
  </si>
  <si>
    <t>600460 CH Equity</t>
  </si>
  <si>
    <t>Hangzhou Silan Microelectronic</t>
  </si>
  <si>
    <t>300014 CH Equity</t>
  </si>
  <si>
    <t>Eve Energy Co Ltd</t>
  </si>
  <si>
    <t>600438 CH Equity</t>
  </si>
  <si>
    <t>Tongwei Co Ltd</t>
  </si>
  <si>
    <t>688223 CH Equity</t>
  </si>
  <si>
    <t>Jinko Solar Co Ltd</t>
  </si>
  <si>
    <t>603259 CH Equity</t>
  </si>
  <si>
    <t>WuXi AppTec Co Ltd</t>
  </si>
  <si>
    <t>300316 CH Equity</t>
  </si>
  <si>
    <t>Zhejiang Jingsheng Mechanical</t>
  </si>
  <si>
    <t>600875 CH Equity</t>
  </si>
  <si>
    <t>Dongfang Electric Corp Ltd</t>
  </si>
  <si>
    <t>600089 CH Equity</t>
  </si>
  <si>
    <t>TBEA Co Ltd</t>
  </si>
  <si>
    <t>603501 CH Equity</t>
  </si>
  <si>
    <t>OmniVision Integrated Circuits</t>
  </si>
  <si>
    <t>000725 CH Equity</t>
  </si>
  <si>
    <t>BOE Technology Group Co Ltd</t>
  </si>
  <si>
    <t>688008 CH Equity</t>
  </si>
  <si>
    <t>Montage Technology Co Ltd</t>
  </si>
  <si>
    <t>601689 CH Equity</t>
  </si>
  <si>
    <t>Ningbo Tuopu Group Co Ltd</t>
  </si>
  <si>
    <t>002709 CH Equity</t>
  </si>
  <si>
    <t>Guangzhou Tinci Materials Tech</t>
  </si>
  <si>
    <t>000568 CH Equity</t>
  </si>
  <si>
    <t>Luzhou Laojiao Co Ltd</t>
  </si>
  <si>
    <t>600588 CH Equity</t>
  </si>
  <si>
    <t>Yonyou Network Technology Co L</t>
  </si>
  <si>
    <t>002050 CH Equity</t>
  </si>
  <si>
    <t>Zhejiang Sanhua Intelligent Co</t>
  </si>
  <si>
    <t>000988 CH Equity</t>
  </si>
  <si>
    <t>Hgtech Co Ltd</t>
  </si>
  <si>
    <t>300750 CH Equity</t>
  </si>
  <si>
    <t>Contemporary Amperex Technolog</t>
  </si>
  <si>
    <t>688521 CH Equity</t>
  </si>
  <si>
    <t>Verisilicon Microelectronics S</t>
  </si>
  <si>
    <t>688396 CH Equity</t>
  </si>
  <si>
    <t>China Resources Microelectroni</t>
  </si>
  <si>
    <t>603986 CH Equity</t>
  </si>
  <si>
    <t>GigaDevice Semiconductor Inc</t>
  </si>
  <si>
    <t>601698 CH Equity</t>
  </si>
  <si>
    <t>China Satellite Communications</t>
  </si>
  <si>
    <t>000338 CH Equity</t>
  </si>
  <si>
    <t>Weichai Power Co Ltd</t>
  </si>
  <si>
    <t>301308 CH Equity</t>
  </si>
  <si>
    <t>Shenzhen Longsys Electronics C</t>
  </si>
  <si>
    <t>688041 CH Equity</t>
  </si>
  <si>
    <t>Hygon Information Technology C</t>
  </si>
  <si>
    <t>300502 CH Equity</t>
  </si>
  <si>
    <t>Eoptolink Technology Inc Ltd</t>
  </si>
  <si>
    <t>600549 CH Equity</t>
  </si>
  <si>
    <t>Xiamen Tungsten Co Ltd</t>
  </si>
  <si>
    <t>600276 CH Equity</t>
  </si>
  <si>
    <t>Jiangsu Hengrui Pharmaceutical</t>
  </si>
  <si>
    <t>002422 CH Equity</t>
  </si>
  <si>
    <t>Sichuan Kelun Pharmaceutical C</t>
  </si>
  <si>
    <t>002384 CH Equity</t>
  </si>
  <si>
    <t>Suzhou Dongshan Precision Manu</t>
  </si>
  <si>
    <t>300408 CH Equity</t>
  </si>
  <si>
    <t>Chaozhou Three-Circle Group Co</t>
  </si>
  <si>
    <t>688012 CH Equity</t>
  </si>
  <si>
    <t>Advanced Micro-Fabrication Equ</t>
  </si>
  <si>
    <t>600233 CH Equity</t>
  </si>
  <si>
    <t>YTO Express Group Co Ltd</t>
  </si>
  <si>
    <t>301165 CH Equity</t>
  </si>
  <si>
    <t>Ruijie Networks Co Ltd</t>
  </si>
  <si>
    <t>300308 CH Equity</t>
  </si>
  <si>
    <t>Zhongji Innolight Co Ltd</t>
  </si>
  <si>
    <t>605117 CH Equity</t>
  </si>
  <si>
    <t>Ningbo Deye Technology Corp</t>
  </si>
  <si>
    <t>688126 CH Equity</t>
  </si>
  <si>
    <t>National Silicon Industry Grou</t>
  </si>
  <si>
    <t>300476 CH Equity</t>
  </si>
  <si>
    <t>Victory Giant Technology Huizh</t>
  </si>
  <si>
    <t>300394 CH Equity</t>
  </si>
  <si>
    <t>Suzhou TFC Optical Communicati</t>
  </si>
  <si>
    <t>001979 CH Equity</t>
  </si>
  <si>
    <t>China Merchants Shekou Industr</t>
  </si>
  <si>
    <t>688506 CH Equity</t>
  </si>
  <si>
    <t>Sichuan Biokin Pharmaceutical</t>
  </si>
  <si>
    <t>600118 CH Equity</t>
  </si>
  <si>
    <t>China Spacesat Co Ltd</t>
  </si>
  <si>
    <t>688072 CH Equity</t>
  </si>
  <si>
    <t>Piotech Inc</t>
  </si>
  <si>
    <t>002371 CH Equity</t>
  </si>
  <si>
    <t>NAURA Technology Group Co Ltd</t>
  </si>
  <si>
    <t>600584 CH Equity</t>
  </si>
  <si>
    <t>JCET Group Co Ltd</t>
  </si>
  <si>
    <t>000657 CH Equity</t>
  </si>
  <si>
    <t>China Tungsten And Hightech Ma</t>
  </si>
  <si>
    <t>688472 CH Equity</t>
  </si>
  <si>
    <t>CSI Solar Co Ltd</t>
  </si>
  <si>
    <t>688082 CH Equity</t>
  </si>
  <si>
    <t>ACM Research Shanghai Inc</t>
  </si>
  <si>
    <t>002202 CH Equity</t>
  </si>
  <si>
    <t>Goldwind Science &amp; Technology</t>
  </si>
  <si>
    <t>002353 CH Equity</t>
  </si>
  <si>
    <t>Yantai Jereh Oilfield Services</t>
  </si>
  <si>
    <t>002028 CH Equity</t>
  </si>
  <si>
    <t>Sieyuan Electric Co Ltd</t>
  </si>
  <si>
    <t>300274 CH Equity</t>
  </si>
  <si>
    <t>Sungrow Power Supply Co Ltd</t>
  </si>
  <si>
    <t>DBK GY Equity</t>
  </si>
  <si>
    <t>Deutsche Bank AG</t>
  </si>
  <si>
    <t>INGA NA Equity</t>
  </si>
  <si>
    <t>ING Groep NV</t>
  </si>
  <si>
    <t>BMW GY Equity</t>
  </si>
  <si>
    <t>Bayerische Motoren Werke AG</t>
  </si>
  <si>
    <t>AI FP Equity</t>
  </si>
  <si>
    <t>Air Liquide SA</t>
  </si>
  <si>
    <t>SAN SQ Equity</t>
  </si>
  <si>
    <t>Banco Santander SA</t>
  </si>
  <si>
    <t>BAS GY Equity</t>
  </si>
  <si>
    <t>BASF SE</t>
  </si>
  <si>
    <t>ARGX BB Equity</t>
  </si>
  <si>
    <t>Argenx SE</t>
  </si>
  <si>
    <t>ABI BB Equity</t>
  </si>
  <si>
    <t>Anheuser-Busch InBev SA/NV</t>
  </si>
  <si>
    <t>MBG GY Equity</t>
  </si>
  <si>
    <t>Mercedes-Benz Group AG</t>
  </si>
  <si>
    <t>NDA FH Equity</t>
  </si>
  <si>
    <t>Nordea Bank Abp</t>
  </si>
  <si>
    <t>ALV GY Equity</t>
  </si>
  <si>
    <t>Allianz SE</t>
  </si>
  <si>
    <t>BBVA SQ Equity</t>
  </si>
  <si>
    <t>Banco Bilbao Vizcaya Argentari</t>
  </si>
  <si>
    <t>MUV2 GY Equity</t>
  </si>
  <si>
    <t>Muenchener Rueckversicherungs-</t>
  </si>
  <si>
    <t>UCG IM Equity</t>
  </si>
  <si>
    <t>UniCredit SpA</t>
  </si>
  <si>
    <t>IFX GY Equity</t>
  </si>
  <si>
    <t>Infineon Technologies AG</t>
  </si>
  <si>
    <t>OR FP Equity</t>
  </si>
  <si>
    <t>L'Oreal SA</t>
  </si>
  <si>
    <t>TTE FP Equity</t>
  </si>
  <si>
    <t>TotalEnergies SE</t>
  </si>
  <si>
    <t>BAYN GY Equity</t>
  </si>
  <si>
    <t>Bayer AG</t>
  </si>
  <si>
    <t>DB1 GY Equity</t>
  </si>
  <si>
    <t>Deutsche Boerse AG</t>
  </si>
  <si>
    <t>ENI IM Equity</t>
  </si>
  <si>
    <t>Eni SpA</t>
  </si>
  <si>
    <t>DHL GY Equity</t>
  </si>
  <si>
    <t>DHL AG</t>
  </si>
  <si>
    <t>SIE GY Equity</t>
  </si>
  <si>
    <t>Siemens AG</t>
  </si>
  <si>
    <t>RACE IM Equity</t>
  </si>
  <si>
    <t>Ferrari NV</t>
  </si>
  <si>
    <t>VOW3 GY Equity</t>
  </si>
  <si>
    <t>Volkswagen AG</t>
  </si>
  <si>
    <t>CS FP Equity</t>
  </si>
  <si>
    <t>AXA SA</t>
  </si>
  <si>
    <t>SAN FP Equity</t>
  </si>
  <si>
    <t>Sanofi SA</t>
  </si>
  <si>
    <t>ISP IM Equity</t>
  </si>
  <si>
    <t>Intesa Sanpaolo SpA</t>
  </si>
  <si>
    <t>IBE SQ Equity</t>
  </si>
  <si>
    <t>Iberdrola SA</t>
  </si>
  <si>
    <t>ADYEN NA Equity</t>
  </si>
  <si>
    <t>Adyen NV</t>
  </si>
  <si>
    <t>BN FP Equity</t>
  </si>
  <si>
    <t>Danone SA</t>
  </si>
  <si>
    <t>SAP GY Equity</t>
  </si>
  <si>
    <t>SAP SE</t>
  </si>
  <si>
    <t>SU FP Equity</t>
  </si>
  <si>
    <t>Schneider Electric SE</t>
  </si>
  <si>
    <t>DTE GY Equity</t>
  </si>
  <si>
    <t>Deutsche Telekom AG</t>
  </si>
  <si>
    <t>EL FP Equity</t>
  </si>
  <si>
    <t>EssilorLuxottica SA</t>
  </si>
  <si>
    <t>AD NA Equity</t>
  </si>
  <si>
    <t>Koninklijke Ahold Delhaize NV</t>
  </si>
  <si>
    <t>PRX NA Equity</t>
  </si>
  <si>
    <t>Prosus NV</t>
  </si>
  <si>
    <t>RMS FP Equity</t>
  </si>
  <si>
    <t>Hermes International SCA</t>
  </si>
  <si>
    <t>ITX SQ Equity</t>
  </si>
  <si>
    <t>Industria de Diseno Textil SA</t>
  </si>
  <si>
    <t>BNP FP Equity</t>
  </si>
  <si>
    <t>BNP Paribas SA</t>
  </si>
  <si>
    <t>MC FP Equity</t>
  </si>
  <si>
    <t>LVMH Moet Hennessy Louis Vuitt</t>
  </si>
  <si>
    <t>ADS GY Equity</t>
  </si>
  <si>
    <t>adidas AG</t>
  </si>
  <si>
    <t>WKL NA Equity</t>
  </si>
  <si>
    <t>Wolters Kluwer NV</t>
  </si>
  <si>
    <t>ASML NA Equity</t>
  </si>
  <si>
    <t>ASML Holding NV</t>
  </si>
  <si>
    <t>ENEL IM Equity</t>
  </si>
  <si>
    <t>Enel SpA</t>
  </si>
  <si>
    <t>SAF FP Equity</t>
  </si>
  <si>
    <t>Safran SA</t>
  </si>
  <si>
    <t>AIR FP Equity</t>
  </si>
  <si>
    <t>Airbus SE</t>
  </si>
  <si>
    <t>RHM GY Equity</t>
  </si>
  <si>
    <t>Rheinmetall AG</t>
  </si>
  <si>
    <t>DG FP Equity</t>
  </si>
  <si>
    <t>Vinci SA</t>
  </si>
  <si>
    <t>SGO FP Equity</t>
  </si>
  <si>
    <t>Cie de Saint-Gobain SA</t>
  </si>
  <si>
    <t>ENR GY Equity</t>
  </si>
  <si>
    <t>Siemens Energy AG</t>
  </si>
  <si>
    <t>Item</t>
  </si>
  <si>
    <t>Definition</t>
  </si>
  <si>
    <t>Source</t>
  </si>
  <si>
    <t>C:\Users\infomax\Documents\python\BQL\Rawfile\BQuant_Master.xlsx</t>
  </si>
  <si>
    <t>Universe</t>
  </si>
  <si>
    <t>Current SPX, SHSZ300 and SX5E constituents</t>
  </si>
  <si>
    <t>Actual session</t>
  </si>
  <si>
    <t>A row is a trading session when more than 10% of valid constituent prices change</t>
  </si>
  <si>
    <t>Repeated prices</t>
  </si>
  <si>
    <t>Market-wide repeated/holiday rows are removed by the actual-session rule; individual unchanged closes remain valid and are counted in QA_Audit</t>
  </si>
  <si>
    <t>Missing values</t>
  </si>
  <si>
    <t>Ranking uses the intersection with positive finite prices at 10D start, previous session and end; missing intersections are excluded</t>
  </si>
  <si>
    <t>Corporate actions</t>
  </si>
  <si>
    <t>Price jumps &gt;=40% in 1D or &gt;=75% in 10D are excluded when market-cap change is small, indicating an adjusted/unadjusted series break; see QA_Audit</t>
  </si>
  <si>
    <t>Latest valid close / previous valid close - 1</t>
  </si>
  <si>
    <t>Latest valid close / close 10 valid sessions earlier - 1</t>
  </si>
  <si>
    <t>Minimum of price / running maximum - 1 across the selected 10-session window</t>
  </si>
  <si>
    <t>Index proxy</t>
  </si>
  <si>
    <t>Start-date market-cap-weighted constituent price return; not official index total return</t>
  </si>
  <si>
    <t>Return type</t>
  </si>
  <si>
    <t>Local-currency simple price return; dividends excluded</t>
  </si>
</sst>
</file>

<file path=xl/styles.xml><?xml version="1.0" encoding="utf-8"?>
<styleSheet xmlns="http://schemas.openxmlformats.org/spreadsheetml/2006/main">
  <numFmts count="1">
    <numFmt numFmtId="164" formatCode="0.0%;\(0.0%\);\-"/>
  </numFmts>
  <fonts count="6">
    <font>
      <sz val="11"/>
      <color theme="1"/>
      <name val="Calibri"/>
      <family val="2"/>
      <scheme val="minor"/>
    </font>
    <font>
      <b/>
      <sz val="18"/>
      <color rgb="FF102A43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11"/>
      <color rgb="FFFFFFFF"/>
      <name val="Arial"/>
      <family val="2"/>
    </font>
    <font>
      <sz val="9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0" fontId="4" fillId="3" borderId="0" xfId="0" applyFont="1" applyFill="1"/>
    <xf numFmtId="0" fontId="5" fillId="0" borderId="0" xfId="0" applyFont="1" applyAlignment="1">
      <alignment wrapText="1"/>
    </xf>
    <xf numFmtId="4" fontId="3" fillId="0" borderId="1" xfId="0" applyNumberFormat="1" applyFont="1" applyBorder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2.7109375" customWidth="1"/>
    <col min="2" max="6" width="17.7109375" customWidth="1"/>
    <col min="7" max="7" width="45.7109375" customWidth="1"/>
  </cols>
  <sheetData>
    <row r="1" spans="1:7" ht="23.25">
      <c r="A1" s="1" t="s">
        <v>0</v>
      </c>
    </row>
    <row r="4" spans="1:7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>
      <c r="A5" s="3" t="s">
        <v>8</v>
      </c>
      <c r="B5" s="3" t="s">
        <v>9</v>
      </c>
      <c r="C5" s="3" t="s">
        <v>10</v>
      </c>
      <c r="D5" s="3" t="s">
        <v>11</v>
      </c>
      <c r="E5" s="4">
        <v>503</v>
      </c>
      <c r="F5" s="5">
        <v>5.0553583579528638E-3</v>
      </c>
      <c r="G5" s="5">
        <v>-6.638327422316204E-3</v>
      </c>
    </row>
    <row r="6" spans="1:7">
      <c r="A6" s="3" t="s">
        <v>12</v>
      </c>
      <c r="B6" s="3" t="s">
        <v>13</v>
      </c>
      <c r="C6" s="3" t="s">
        <v>14</v>
      </c>
      <c r="D6" s="3" t="s">
        <v>10</v>
      </c>
      <c r="E6" s="4">
        <v>300</v>
      </c>
      <c r="F6" s="5">
        <v>2.9388054955929819E-4</v>
      </c>
      <c r="G6" s="5">
        <v>2.537752177651037E-3</v>
      </c>
    </row>
    <row r="7" spans="1:7">
      <c r="A7" s="3" t="s">
        <v>15</v>
      </c>
      <c r="B7" s="3" t="s">
        <v>9</v>
      </c>
      <c r="C7" s="3" t="s">
        <v>10</v>
      </c>
      <c r="D7" s="3" t="s">
        <v>11</v>
      </c>
      <c r="E7" s="4">
        <v>50</v>
      </c>
      <c r="F7" s="5">
        <v>-1.9641842125384208E-3</v>
      </c>
      <c r="G7" s="5">
        <v>-1.5233899910283091E-2</v>
      </c>
    </row>
    <row r="9" spans="1:7" ht="96.75">
      <c r="A9" s="6" t="s">
        <v>16</v>
      </c>
      <c r="B9" s="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6.7109375" customWidth="1"/>
    <col min="2" max="5" width="18.7109375" customWidth="1"/>
    <col min="6" max="6" width="72.7109375" customWidth="1"/>
  </cols>
  <sheetData>
    <row r="1" spans="1:6">
      <c r="A1" s="2" t="s">
        <v>1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>
      <c r="A2" s="3" t="s">
        <v>8</v>
      </c>
      <c r="B2" s="3">
        <v>503</v>
      </c>
      <c r="C2" s="3">
        <v>503</v>
      </c>
      <c r="D2" s="3">
        <v>0</v>
      </c>
      <c r="E2" s="3">
        <v>1</v>
      </c>
      <c r="F2" s="3" t="s">
        <v>23</v>
      </c>
    </row>
    <row r="3" spans="1:6">
      <c r="A3" s="3" t="s">
        <v>12</v>
      </c>
      <c r="B3" s="3">
        <v>300</v>
      </c>
      <c r="C3" s="3">
        <v>300</v>
      </c>
      <c r="D3" s="3">
        <v>0</v>
      </c>
      <c r="E3" s="3">
        <v>10</v>
      </c>
      <c r="F3" s="3" t="s">
        <v>24</v>
      </c>
    </row>
    <row r="4" spans="1:6">
      <c r="A4" s="3" t="s">
        <v>15</v>
      </c>
      <c r="B4" s="3">
        <v>50</v>
      </c>
      <c r="C4" s="3">
        <v>50</v>
      </c>
      <c r="D4" s="3">
        <v>0</v>
      </c>
      <c r="E4" s="3">
        <v>1</v>
      </c>
      <c r="F4" s="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0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31.7109375" customWidth="1"/>
    <col min="3" max="4" width="25.7109375" customWidth="1"/>
    <col min="5" max="7" width="14.7109375" customWidth="1"/>
    <col min="8" max="12" width="13.7109375" customWidth="1"/>
    <col min="13" max="13" width="18.7109375" customWidth="1"/>
  </cols>
  <sheetData>
    <row r="1" spans="1:13" ht="24.7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</row>
    <row r="2" spans="1:13">
      <c r="A2" s="3" t="s">
        <v>38</v>
      </c>
      <c r="B2" s="3" t="s">
        <v>39</v>
      </c>
      <c r="C2" s="3" t="s">
        <v>40</v>
      </c>
      <c r="D2" s="3" t="s">
        <v>41</v>
      </c>
      <c r="E2" s="8">
        <v>206.09</v>
      </c>
      <c r="F2" s="8">
        <v>258.11</v>
      </c>
      <c r="G2" s="8">
        <v>255.55499267578119</v>
      </c>
      <c r="H2" s="5">
        <f t="shared" ref="H2:H65" si="0">IFERROR(G2/F2-1,"")</f>
        <v>-9.8989086986898123E-3</v>
      </c>
      <c r="I2" s="5">
        <f t="shared" ref="I2:I65" si="1">IFERROR(G2/E2-1,"")</f>
        <v>0.24001646210772565</v>
      </c>
      <c r="J2" s="5">
        <v>-1.6971841086197759E-2</v>
      </c>
      <c r="K2" s="5">
        <v>0.1172962226640159</v>
      </c>
      <c r="L2" s="5">
        <v>1</v>
      </c>
      <c r="M2" s="3" t="s">
        <v>42</v>
      </c>
    </row>
    <row r="3" spans="1:13">
      <c r="A3" s="3" t="s">
        <v>43</v>
      </c>
      <c r="B3" s="3" t="s">
        <v>44</v>
      </c>
      <c r="C3" s="3" t="s">
        <v>45</v>
      </c>
      <c r="D3" s="3" t="s">
        <v>46</v>
      </c>
      <c r="E3" s="8">
        <v>580.63</v>
      </c>
      <c r="F3" s="8">
        <v>676.08</v>
      </c>
      <c r="G3" s="8">
        <v>685.47998046875</v>
      </c>
      <c r="H3" s="5">
        <f t="shared" si="0"/>
        <v>1.3903651148902352E-2</v>
      </c>
      <c r="I3" s="5">
        <f t="shared" si="1"/>
        <v>0.1805796814989753</v>
      </c>
      <c r="J3" s="5">
        <v>-4.0053034040453912E-2</v>
      </c>
      <c r="K3" s="5">
        <v>0.73161033797216701</v>
      </c>
      <c r="L3" s="5">
        <v>0.99801192842942343</v>
      </c>
      <c r="M3" s="3" t="s">
        <v>47</v>
      </c>
    </row>
    <row r="4" spans="1:13">
      <c r="A4" s="3" t="s">
        <v>48</v>
      </c>
      <c r="B4" s="3" t="s">
        <v>49</v>
      </c>
      <c r="C4" s="3" t="s">
        <v>50</v>
      </c>
      <c r="D4" s="3" t="s">
        <v>50</v>
      </c>
      <c r="E4" s="8">
        <v>22.23</v>
      </c>
      <c r="F4" s="8">
        <v>24.78</v>
      </c>
      <c r="G4" s="8">
        <v>25.72500038146973</v>
      </c>
      <c r="H4" s="5">
        <f t="shared" si="0"/>
        <v>3.8135608614597638E-2</v>
      </c>
      <c r="I4" s="5">
        <f t="shared" si="1"/>
        <v>0.15721999016957855</v>
      </c>
      <c r="J4" s="5">
        <v>-3.3183121671446103E-2</v>
      </c>
      <c r="K4" s="5">
        <v>0.98210735586481113</v>
      </c>
      <c r="L4" s="5">
        <v>0.99602385685884687</v>
      </c>
      <c r="M4" s="3" t="s">
        <v>47</v>
      </c>
    </row>
    <row r="5" spans="1:13">
      <c r="A5" s="3" t="s">
        <v>51</v>
      </c>
      <c r="B5" s="3" t="s">
        <v>52</v>
      </c>
      <c r="C5" s="3" t="s">
        <v>50</v>
      </c>
      <c r="D5" s="3" t="s">
        <v>50</v>
      </c>
      <c r="E5" s="8">
        <v>119.02</v>
      </c>
      <c r="F5" s="8">
        <v>135.6</v>
      </c>
      <c r="G5" s="8">
        <v>137.6600036621094</v>
      </c>
      <c r="H5" s="5">
        <f t="shared" si="0"/>
        <v>1.5191767419685975E-2</v>
      </c>
      <c r="I5" s="5">
        <f t="shared" si="1"/>
        <v>0.15661236483035967</v>
      </c>
      <c r="J5" s="5">
        <v>-3.009259259259256E-2</v>
      </c>
      <c r="K5" s="5">
        <v>0.75546719681908547</v>
      </c>
      <c r="L5" s="5">
        <v>0.99403578528827041</v>
      </c>
      <c r="M5" s="3" t="s">
        <v>47</v>
      </c>
    </row>
    <row r="6" spans="1:13">
      <c r="A6" s="3" t="s">
        <v>53</v>
      </c>
      <c r="B6" s="3" t="s">
        <v>54</v>
      </c>
      <c r="C6" s="3" t="s">
        <v>50</v>
      </c>
      <c r="D6" s="3" t="s">
        <v>50</v>
      </c>
      <c r="E6" s="8">
        <v>78.569999999999993</v>
      </c>
      <c r="F6" s="8">
        <v>87.73</v>
      </c>
      <c r="G6" s="8">
        <v>90.019996643066406</v>
      </c>
      <c r="H6" s="5">
        <f t="shared" si="0"/>
        <v>2.6102777192139603E-2</v>
      </c>
      <c r="I6" s="5">
        <f t="shared" si="1"/>
        <v>0.1457298796368387</v>
      </c>
      <c r="J6" s="5">
        <v>-7.8266104756169463E-3</v>
      </c>
      <c r="K6" s="5">
        <v>0.91451292246520877</v>
      </c>
      <c r="L6" s="5">
        <v>0.99204771371769385</v>
      </c>
      <c r="M6" s="3" t="s">
        <v>47</v>
      </c>
    </row>
    <row r="7" spans="1:13">
      <c r="A7" s="3" t="s">
        <v>55</v>
      </c>
      <c r="B7" s="3" t="s">
        <v>56</v>
      </c>
      <c r="C7" s="3" t="s">
        <v>57</v>
      </c>
      <c r="D7" s="3" t="s">
        <v>58</v>
      </c>
      <c r="E7" s="8">
        <v>34.659999999999997</v>
      </c>
      <c r="F7" s="8">
        <v>37.51</v>
      </c>
      <c r="G7" s="8">
        <v>38.705001831054688</v>
      </c>
      <c r="H7" s="5">
        <f t="shared" si="0"/>
        <v>3.1858219969466584E-2</v>
      </c>
      <c r="I7" s="5">
        <f t="shared" si="1"/>
        <v>0.11670518843204536</v>
      </c>
      <c r="J7" s="5">
        <v>-2.1041557075223701E-2</v>
      </c>
      <c r="K7" s="5">
        <v>0.96421471172962225</v>
      </c>
      <c r="L7" s="5">
        <v>0.99005964214711728</v>
      </c>
      <c r="M7" s="3" t="s">
        <v>47</v>
      </c>
    </row>
    <row r="8" spans="1:13">
      <c r="A8" s="3" t="s">
        <v>59</v>
      </c>
      <c r="B8" s="3" t="s">
        <v>60</v>
      </c>
      <c r="C8" s="3" t="s">
        <v>61</v>
      </c>
      <c r="D8" s="3" t="s">
        <v>62</v>
      </c>
      <c r="E8" s="8">
        <v>251</v>
      </c>
      <c r="F8" s="8">
        <v>279.23</v>
      </c>
      <c r="G8" s="8">
        <v>279.07000732421881</v>
      </c>
      <c r="H8" s="5">
        <f t="shared" si="0"/>
        <v>-5.7297810328837961E-4</v>
      </c>
      <c r="I8" s="5">
        <f t="shared" si="1"/>
        <v>0.1118326985028637</v>
      </c>
      <c r="J8" s="5">
        <v>-2.4262948207171339E-2</v>
      </c>
      <c r="K8" s="5">
        <v>0.35387673956262428</v>
      </c>
      <c r="L8" s="5">
        <v>0.98807157057654071</v>
      </c>
      <c r="M8" s="3" t="s">
        <v>63</v>
      </c>
    </row>
    <row r="9" spans="1:13">
      <c r="A9" s="3" t="s">
        <v>64</v>
      </c>
      <c r="B9" s="3" t="s">
        <v>65</v>
      </c>
      <c r="C9" s="3" t="s">
        <v>40</v>
      </c>
      <c r="D9" s="3" t="s">
        <v>41</v>
      </c>
      <c r="E9" s="8">
        <v>27.54</v>
      </c>
      <c r="F9" s="8">
        <v>30.02</v>
      </c>
      <c r="G9" s="8">
        <v>30.514999389648441</v>
      </c>
      <c r="H9" s="5">
        <f t="shared" si="0"/>
        <v>1.6488986996950006E-2</v>
      </c>
      <c r="I9" s="5">
        <f t="shared" si="1"/>
        <v>0.10802466919565878</v>
      </c>
      <c r="J9" s="5">
        <v>-3.2237266279819488E-2</v>
      </c>
      <c r="K9" s="5">
        <v>0.7813121272365805</v>
      </c>
      <c r="L9" s="5">
        <v>0.98608349900596426</v>
      </c>
      <c r="M9" s="3" t="s">
        <v>47</v>
      </c>
    </row>
    <row r="10" spans="1:13">
      <c r="A10" s="3" t="s">
        <v>66</v>
      </c>
      <c r="B10" s="3" t="s">
        <v>67</v>
      </c>
      <c r="C10" s="3" t="s">
        <v>40</v>
      </c>
      <c r="D10" s="3" t="s">
        <v>68</v>
      </c>
      <c r="E10" s="8">
        <v>137.19999999999999</v>
      </c>
      <c r="F10" s="8">
        <v>150.30000000000001</v>
      </c>
      <c r="G10" s="8">
        <v>151.75999450683591</v>
      </c>
      <c r="H10" s="5">
        <f t="shared" si="0"/>
        <v>9.7138689742908291E-3</v>
      </c>
      <c r="I10" s="5">
        <f t="shared" si="1"/>
        <v>0.10612240894195279</v>
      </c>
      <c r="J10" s="5">
        <v>-3.453551912568309E-2</v>
      </c>
      <c r="K10" s="5">
        <v>0.63220675944333993</v>
      </c>
      <c r="L10" s="5">
        <v>0.98409542743538769</v>
      </c>
      <c r="M10" s="3" t="s">
        <v>47</v>
      </c>
    </row>
    <row r="11" spans="1:13">
      <c r="A11" s="3" t="s">
        <v>69</v>
      </c>
      <c r="B11" s="3" t="s">
        <v>70</v>
      </c>
      <c r="C11" s="3" t="s">
        <v>71</v>
      </c>
      <c r="D11" s="3" t="s">
        <v>72</v>
      </c>
      <c r="E11" s="8">
        <v>95.77</v>
      </c>
      <c r="F11" s="8">
        <v>103.51</v>
      </c>
      <c r="G11" s="8">
        <v>105.6999969482422</v>
      </c>
      <c r="H11" s="5">
        <f t="shared" si="0"/>
        <v>2.1157346616193617E-2</v>
      </c>
      <c r="I11" s="5">
        <f t="shared" si="1"/>
        <v>0.10368588230387599</v>
      </c>
      <c r="J11" s="5">
        <v>-7.6545632973503364E-2</v>
      </c>
      <c r="K11" s="5">
        <v>0.84691848906560641</v>
      </c>
      <c r="L11" s="5">
        <v>0.98210735586481113</v>
      </c>
      <c r="M11" s="3" t="s">
        <v>47</v>
      </c>
    </row>
    <row r="12" spans="1:13">
      <c r="A12" s="3" t="s">
        <v>73</v>
      </c>
      <c r="B12" s="3" t="s">
        <v>74</v>
      </c>
      <c r="C12" s="3" t="s">
        <v>71</v>
      </c>
      <c r="D12" s="3" t="s">
        <v>72</v>
      </c>
      <c r="E12" s="8">
        <v>160.19999999999999</v>
      </c>
      <c r="F12" s="8">
        <v>176.82</v>
      </c>
      <c r="G12" s="8">
        <v>176.5050048828125</v>
      </c>
      <c r="H12" s="5">
        <f t="shared" si="0"/>
        <v>-1.7814450694915163E-3</v>
      </c>
      <c r="I12" s="5">
        <f t="shared" si="1"/>
        <v>0.10177905669670739</v>
      </c>
      <c r="J12" s="5">
        <v>-7.4533321713441181E-2</v>
      </c>
      <c r="K12" s="5">
        <v>0.30218687872763422</v>
      </c>
      <c r="L12" s="5">
        <v>0.98011928429423456</v>
      </c>
      <c r="M12" s="3" t="s">
        <v>63</v>
      </c>
    </row>
    <row r="13" spans="1:13">
      <c r="A13" s="3" t="s">
        <v>75</v>
      </c>
      <c r="B13" s="3" t="s">
        <v>76</v>
      </c>
      <c r="C13" s="3" t="s">
        <v>61</v>
      </c>
      <c r="D13" s="3" t="s">
        <v>77</v>
      </c>
      <c r="E13" s="8">
        <v>119.45</v>
      </c>
      <c r="F13" s="8">
        <v>126.59</v>
      </c>
      <c r="G13" s="8">
        <v>130.08500671386719</v>
      </c>
      <c r="H13" s="5">
        <f t="shared" si="0"/>
        <v>2.7608868898547856E-2</v>
      </c>
      <c r="I13" s="5">
        <f t="shared" si="1"/>
        <v>8.9033124435891065E-2</v>
      </c>
      <c r="J13" s="5">
        <v>-2.405365816051197E-2</v>
      </c>
      <c r="K13" s="5">
        <v>0.93439363817097421</v>
      </c>
      <c r="L13" s="5">
        <v>0.97813121272365811</v>
      </c>
      <c r="M13" s="3" t="s">
        <v>47</v>
      </c>
    </row>
    <row r="14" spans="1:13">
      <c r="A14" s="3" t="s">
        <v>78</v>
      </c>
      <c r="B14" s="3" t="s">
        <v>79</v>
      </c>
      <c r="C14" s="3" t="s">
        <v>80</v>
      </c>
      <c r="D14" s="3" t="s">
        <v>81</v>
      </c>
      <c r="E14" s="8">
        <v>546.03</v>
      </c>
      <c r="F14" s="8">
        <v>578.54</v>
      </c>
      <c r="G14" s="8">
        <v>594.25</v>
      </c>
      <c r="H14" s="5">
        <f t="shared" si="0"/>
        <v>2.7154561482352291E-2</v>
      </c>
      <c r="I14" s="5">
        <f t="shared" si="1"/>
        <v>8.8310166108089394E-2</v>
      </c>
      <c r="J14" s="5">
        <v>-9.826649596899717E-3</v>
      </c>
      <c r="K14" s="5">
        <v>0.93041749502982107</v>
      </c>
      <c r="L14" s="5">
        <v>0.97614314115308154</v>
      </c>
      <c r="M14" s="3" t="s">
        <v>47</v>
      </c>
    </row>
    <row r="15" spans="1:13">
      <c r="A15" s="3" t="s">
        <v>82</v>
      </c>
      <c r="B15" s="3" t="s">
        <v>83</v>
      </c>
      <c r="C15" s="3" t="s">
        <v>40</v>
      </c>
      <c r="D15" s="3" t="s">
        <v>41</v>
      </c>
      <c r="E15" s="8">
        <v>127.2</v>
      </c>
      <c r="F15" s="8">
        <v>142.9</v>
      </c>
      <c r="G15" s="8">
        <v>138.22999572753909</v>
      </c>
      <c r="H15" s="5">
        <f t="shared" si="0"/>
        <v>-3.2680225839474608E-2</v>
      </c>
      <c r="I15" s="5">
        <f t="shared" si="1"/>
        <v>8.6713802889458291E-2</v>
      </c>
      <c r="J15" s="5">
        <v>-6.5950430924122672E-2</v>
      </c>
      <c r="K15" s="5">
        <v>2.186878727634195E-2</v>
      </c>
      <c r="L15" s="5">
        <v>0.97415506958250497</v>
      </c>
      <c r="M15" s="3" t="s">
        <v>42</v>
      </c>
    </row>
    <row r="16" spans="1:13">
      <c r="A16" s="3" t="s">
        <v>84</v>
      </c>
      <c r="B16" s="3" t="s">
        <v>85</v>
      </c>
      <c r="C16" s="3" t="s">
        <v>40</v>
      </c>
      <c r="D16" s="3" t="s">
        <v>41</v>
      </c>
      <c r="E16" s="8">
        <v>346.88</v>
      </c>
      <c r="F16" s="8">
        <v>376.43</v>
      </c>
      <c r="G16" s="8">
        <v>375.6099853515625</v>
      </c>
      <c r="H16" s="5">
        <f t="shared" si="0"/>
        <v>-2.1783987685293216E-3</v>
      </c>
      <c r="I16" s="5">
        <f t="shared" si="1"/>
        <v>8.28239891361926E-2</v>
      </c>
      <c r="J16" s="5">
        <v>-1.610500576182583E-2</v>
      </c>
      <c r="K16" s="5">
        <v>0.28230616302186878</v>
      </c>
      <c r="L16" s="5">
        <v>0.97216699801192841</v>
      </c>
      <c r="M16" s="3" t="s">
        <v>63</v>
      </c>
    </row>
    <row r="17" spans="1:13">
      <c r="A17" s="3" t="s">
        <v>86</v>
      </c>
      <c r="B17" s="3" t="s">
        <v>87</v>
      </c>
      <c r="C17" s="3" t="s">
        <v>61</v>
      </c>
      <c r="D17" s="3" t="s">
        <v>62</v>
      </c>
      <c r="E17" s="8">
        <v>853.71</v>
      </c>
      <c r="F17" s="8">
        <v>906.77</v>
      </c>
      <c r="G17" s="8">
        <v>924.3699951171875</v>
      </c>
      <c r="H17" s="5">
        <f t="shared" si="0"/>
        <v>1.9409547202915212E-2</v>
      </c>
      <c r="I17" s="5">
        <f t="shared" si="1"/>
        <v>8.2768147400390513E-2</v>
      </c>
      <c r="J17" s="5">
        <v>-2.1843131622269581E-2</v>
      </c>
      <c r="K17" s="5">
        <v>0.8250497017892644</v>
      </c>
      <c r="L17" s="5">
        <v>0.97017892644135184</v>
      </c>
      <c r="M17" s="3" t="s">
        <v>47</v>
      </c>
    </row>
    <row r="18" spans="1:13">
      <c r="A18" s="3" t="s">
        <v>88</v>
      </c>
      <c r="B18" s="3" t="s">
        <v>89</v>
      </c>
      <c r="C18" s="3" t="s">
        <v>90</v>
      </c>
      <c r="D18" s="3" t="s">
        <v>90</v>
      </c>
      <c r="E18" s="8">
        <v>53.55</v>
      </c>
      <c r="F18" s="8">
        <v>57.15</v>
      </c>
      <c r="G18" s="8">
        <v>57.860000610351562</v>
      </c>
      <c r="H18" s="5">
        <f t="shared" si="0"/>
        <v>1.2423457748933719E-2</v>
      </c>
      <c r="I18" s="5">
        <f t="shared" si="1"/>
        <v>8.0485538942139501E-2</v>
      </c>
      <c r="J18" s="5">
        <v>-4.9084858569051648E-2</v>
      </c>
      <c r="K18" s="5">
        <v>0.70576540755467199</v>
      </c>
      <c r="L18" s="5">
        <v>0.96819085487077539</v>
      </c>
      <c r="M18" s="3" t="s">
        <v>47</v>
      </c>
    </row>
    <row r="19" spans="1:13">
      <c r="A19" s="3" t="s">
        <v>91</v>
      </c>
      <c r="B19" s="3" t="s">
        <v>92</v>
      </c>
      <c r="C19" s="3" t="s">
        <v>50</v>
      </c>
      <c r="D19" s="3" t="s">
        <v>50</v>
      </c>
      <c r="E19" s="8">
        <v>69.09</v>
      </c>
      <c r="F19" s="8">
        <v>72.47</v>
      </c>
      <c r="G19" s="8">
        <v>74.449996948242188</v>
      </c>
      <c r="H19" s="5">
        <f t="shared" si="0"/>
        <v>2.7321608227434568E-2</v>
      </c>
      <c r="I19" s="5">
        <f t="shared" si="1"/>
        <v>7.7579923986715649E-2</v>
      </c>
      <c r="J19" s="5">
        <v>-9.3104742835690146E-2</v>
      </c>
      <c r="K19" s="5">
        <v>0.93240556660039764</v>
      </c>
      <c r="L19" s="5">
        <v>0.96620278330019882</v>
      </c>
      <c r="M19" s="3" t="s">
        <v>47</v>
      </c>
    </row>
    <row r="20" spans="1:13">
      <c r="A20" s="3" t="s">
        <v>93</v>
      </c>
      <c r="B20" s="3" t="s">
        <v>94</v>
      </c>
      <c r="C20" s="3" t="s">
        <v>95</v>
      </c>
      <c r="D20" s="3" t="s">
        <v>96</v>
      </c>
      <c r="E20" s="8">
        <v>122.31</v>
      </c>
      <c r="F20" s="8">
        <v>131.09</v>
      </c>
      <c r="G20" s="8">
        <v>131.72999572753909</v>
      </c>
      <c r="H20" s="5">
        <f t="shared" si="0"/>
        <v>4.8821094480058225E-3</v>
      </c>
      <c r="I20" s="5">
        <f t="shared" si="1"/>
        <v>7.7017379834347865E-2</v>
      </c>
      <c r="J20" s="5">
        <v>-2.3830328064183059E-2</v>
      </c>
      <c r="K20" s="5">
        <v>0.51689860834990065</v>
      </c>
      <c r="L20" s="5">
        <v>0.96421471172962225</v>
      </c>
      <c r="M20" s="3" t="s">
        <v>63</v>
      </c>
    </row>
    <row r="21" spans="1:13">
      <c r="A21" s="3" t="s">
        <v>97</v>
      </c>
      <c r="B21" s="3" t="s">
        <v>98</v>
      </c>
      <c r="C21" s="3" t="s">
        <v>95</v>
      </c>
      <c r="D21" s="3" t="s">
        <v>99</v>
      </c>
      <c r="E21" s="8">
        <v>114</v>
      </c>
      <c r="F21" s="8">
        <v>121.04</v>
      </c>
      <c r="G21" s="8">
        <v>122.44000244140619</v>
      </c>
      <c r="H21" s="5">
        <f t="shared" si="0"/>
        <v>1.156644449278077E-2</v>
      </c>
      <c r="I21" s="5">
        <f t="shared" si="1"/>
        <v>7.4035109135142108E-2</v>
      </c>
      <c r="J21" s="5">
        <v>-5.4988418975722708E-2</v>
      </c>
      <c r="K21" s="5">
        <v>0.68787276341948311</v>
      </c>
      <c r="L21" s="5">
        <v>0.96222664015904569</v>
      </c>
      <c r="M21" s="3" t="s">
        <v>47</v>
      </c>
    </row>
    <row r="22" spans="1:13">
      <c r="A22" s="3" t="s">
        <v>100</v>
      </c>
      <c r="B22" s="3" t="s">
        <v>101</v>
      </c>
      <c r="C22" s="3" t="s">
        <v>95</v>
      </c>
      <c r="D22" s="3" t="s">
        <v>99</v>
      </c>
      <c r="E22" s="8">
        <v>122.84</v>
      </c>
      <c r="F22" s="8">
        <v>131.41999999999999</v>
      </c>
      <c r="G22" s="8">
        <v>131.72999572753909</v>
      </c>
      <c r="H22" s="5">
        <f t="shared" si="0"/>
        <v>2.3588169802093439E-3</v>
      </c>
      <c r="I22" s="5">
        <f t="shared" si="1"/>
        <v>7.2370528553721059E-2</v>
      </c>
      <c r="J22" s="5">
        <v>-8.9164273840108832E-3</v>
      </c>
      <c r="K22" s="5">
        <v>0.44135188866799202</v>
      </c>
      <c r="L22" s="5">
        <v>0.96023856858846923</v>
      </c>
      <c r="M22" s="3" t="s">
        <v>63</v>
      </c>
    </row>
    <row r="23" spans="1:13">
      <c r="A23" s="3" t="s">
        <v>102</v>
      </c>
      <c r="B23" s="3" t="s">
        <v>103</v>
      </c>
      <c r="C23" s="3" t="s">
        <v>90</v>
      </c>
      <c r="D23" s="3" t="s">
        <v>90</v>
      </c>
      <c r="E23" s="8">
        <v>360.75</v>
      </c>
      <c r="F23" s="8">
        <v>383</v>
      </c>
      <c r="G23" s="8">
        <v>385.739990234375</v>
      </c>
      <c r="H23" s="5">
        <f t="shared" si="0"/>
        <v>7.1540214996737017E-3</v>
      </c>
      <c r="I23" s="5">
        <f t="shared" si="1"/>
        <v>6.927232220200974E-2</v>
      </c>
      <c r="J23" s="5">
        <v>-2.1074699326933621E-2</v>
      </c>
      <c r="K23" s="5">
        <v>0.56461232604373757</v>
      </c>
      <c r="L23" s="5">
        <v>0.95825049701789267</v>
      </c>
      <c r="M23" s="3" t="s">
        <v>63</v>
      </c>
    </row>
    <row r="24" spans="1:13">
      <c r="A24" s="3" t="s">
        <v>104</v>
      </c>
      <c r="B24" s="3" t="s">
        <v>105</v>
      </c>
      <c r="C24" s="3" t="s">
        <v>90</v>
      </c>
      <c r="D24" s="3" t="s">
        <v>90</v>
      </c>
      <c r="E24" s="8">
        <v>35.020000000000003</v>
      </c>
      <c r="F24" s="8">
        <v>36.799999999999997</v>
      </c>
      <c r="G24" s="8">
        <v>37.229999542236328</v>
      </c>
      <c r="H24" s="5">
        <f t="shared" si="0"/>
        <v>1.1684770169465564E-2</v>
      </c>
      <c r="I24" s="5">
        <f t="shared" si="1"/>
        <v>6.3106783045012049E-2</v>
      </c>
      <c r="J24" s="5">
        <v>-5.2956010086859129E-2</v>
      </c>
      <c r="K24" s="5">
        <v>0.69184890656063613</v>
      </c>
      <c r="L24" s="5">
        <v>0.9562624254473161</v>
      </c>
      <c r="M24" s="3" t="s">
        <v>47</v>
      </c>
    </row>
    <row r="25" spans="1:13">
      <c r="A25" s="3" t="s">
        <v>106</v>
      </c>
      <c r="B25" s="3" t="s">
        <v>107</v>
      </c>
      <c r="C25" s="3" t="s">
        <v>71</v>
      </c>
      <c r="D25" s="3" t="s">
        <v>72</v>
      </c>
      <c r="E25" s="8">
        <v>280.75</v>
      </c>
      <c r="F25" s="8">
        <v>307.62</v>
      </c>
      <c r="G25" s="8">
        <v>298.3900146484375</v>
      </c>
      <c r="H25" s="5">
        <f t="shared" si="0"/>
        <v>-3.000450345088912E-2</v>
      </c>
      <c r="I25" s="5">
        <f t="shared" si="1"/>
        <v>6.2831752977515531E-2</v>
      </c>
      <c r="J25" s="5">
        <v>-4.9561985512223239E-2</v>
      </c>
      <c r="K25" s="5">
        <v>2.3856858846918488E-2</v>
      </c>
      <c r="L25" s="5">
        <v>0.95427435387673953</v>
      </c>
      <c r="M25" s="3" t="s">
        <v>42</v>
      </c>
    </row>
    <row r="26" spans="1:13">
      <c r="A26" s="3" t="s">
        <v>108</v>
      </c>
      <c r="B26" s="3" t="s">
        <v>109</v>
      </c>
      <c r="C26" s="3" t="s">
        <v>61</v>
      </c>
      <c r="D26" s="3" t="s">
        <v>62</v>
      </c>
      <c r="E26" s="8">
        <v>317.10000000000002</v>
      </c>
      <c r="F26" s="8">
        <v>330.97</v>
      </c>
      <c r="G26" s="8">
        <v>336.39999389648438</v>
      </c>
      <c r="H26" s="5">
        <f t="shared" si="0"/>
        <v>1.6406302373279669E-2</v>
      </c>
      <c r="I26" s="5">
        <f t="shared" si="1"/>
        <v>6.0864061483709708E-2</v>
      </c>
      <c r="J26" s="5">
        <v>-2.0819362311772172E-2</v>
      </c>
      <c r="K26" s="5">
        <v>0.77932405566600393</v>
      </c>
      <c r="L26" s="5">
        <v>0.95228628230616297</v>
      </c>
      <c r="M26" s="3" t="s">
        <v>47</v>
      </c>
    </row>
    <row r="27" spans="1:13">
      <c r="A27" s="3" t="s">
        <v>110</v>
      </c>
      <c r="B27" s="3" t="s">
        <v>111</v>
      </c>
      <c r="C27" s="3" t="s">
        <v>57</v>
      </c>
      <c r="D27" s="3" t="s">
        <v>112</v>
      </c>
      <c r="E27" s="8">
        <v>70.44</v>
      </c>
      <c r="F27" s="8">
        <v>72.180000000000007</v>
      </c>
      <c r="G27" s="8">
        <v>74.639999389648437</v>
      </c>
      <c r="H27" s="5">
        <f t="shared" si="0"/>
        <v>3.4081454553178681E-2</v>
      </c>
      <c r="I27" s="5">
        <f t="shared" si="1"/>
        <v>5.9625204282345745E-2</v>
      </c>
      <c r="J27" s="5">
        <v>-4.7380229642338567E-2</v>
      </c>
      <c r="K27" s="5">
        <v>0.97017892644135184</v>
      </c>
      <c r="L27" s="5">
        <v>0.95029821073558651</v>
      </c>
      <c r="M27" s="3" t="s">
        <v>47</v>
      </c>
    </row>
    <row r="28" spans="1:13">
      <c r="A28" s="3" t="s">
        <v>113</v>
      </c>
      <c r="B28" s="3" t="s">
        <v>114</v>
      </c>
      <c r="C28" s="3" t="s">
        <v>71</v>
      </c>
      <c r="D28" s="3" t="s">
        <v>72</v>
      </c>
      <c r="E28" s="8">
        <v>266.94</v>
      </c>
      <c r="F28" s="8">
        <v>286.45</v>
      </c>
      <c r="G28" s="8">
        <v>282.55999755859381</v>
      </c>
      <c r="H28" s="5">
        <f t="shared" si="0"/>
        <v>-1.3580039942070798E-2</v>
      </c>
      <c r="I28" s="5">
        <f t="shared" si="1"/>
        <v>5.8515012956446455E-2</v>
      </c>
      <c r="J28" s="5">
        <v>-1.35800399420708E-2</v>
      </c>
      <c r="K28" s="5">
        <v>7.1570576540755465E-2</v>
      </c>
      <c r="L28" s="5">
        <v>0.94831013916500995</v>
      </c>
      <c r="M28" s="3" t="s">
        <v>42</v>
      </c>
    </row>
    <row r="29" spans="1:13">
      <c r="A29" s="3" t="s">
        <v>115</v>
      </c>
      <c r="B29" s="3" t="s">
        <v>116</v>
      </c>
      <c r="C29" s="3" t="s">
        <v>57</v>
      </c>
      <c r="D29" s="3" t="s">
        <v>112</v>
      </c>
      <c r="E29" s="8">
        <v>527.85</v>
      </c>
      <c r="F29" s="8">
        <v>545.66</v>
      </c>
      <c r="G29" s="8">
        <v>557.41998291015625</v>
      </c>
      <c r="H29" s="5">
        <f t="shared" si="0"/>
        <v>2.1551850804816697E-2</v>
      </c>
      <c r="I29" s="5">
        <f t="shared" si="1"/>
        <v>5.6019670190690984E-2</v>
      </c>
      <c r="J29" s="5">
        <v>-4.7294685100977667E-2</v>
      </c>
      <c r="K29" s="5">
        <v>0.85884691848906558</v>
      </c>
      <c r="L29" s="5">
        <v>0.94632206759443338</v>
      </c>
      <c r="M29" s="3" t="s">
        <v>47</v>
      </c>
    </row>
    <row r="30" spans="1:13">
      <c r="A30" s="3" t="s">
        <v>117</v>
      </c>
      <c r="B30" s="3" t="s">
        <v>118</v>
      </c>
      <c r="C30" s="3" t="s">
        <v>61</v>
      </c>
      <c r="D30" s="3" t="s">
        <v>62</v>
      </c>
      <c r="E30" s="8">
        <v>378.02</v>
      </c>
      <c r="F30" s="8">
        <v>394.88</v>
      </c>
      <c r="G30" s="8">
        <v>399.10000610351562</v>
      </c>
      <c r="H30" s="5">
        <f t="shared" si="0"/>
        <v>1.0686806380459046E-2</v>
      </c>
      <c r="I30" s="5">
        <f t="shared" si="1"/>
        <v>5.5764261424040118E-2</v>
      </c>
      <c r="J30" s="5">
        <v>-2.3941115044698539E-2</v>
      </c>
      <c r="K30" s="5">
        <v>0.65805168986083495</v>
      </c>
      <c r="L30" s="5">
        <v>0.94433399602385681</v>
      </c>
      <c r="M30" s="3" t="s">
        <v>47</v>
      </c>
    </row>
    <row r="31" spans="1:13">
      <c r="A31" s="3" t="s">
        <v>119</v>
      </c>
      <c r="B31" s="3" t="s">
        <v>120</v>
      </c>
      <c r="C31" s="3" t="s">
        <v>50</v>
      </c>
      <c r="D31" s="3" t="s">
        <v>50</v>
      </c>
      <c r="E31" s="8">
        <v>231.01</v>
      </c>
      <c r="F31" s="8">
        <v>234.09</v>
      </c>
      <c r="G31" s="8">
        <v>243.6000061035156</v>
      </c>
      <c r="H31" s="5">
        <f t="shared" si="0"/>
        <v>4.0625426560363831E-2</v>
      </c>
      <c r="I31" s="5">
        <f t="shared" si="1"/>
        <v>5.449983162423977E-2</v>
      </c>
      <c r="J31" s="5">
        <v>-5.1989091381325458E-2</v>
      </c>
      <c r="K31" s="5">
        <v>0.98608349900596426</v>
      </c>
      <c r="L31" s="5">
        <v>0.94234592445328036</v>
      </c>
      <c r="M31" s="3" t="s">
        <v>47</v>
      </c>
    </row>
    <row r="32" spans="1:13">
      <c r="A32" s="3" t="s">
        <v>121</v>
      </c>
      <c r="B32" s="3" t="s">
        <v>122</v>
      </c>
      <c r="C32" s="3" t="s">
        <v>95</v>
      </c>
      <c r="D32" s="3" t="s">
        <v>99</v>
      </c>
      <c r="E32" s="8">
        <v>80.760000000000005</v>
      </c>
      <c r="F32" s="8">
        <v>84.55</v>
      </c>
      <c r="G32" s="8">
        <v>85.139999389648438</v>
      </c>
      <c r="H32" s="5">
        <f t="shared" si="0"/>
        <v>6.978112237119305E-3</v>
      </c>
      <c r="I32" s="5">
        <f t="shared" si="1"/>
        <v>5.4234762130366931E-2</v>
      </c>
      <c r="J32" s="5">
        <v>-4.3329253365973153E-2</v>
      </c>
      <c r="K32" s="5">
        <v>0.55666003976143141</v>
      </c>
      <c r="L32" s="5">
        <v>0.94035785288270379</v>
      </c>
      <c r="M32" s="3" t="s">
        <v>63</v>
      </c>
    </row>
    <row r="33" spans="1:13">
      <c r="A33" s="3" t="s">
        <v>123</v>
      </c>
      <c r="B33" s="3" t="s">
        <v>124</v>
      </c>
      <c r="C33" s="3" t="s">
        <v>90</v>
      </c>
      <c r="D33" s="3" t="s">
        <v>90</v>
      </c>
      <c r="E33" s="8">
        <v>346.26</v>
      </c>
      <c r="F33" s="8">
        <v>361.99</v>
      </c>
      <c r="G33" s="8">
        <v>364.739990234375</v>
      </c>
      <c r="H33" s="5">
        <f t="shared" si="0"/>
        <v>7.5968679642393067E-3</v>
      </c>
      <c r="I33" s="5">
        <f t="shared" si="1"/>
        <v>5.3370271571579142E-2</v>
      </c>
      <c r="J33" s="5">
        <v>-2.4221750845611401E-2</v>
      </c>
      <c r="K33" s="5">
        <v>0.57256461232604372</v>
      </c>
      <c r="L33" s="5">
        <v>0.93836978131212723</v>
      </c>
      <c r="M33" s="3" t="s">
        <v>63</v>
      </c>
    </row>
    <row r="34" spans="1:13">
      <c r="A34" s="3" t="s">
        <v>125</v>
      </c>
      <c r="B34" s="3" t="s">
        <v>126</v>
      </c>
      <c r="C34" s="3" t="s">
        <v>80</v>
      </c>
      <c r="D34" s="3" t="s">
        <v>81</v>
      </c>
      <c r="E34" s="8">
        <v>13.54</v>
      </c>
      <c r="F34" s="8">
        <v>13.78</v>
      </c>
      <c r="G34" s="8">
        <v>14.25500011444092</v>
      </c>
      <c r="H34" s="5">
        <f t="shared" si="0"/>
        <v>3.4470255039253939E-2</v>
      </c>
      <c r="I34" s="5">
        <f t="shared" si="1"/>
        <v>5.2806507713509587E-2</v>
      </c>
      <c r="J34" s="5">
        <v>-3.7666174298375148E-2</v>
      </c>
      <c r="K34" s="5">
        <v>0.97216699801192841</v>
      </c>
      <c r="L34" s="5">
        <v>0.93638170974155066</v>
      </c>
      <c r="M34" s="3" t="s">
        <v>47</v>
      </c>
    </row>
    <row r="35" spans="1:13">
      <c r="A35" s="3" t="s">
        <v>127</v>
      </c>
      <c r="B35" s="3" t="s">
        <v>128</v>
      </c>
      <c r="C35" s="3" t="s">
        <v>95</v>
      </c>
      <c r="D35" s="3" t="s">
        <v>99</v>
      </c>
      <c r="E35" s="8">
        <v>31.06</v>
      </c>
      <c r="F35" s="8">
        <v>31.89</v>
      </c>
      <c r="G35" s="8">
        <v>32.685001373291023</v>
      </c>
      <c r="H35" s="5">
        <f t="shared" si="0"/>
        <v>2.4929488030449143E-2</v>
      </c>
      <c r="I35" s="5">
        <f t="shared" si="1"/>
        <v>5.2318138225725175E-2</v>
      </c>
      <c r="J35" s="5">
        <v>-2.0609043371270341E-2</v>
      </c>
      <c r="K35" s="5">
        <v>0.90258449304174948</v>
      </c>
      <c r="L35" s="5">
        <v>0.93439363817097421</v>
      </c>
      <c r="M35" s="3" t="s">
        <v>47</v>
      </c>
    </row>
    <row r="36" spans="1:13">
      <c r="A36" s="3" t="s">
        <v>129</v>
      </c>
      <c r="B36" s="3" t="s">
        <v>130</v>
      </c>
      <c r="C36" s="3" t="s">
        <v>90</v>
      </c>
      <c r="D36" s="3" t="s">
        <v>90</v>
      </c>
      <c r="E36" s="8">
        <v>242.29</v>
      </c>
      <c r="F36" s="8">
        <v>252.02</v>
      </c>
      <c r="G36" s="8">
        <v>254.8800048828125</v>
      </c>
      <c r="H36" s="5">
        <f t="shared" si="0"/>
        <v>1.1348325064727049E-2</v>
      </c>
      <c r="I36" s="5">
        <f t="shared" si="1"/>
        <v>5.196254440056336E-2</v>
      </c>
      <c r="J36" s="5">
        <v>-2.4581051591386349E-2</v>
      </c>
      <c r="K36" s="5">
        <v>0.67992047713717696</v>
      </c>
      <c r="L36" s="5">
        <v>0.93240556660039764</v>
      </c>
      <c r="M36" s="3" t="s">
        <v>47</v>
      </c>
    </row>
    <row r="37" spans="1:13">
      <c r="A37" s="3" t="s">
        <v>131</v>
      </c>
      <c r="B37" s="3" t="s">
        <v>132</v>
      </c>
      <c r="C37" s="3" t="s">
        <v>61</v>
      </c>
      <c r="D37" s="3" t="s">
        <v>77</v>
      </c>
      <c r="E37" s="8">
        <v>249.28</v>
      </c>
      <c r="F37" s="8">
        <v>258.35000000000002</v>
      </c>
      <c r="G37" s="8">
        <v>262.17001342773437</v>
      </c>
      <c r="H37" s="5">
        <f t="shared" si="0"/>
        <v>1.4786194804468078E-2</v>
      </c>
      <c r="I37" s="5">
        <f t="shared" si="1"/>
        <v>5.1708975560551984E-2</v>
      </c>
      <c r="J37" s="5">
        <v>-1.5359402393475E-2</v>
      </c>
      <c r="K37" s="5">
        <v>0.74950298210735589</v>
      </c>
      <c r="L37" s="5">
        <v>0.93041749502982107</v>
      </c>
      <c r="M37" s="3" t="s">
        <v>47</v>
      </c>
    </row>
    <row r="38" spans="1:13">
      <c r="A38" s="3" t="s">
        <v>133</v>
      </c>
      <c r="B38" s="3" t="s">
        <v>134</v>
      </c>
      <c r="C38" s="3" t="s">
        <v>40</v>
      </c>
      <c r="D38" s="3" t="s">
        <v>41</v>
      </c>
      <c r="E38" s="8">
        <v>273.02999999999997</v>
      </c>
      <c r="F38" s="8">
        <v>288.37</v>
      </c>
      <c r="G38" s="8">
        <v>287.05999755859381</v>
      </c>
      <c r="H38" s="5">
        <f t="shared" si="0"/>
        <v>-4.5427833734653644E-3</v>
      </c>
      <c r="I38" s="5">
        <f t="shared" si="1"/>
        <v>5.1386285604489768E-2</v>
      </c>
      <c r="J38" s="5">
        <v>-2.6023826693605031E-2</v>
      </c>
      <c r="K38" s="5">
        <v>0.21669980119284291</v>
      </c>
      <c r="L38" s="5">
        <v>0.92842942345924451</v>
      </c>
      <c r="M38" s="3" t="s">
        <v>63</v>
      </c>
    </row>
    <row r="39" spans="1:13">
      <c r="A39" s="3" t="s">
        <v>135</v>
      </c>
      <c r="B39" s="3" t="s">
        <v>136</v>
      </c>
      <c r="C39" s="3" t="s">
        <v>80</v>
      </c>
      <c r="D39" s="3" t="s">
        <v>137</v>
      </c>
      <c r="E39" s="8">
        <v>25.12</v>
      </c>
      <c r="F39" s="8">
        <v>26</v>
      </c>
      <c r="G39" s="8">
        <v>26.395000457763668</v>
      </c>
      <c r="H39" s="5">
        <f t="shared" si="0"/>
        <v>1.5192325298602594E-2</v>
      </c>
      <c r="I39" s="5">
        <f t="shared" si="1"/>
        <v>5.0756387649827595E-2</v>
      </c>
      <c r="J39" s="5">
        <v>-1.7008117510630139E-2</v>
      </c>
      <c r="K39" s="5">
        <v>0.75745526838966204</v>
      </c>
      <c r="L39" s="5">
        <v>0.92644135188866794</v>
      </c>
      <c r="M39" s="3" t="s">
        <v>47</v>
      </c>
    </row>
    <row r="40" spans="1:13">
      <c r="A40" s="3" t="s">
        <v>138</v>
      </c>
      <c r="B40" s="3" t="s">
        <v>139</v>
      </c>
      <c r="C40" s="3" t="s">
        <v>95</v>
      </c>
      <c r="D40" s="3" t="s">
        <v>99</v>
      </c>
      <c r="E40" s="8">
        <v>66.03</v>
      </c>
      <c r="F40" s="8">
        <v>69.569999999999993</v>
      </c>
      <c r="G40" s="8">
        <v>69.370002746582031</v>
      </c>
      <c r="H40" s="5">
        <f t="shared" si="0"/>
        <v>-2.8747628779353107E-3</v>
      </c>
      <c r="I40" s="5">
        <f t="shared" si="1"/>
        <v>5.058310989825876E-2</v>
      </c>
      <c r="J40" s="5">
        <v>-2.09780092592593E-2</v>
      </c>
      <c r="K40" s="5">
        <v>0.25844930417495032</v>
      </c>
      <c r="L40" s="5">
        <v>0.92445328031809149</v>
      </c>
      <c r="M40" s="3" t="s">
        <v>63</v>
      </c>
    </row>
    <row r="41" spans="1:13">
      <c r="A41" s="3" t="s">
        <v>140</v>
      </c>
      <c r="B41" s="3" t="s">
        <v>141</v>
      </c>
      <c r="C41" s="3" t="s">
        <v>50</v>
      </c>
      <c r="D41" s="3" t="s">
        <v>50</v>
      </c>
      <c r="E41" s="8">
        <v>248.74</v>
      </c>
      <c r="F41" s="8">
        <v>251.92</v>
      </c>
      <c r="G41" s="8">
        <v>261.16000366210937</v>
      </c>
      <c r="H41" s="5">
        <f t="shared" si="0"/>
        <v>3.6678325111580534E-2</v>
      </c>
      <c r="I41" s="5">
        <f t="shared" si="1"/>
        <v>4.9931670266581074E-2</v>
      </c>
      <c r="J41" s="5">
        <v>-3.3207365120205938E-2</v>
      </c>
      <c r="K41" s="5">
        <v>0.97813121272365811</v>
      </c>
      <c r="L41" s="5">
        <v>0.92246520874751492</v>
      </c>
      <c r="M41" s="3" t="s">
        <v>47</v>
      </c>
    </row>
    <row r="42" spans="1:13">
      <c r="A42" s="3" t="s">
        <v>142</v>
      </c>
      <c r="B42" s="3" t="s">
        <v>143</v>
      </c>
      <c r="C42" s="3" t="s">
        <v>50</v>
      </c>
      <c r="D42" s="3" t="s">
        <v>50</v>
      </c>
      <c r="E42" s="8">
        <v>83.33</v>
      </c>
      <c r="F42" s="8">
        <v>85.78</v>
      </c>
      <c r="G42" s="8">
        <v>87.480003356933594</v>
      </c>
      <c r="H42" s="5">
        <f t="shared" si="0"/>
        <v>1.9818178560662147E-2</v>
      </c>
      <c r="I42" s="5">
        <f t="shared" si="1"/>
        <v>4.980203236449765E-2</v>
      </c>
      <c r="J42" s="5">
        <v>-2.4673109721432659E-2</v>
      </c>
      <c r="K42" s="5">
        <v>0.82703777335984097</v>
      </c>
      <c r="L42" s="5">
        <v>0.92047713717693835</v>
      </c>
      <c r="M42" s="3" t="s">
        <v>47</v>
      </c>
    </row>
    <row r="43" spans="1:13">
      <c r="A43" s="3" t="s">
        <v>144</v>
      </c>
      <c r="B43" s="3" t="s">
        <v>145</v>
      </c>
      <c r="C43" s="3" t="s">
        <v>71</v>
      </c>
      <c r="D43" s="3" t="s">
        <v>146</v>
      </c>
      <c r="E43" s="8">
        <v>363.93</v>
      </c>
      <c r="F43" s="8">
        <v>378.61</v>
      </c>
      <c r="G43" s="8">
        <v>381.92001342773437</v>
      </c>
      <c r="H43" s="5">
        <f t="shared" si="0"/>
        <v>8.7425409464472192E-3</v>
      </c>
      <c r="I43" s="5">
        <f t="shared" si="1"/>
        <v>4.9432620085550383E-2</v>
      </c>
      <c r="J43" s="5">
        <v>-1.3507820317025691E-2</v>
      </c>
      <c r="K43" s="5">
        <v>0.6063618290258449</v>
      </c>
      <c r="L43" s="5">
        <v>0.91848906560636179</v>
      </c>
      <c r="M43" s="3" t="s">
        <v>63</v>
      </c>
    </row>
    <row r="44" spans="1:13">
      <c r="A44" s="3" t="s">
        <v>147</v>
      </c>
      <c r="B44" s="3" t="s">
        <v>148</v>
      </c>
      <c r="C44" s="3" t="s">
        <v>40</v>
      </c>
      <c r="D44" s="3" t="s">
        <v>68</v>
      </c>
      <c r="E44" s="8">
        <v>29.94</v>
      </c>
      <c r="F44" s="8">
        <v>31.32</v>
      </c>
      <c r="G44" s="8">
        <v>31.41500091552734</v>
      </c>
      <c r="H44" s="5">
        <f t="shared" si="0"/>
        <v>3.0332348508090856E-3</v>
      </c>
      <c r="I44" s="5">
        <f t="shared" si="1"/>
        <v>4.9265227639523568E-2</v>
      </c>
      <c r="J44" s="5">
        <v>-4.5424181696726913E-2</v>
      </c>
      <c r="K44" s="5">
        <v>0.4671968190854871</v>
      </c>
      <c r="L44" s="5">
        <v>0.91650099403578533</v>
      </c>
      <c r="M44" s="3" t="s">
        <v>63</v>
      </c>
    </row>
    <row r="45" spans="1:13">
      <c r="A45" s="3" t="s">
        <v>149</v>
      </c>
      <c r="B45" s="3" t="s">
        <v>150</v>
      </c>
      <c r="C45" s="3" t="s">
        <v>80</v>
      </c>
      <c r="D45" s="3" t="s">
        <v>81</v>
      </c>
      <c r="E45" s="8">
        <v>29.45</v>
      </c>
      <c r="F45" s="8">
        <v>30.63</v>
      </c>
      <c r="G45" s="8">
        <v>30.89999961853027</v>
      </c>
      <c r="H45" s="5">
        <f t="shared" si="0"/>
        <v>8.8148749112069158E-3</v>
      </c>
      <c r="I45" s="5">
        <f t="shared" si="1"/>
        <v>4.9235980255696754E-2</v>
      </c>
      <c r="J45" s="5">
        <v>-1.795447258736782E-2</v>
      </c>
      <c r="K45" s="5">
        <v>0.61033797216699803</v>
      </c>
      <c r="L45" s="5">
        <v>0.91451292246520877</v>
      </c>
      <c r="M45" s="3" t="s">
        <v>63</v>
      </c>
    </row>
    <row r="46" spans="1:13">
      <c r="A46" s="3" t="s">
        <v>151</v>
      </c>
      <c r="B46" s="3" t="s">
        <v>152</v>
      </c>
      <c r="C46" s="3" t="s">
        <v>61</v>
      </c>
      <c r="D46" s="3" t="s">
        <v>62</v>
      </c>
      <c r="E46" s="8">
        <v>87.81</v>
      </c>
      <c r="F46" s="8">
        <v>90.95</v>
      </c>
      <c r="G46" s="8">
        <v>92.06500244140625</v>
      </c>
      <c r="H46" s="5">
        <f t="shared" si="0"/>
        <v>1.2259510075934621E-2</v>
      </c>
      <c r="I46" s="5">
        <f t="shared" si="1"/>
        <v>4.8456923373263239E-2</v>
      </c>
      <c r="J46" s="5">
        <v>-7.4227704399082439E-3</v>
      </c>
      <c r="K46" s="5">
        <v>0.70178926441351885</v>
      </c>
      <c r="L46" s="5">
        <v>0.9125248508946322</v>
      </c>
      <c r="M46" s="3" t="s">
        <v>47</v>
      </c>
    </row>
    <row r="47" spans="1:13">
      <c r="A47" s="3" t="s">
        <v>153</v>
      </c>
      <c r="B47" s="3" t="s">
        <v>154</v>
      </c>
      <c r="C47" s="3" t="s">
        <v>61</v>
      </c>
      <c r="D47" s="3" t="s">
        <v>62</v>
      </c>
      <c r="E47" s="8">
        <v>93.65</v>
      </c>
      <c r="F47" s="8">
        <v>97.6</v>
      </c>
      <c r="G47" s="8">
        <v>98.080001831054687</v>
      </c>
      <c r="H47" s="5">
        <f t="shared" si="0"/>
        <v>4.9180515476914266E-3</v>
      </c>
      <c r="I47" s="5">
        <f t="shared" si="1"/>
        <v>4.7303810262196322E-2</v>
      </c>
      <c r="J47" s="5">
        <v>-1.4843087362171209E-2</v>
      </c>
      <c r="K47" s="5">
        <v>0.5188866799204771</v>
      </c>
      <c r="L47" s="5">
        <v>0.91053677932405563</v>
      </c>
      <c r="M47" s="3" t="s">
        <v>63</v>
      </c>
    </row>
    <row r="48" spans="1:13">
      <c r="A48" s="3" t="s">
        <v>155</v>
      </c>
      <c r="B48" s="3" t="s">
        <v>156</v>
      </c>
      <c r="C48" s="3" t="s">
        <v>57</v>
      </c>
      <c r="D48" s="3" t="s">
        <v>58</v>
      </c>
      <c r="E48" s="8">
        <v>145.93</v>
      </c>
      <c r="F48" s="8">
        <v>152.03</v>
      </c>
      <c r="G48" s="8">
        <v>152.47999572753909</v>
      </c>
      <c r="H48" s="5">
        <f t="shared" si="0"/>
        <v>2.9599140139386915E-3</v>
      </c>
      <c r="I48" s="5">
        <f t="shared" si="1"/>
        <v>4.4884504403063685E-2</v>
      </c>
      <c r="J48" s="5">
        <v>-4.1944709246901753E-2</v>
      </c>
      <c r="K48" s="5">
        <v>0.46520874751491048</v>
      </c>
      <c r="L48" s="5">
        <v>0.90854870775347918</v>
      </c>
      <c r="M48" s="3" t="s">
        <v>63</v>
      </c>
    </row>
    <row r="49" spans="1:13">
      <c r="A49" s="3" t="s">
        <v>157</v>
      </c>
      <c r="B49" s="3" t="s">
        <v>158</v>
      </c>
      <c r="C49" s="3" t="s">
        <v>61</v>
      </c>
      <c r="D49" s="3" t="s">
        <v>62</v>
      </c>
      <c r="E49" s="8">
        <v>234.85</v>
      </c>
      <c r="F49" s="8">
        <v>239.35</v>
      </c>
      <c r="G49" s="8">
        <v>245.0950012207031</v>
      </c>
      <c r="H49" s="5">
        <f t="shared" si="0"/>
        <v>2.4002511889296363E-2</v>
      </c>
      <c r="I49" s="5">
        <f t="shared" si="1"/>
        <v>4.3623594723027903E-2</v>
      </c>
      <c r="J49" s="5">
        <v>-2.720885671705342E-2</v>
      </c>
      <c r="K49" s="5">
        <v>0.89264413518886676</v>
      </c>
      <c r="L49" s="5">
        <v>0.90656063618290261</v>
      </c>
      <c r="M49" s="3" t="s">
        <v>47</v>
      </c>
    </row>
    <row r="50" spans="1:13">
      <c r="A50" s="3" t="s">
        <v>159</v>
      </c>
      <c r="B50" s="3" t="s">
        <v>160</v>
      </c>
      <c r="C50" s="3" t="s">
        <v>40</v>
      </c>
      <c r="D50" s="3" t="s">
        <v>161</v>
      </c>
      <c r="E50" s="8">
        <v>161.91</v>
      </c>
      <c r="F50" s="8">
        <v>166.61</v>
      </c>
      <c r="G50" s="8">
        <v>168.88999938964841</v>
      </c>
      <c r="H50" s="5">
        <f t="shared" si="0"/>
        <v>1.3684649118590686E-2</v>
      </c>
      <c r="I50" s="5">
        <f t="shared" si="1"/>
        <v>4.3110366188922278E-2</v>
      </c>
      <c r="J50" s="5">
        <v>-2.270061004223356E-2</v>
      </c>
      <c r="K50" s="5">
        <v>0.72564612326043743</v>
      </c>
      <c r="L50" s="5">
        <v>0.90457256461232605</v>
      </c>
      <c r="M50" s="3" t="s">
        <v>47</v>
      </c>
    </row>
    <row r="51" spans="1:13">
      <c r="A51" s="3" t="s">
        <v>162</v>
      </c>
      <c r="B51" s="3" t="s">
        <v>163</v>
      </c>
      <c r="C51" s="3" t="s">
        <v>164</v>
      </c>
      <c r="D51" s="3" t="s">
        <v>165</v>
      </c>
      <c r="E51" s="8">
        <v>50.55</v>
      </c>
      <c r="F51" s="8">
        <v>51.63</v>
      </c>
      <c r="G51" s="8">
        <v>52.709999084472663</v>
      </c>
      <c r="H51" s="5">
        <f t="shared" si="0"/>
        <v>2.0918053156549599E-2</v>
      </c>
      <c r="I51" s="5">
        <f t="shared" si="1"/>
        <v>4.2729952215087463E-2</v>
      </c>
      <c r="J51" s="5">
        <v>-5.0888230940044472E-2</v>
      </c>
      <c r="K51" s="5">
        <v>0.84493041749502984</v>
      </c>
      <c r="L51" s="5">
        <v>0.90258449304174948</v>
      </c>
      <c r="M51" s="3" t="s">
        <v>47</v>
      </c>
    </row>
    <row r="52" spans="1:13">
      <c r="A52" s="3" t="s">
        <v>166</v>
      </c>
      <c r="B52" s="3" t="s">
        <v>167</v>
      </c>
      <c r="C52" s="3" t="s">
        <v>71</v>
      </c>
      <c r="D52" s="3" t="s">
        <v>168</v>
      </c>
      <c r="E52" s="8">
        <v>85.94</v>
      </c>
      <c r="F52" s="8">
        <v>87.04</v>
      </c>
      <c r="G52" s="8">
        <v>89.595001220703125</v>
      </c>
      <c r="H52" s="5">
        <f t="shared" si="0"/>
        <v>2.9354333877563477E-2</v>
      </c>
      <c r="I52" s="5">
        <f t="shared" si="1"/>
        <v>4.2529686068223604E-2</v>
      </c>
      <c r="J52" s="5">
        <v>-2.606469629974395E-2</v>
      </c>
      <c r="K52" s="5">
        <v>0.95427435387673953</v>
      </c>
      <c r="L52" s="5">
        <v>0.90059642147117291</v>
      </c>
      <c r="M52" s="3" t="s">
        <v>47</v>
      </c>
    </row>
    <row r="53" spans="1:13">
      <c r="A53" s="3" t="s">
        <v>169</v>
      </c>
      <c r="B53" s="3" t="s">
        <v>170</v>
      </c>
      <c r="C53" s="3" t="s">
        <v>80</v>
      </c>
      <c r="D53" s="3" t="s">
        <v>81</v>
      </c>
      <c r="E53" s="8">
        <v>10.6</v>
      </c>
      <c r="F53" s="8">
        <v>10.55</v>
      </c>
      <c r="G53" s="8">
        <v>11.05000019073486</v>
      </c>
      <c r="H53" s="5">
        <f t="shared" si="0"/>
        <v>4.7393383008043521E-2</v>
      </c>
      <c r="I53" s="5">
        <f t="shared" si="1"/>
        <v>4.245284818253392E-2</v>
      </c>
      <c r="J53" s="5">
        <v>-3.2997250229147568E-2</v>
      </c>
      <c r="K53" s="5">
        <v>0.99403578528827041</v>
      </c>
      <c r="L53" s="5">
        <v>0.89860834990059646</v>
      </c>
      <c r="M53" s="3" t="s">
        <v>47</v>
      </c>
    </row>
    <row r="54" spans="1:13">
      <c r="A54" s="3" t="s">
        <v>171</v>
      </c>
      <c r="B54" s="3" t="s">
        <v>172</v>
      </c>
      <c r="C54" s="3" t="s">
        <v>61</v>
      </c>
      <c r="D54" s="3" t="s">
        <v>77</v>
      </c>
      <c r="E54" s="8">
        <v>16.245000000000001</v>
      </c>
      <c r="F54" s="8">
        <v>16.63</v>
      </c>
      <c r="G54" s="8">
        <v>16.930000305175781</v>
      </c>
      <c r="H54" s="5">
        <f t="shared" si="0"/>
        <v>1.8039705663005501E-2</v>
      </c>
      <c r="I54" s="5">
        <f t="shared" si="1"/>
        <v>4.2166839346000629E-2</v>
      </c>
      <c r="J54" s="5">
        <v>-3.2563647128478479E-2</v>
      </c>
      <c r="K54" s="5">
        <v>0.80516898608349896</v>
      </c>
      <c r="L54" s="5">
        <v>0.89662027833001989</v>
      </c>
      <c r="M54" s="3" t="s">
        <v>47</v>
      </c>
    </row>
    <row r="55" spans="1:13">
      <c r="A55" s="3" t="s">
        <v>173</v>
      </c>
      <c r="B55" s="3" t="s">
        <v>174</v>
      </c>
      <c r="C55" s="3" t="s">
        <v>90</v>
      </c>
      <c r="D55" s="3" t="s">
        <v>90</v>
      </c>
      <c r="E55" s="8">
        <v>130.58000000000001</v>
      </c>
      <c r="F55" s="8">
        <v>136.19</v>
      </c>
      <c r="G55" s="8">
        <v>135.94999694824219</v>
      </c>
      <c r="H55" s="5">
        <f t="shared" si="0"/>
        <v>-1.7622663320200349E-3</v>
      </c>
      <c r="I55" s="5">
        <f t="shared" si="1"/>
        <v>4.1124191669797527E-2</v>
      </c>
      <c r="J55" s="5">
        <v>-3.9810215731336467E-2</v>
      </c>
      <c r="K55" s="5">
        <v>0.30417495029821068</v>
      </c>
      <c r="L55" s="5">
        <v>0.89463220675944333</v>
      </c>
      <c r="M55" s="3" t="s">
        <v>63</v>
      </c>
    </row>
    <row r="56" spans="1:13">
      <c r="A56" s="3" t="s">
        <v>175</v>
      </c>
      <c r="B56" s="3" t="s">
        <v>176</v>
      </c>
      <c r="C56" s="3" t="s">
        <v>40</v>
      </c>
      <c r="D56" s="3" t="s">
        <v>41</v>
      </c>
      <c r="E56" s="8">
        <v>96.84</v>
      </c>
      <c r="F56" s="8">
        <v>100.55</v>
      </c>
      <c r="G56" s="8">
        <v>100.76999664306641</v>
      </c>
      <c r="H56" s="5">
        <f t="shared" si="0"/>
        <v>2.1879328002627485E-3</v>
      </c>
      <c r="I56" s="5">
        <f t="shared" si="1"/>
        <v>4.0582369300561805E-2</v>
      </c>
      <c r="J56" s="5">
        <v>-4.9542379625944988E-2</v>
      </c>
      <c r="K56" s="5">
        <v>0.42942345924453279</v>
      </c>
      <c r="L56" s="5">
        <v>0.89264413518886676</v>
      </c>
      <c r="M56" s="3" t="s">
        <v>63</v>
      </c>
    </row>
    <row r="57" spans="1:13">
      <c r="A57" s="3" t="s">
        <v>177</v>
      </c>
      <c r="B57" s="3" t="s">
        <v>178</v>
      </c>
      <c r="C57" s="3" t="s">
        <v>40</v>
      </c>
      <c r="D57" s="3" t="s">
        <v>41</v>
      </c>
      <c r="E57" s="8">
        <v>60.93</v>
      </c>
      <c r="F57" s="8">
        <v>63.39</v>
      </c>
      <c r="G57" s="8">
        <v>63.349998474121087</v>
      </c>
      <c r="H57" s="5">
        <f t="shared" si="0"/>
        <v>-6.310384268640723E-4</v>
      </c>
      <c r="I57" s="5">
        <f t="shared" si="1"/>
        <v>3.9717683803070614E-2</v>
      </c>
      <c r="J57" s="5">
        <v>-1.9046167944857691E-2</v>
      </c>
      <c r="K57" s="5">
        <v>0.35188866799204771</v>
      </c>
      <c r="L57" s="5">
        <v>0.89065606361829031</v>
      </c>
      <c r="M57" s="3" t="s">
        <v>63</v>
      </c>
    </row>
    <row r="58" spans="1:13">
      <c r="A58" s="3" t="s">
        <v>179</v>
      </c>
      <c r="B58" s="3" t="s">
        <v>180</v>
      </c>
      <c r="C58" s="3" t="s">
        <v>95</v>
      </c>
      <c r="D58" s="3" t="s">
        <v>181</v>
      </c>
      <c r="E58" s="8">
        <v>98.01</v>
      </c>
      <c r="F58" s="8">
        <v>100</v>
      </c>
      <c r="G58" s="8">
        <v>101.86000061035161</v>
      </c>
      <c r="H58" s="5">
        <f t="shared" si="0"/>
        <v>1.8600006103516087E-2</v>
      </c>
      <c r="I58" s="5">
        <f t="shared" si="1"/>
        <v>3.9281712175814665E-2</v>
      </c>
      <c r="J58" s="5">
        <v>-5.8469070708972781E-2</v>
      </c>
      <c r="K58" s="5">
        <v>0.81510934393638168</v>
      </c>
      <c r="L58" s="5">
        <v>0.88866799204771374</v>
      </c>
      <c r="M58" s="3" t="s">
        <v>47</v>
      </c>
    </row>
    <row r="59" spans="1:13">
      <c r="A59" s="3" t="s">
        <v>182</v>
      </c>
      <c r="B59" s="3" t="s">
        <v>183</v>
      </c>
      <c r="C59" s="3" t="s">
        <v>40</v>
      </c>
      <c r="D59" s="3" t="s">
        <v>161</v>
      </c>
      <c r="E59" s="8">
        <v>217.56</v>
      </c>
      <c r="F59" s="8">
        <v>217.44</v>
      </c>
      <c r="G59" s="8">
        <v>225.9649963378906</v>
      </c>
      <c r="H59" s="5">
        <f t="shared" si="0"/>
        <v>3.9206200965280491E-2</v>
      </c>
      <c r="I59" s="5">
        <f t="shared" si="1"/>
        <v>3.8633003943236766E-2</v>
      </c>
      <c r="J59" s="5">
        <v>-4.6232125625054743E-2</v>
      </c>
      <c r="K59" s="5">
        <v>0.98409542743538769</v>
      </c>
      <c r="L59" s="5">
        <v>0.88667992047713717</v>
      </c>
      <c r="M59" s="3" t="s">
        <v>47</v>
      </c>
    </row>
    <row r="60" spans="1:13">
      <c r="A60" s="3" t="s">
        <v>184</v>
      </c>
      <c r="B60" s="3" t="s">
        <v>185</v>
      </c>
      <c r="C60" s="3" t="s">
        <v>71</v>
      </c>
      <c r="D60" s="3" t="s">
        <v>72</v>
      </c>
      <c r="E60" s="8">
        <v>365.54</v>
      </c>
      <c r="F60" s="8">
        <v>372.67</v>
      </c>
      <c r="G60" s="8">
        <v>379.44000244140619</v>
      </c>
      <c r="H60" s="5">
        <f t="shared" si="0"/>
        <v>1.816621257790052E-2</v>
      </c>
      <c r="I60" s="5">
        <f t="shared" si="1"/>
        <v>3.8025940913186451E-2</v>
      </c>
      <c r="J60" s="5">
        <v>-2.9858905607330621E-2</v>
      </c>
      <c r="K60" s="5">
        <v>0.80715705765407553</v>
      </c>
      <c r="L60" s="5">
        <v>0.88469184890656061</v>
      </c>
      <c r="M60" s="3" t="s">
        <v>47</v>
      </c>
    </row>
    <row r="61" spans="1:13">
      <c r="A61" s="3" t="s">
        <v>186</v>
      </c>
      <c r="B61" s="3" t="s">
        <v>187</v>
      </c>
      <c r="C61" s="3" t="s">
        <v>90</v>
      </c>
      <c r="D61" s="3" t="s">
        <v>90</v>
      </c>
      <c r="E61" s="8">
        <v>96.03</v>
      </c>
      <c r="F61" s="8">
        <v>99.98</v>
      </c>
      <c r="G61" s="8">
        <v>99.55999755859375</v>
      </c>
      <c r="H61" s="5">
        <f t="shared" si="0"/>
        <v>-4.200864586979991E-3</v>
      </c>
      <c r="I61" s="5">
        <f t="shared" si="1"/>
        <v>3.6759320614326185E-2</v>
      </c>
      <c r="J61" s="5">
        <v>-1.7336240008304801E-2</v>
      </c>
      <c r="K61" s="5">
        <v>0.22664015904572571</v>
      </c>
      <c r="L61" s="5">
        <v>0.88270377733598404</v>
      </c>
      <c r="M61" s="3" t="s">
        <v>63</v>
      </c>
    </row>
    <row r="62" spans="1:13">
      <c r="A62" s="3" t="s">
        <v>188</v>
      </c>
      <c r="B62" s="3" t="s">
        <v>189</v>
      </c>
      <c r="C62" s="3" t="s">
        <v>40</v>
      </c>
      <c r="D62" s="3" t="s">
        <v>41</v>
      </c>
      <c r="E62" s="8">
        <v>401.24</v>
      </c>
      <c r="F62" s="8">
        <v>414.82</v>
      </c>
      <c r="G62" s="8">
        <v>415.73001098632812</v>
      </c>
      <c r="H62" s="5">
        <f t="shared" si="0"/>
        <v>2.1937490630348222E-3</v>
      </c>
      <c r="I62" s="5">
        <f t="shared" si="1"/>
        <v>3.6113076927345444E-2</v>
      </c>
      <c r="J62" s="5">
        <v>-0.1077028974596141</v>
      </c>
      <c r="K62" s="5">
        <v>0.43339960238568592</v>
      </c>
      <c r="L62" s="5">
        <v>0.88071570576540759</v>
      </c>
      <c r="M62" s="3" t="s">
        <v>63</v>
      </c>
    </row>
    <row r="63" spans="1:13">
      <c r="A63" s="3" t="s">
        <v>190</v>
      </c>
      <c r="B63" s="3" t="s">
        <v>191</v>
      </c>
      <c r="C63" s="3" t="s">
        <v>40</v>
      </c>
      <c r="D63" s="3" t="s">
        <v>41</v>
      </c>
      <c r="E63" s="8">
        <v>272.47000000000003</v>
      </c>
      <c r="F63" s="8">
        <v>286.08</v>
      </c>
      <c r="G63" s="8">
        <v>282.260009765625</v>
      </c>
      <c r="H63" s="5">
        <f t="shared" si="0"/>
        <v>-1.3352874141411397E-2</v>
      </c>
      <c r="I63" s="5">
        <f t="shared" si="1"/>
        <v>3.5930597003798415E-2</v>
      </c>
      <c r="J63" s="5">
        <v>-3.5964309690819429E-2</v>
      </c>
      <c r="K63" s="5">
        <v>7.3558648111332003E-2</v>
      </c>
      <c r="L63" s="5">
        <v>0.87872763419483102</v>
      </c>
      <c r="M63" s="3" t="s">
        <v>42</v>
      </c>
    </row>
    <row r="64" spans="1:13">
      <c r="A64" s="3" t="s">
        <v>192</v>
      </c>
      <c r="B64" s="3" t="s">
        <v>193</v>
      </c>
      <c r="C64" s="3" t="s">
        <v>95</v>
      </c>
      <c r="D64" s="3" t="s">
        <v>96</v>
      </c>
      <c r="E64" s="8">
        <v>56.27</v>
      </c>
      <c r="F64" s="8">
        <v>57.94</v>
      </c>
      <c r="G64" s="8">
        <v>58.189998626708977</v>
      </c>
      <c r="H64" s="5">
        <f t="shared" si="0"/>
        <v>4.3147847205553536E-3</v>
      </c>
      <c r="I64" s="5">
        <f t="shared" si="1"/>
        <v>3.4121176945245635E-2</v>
      </c>
      <c r="J64" s="5">
        <v>-3.6391333784698721E-2</v>
      </c>
      <c r="K64" s="5">
        <v>0.50497017892644136</v>
      </c>
      <c r="L64" s="5">
        <v>0.87673956262425445</v>
      </c>
      <c r="M64" s="3" t="s">
        <v>63</v>
      </c>
    </row>
    <row r="65" spans="1:13">
      <c r="A65" s="3" t="s">
        <v>194</v>
      </c>
      <c r="B65" s="3" t="s">
        <v>195</v>
      </c>
      <c r="C65" s="3" t="s">
        <v>95</v>
      </c>
      <c r="D65" s="3" t="s">
        <v>96</v>
      </c>
      <c r="E65" s="8">
        <v>159</v>
      </c>
      <c r="F65" s="8">
        <v>163.75</v>
      </c>
      <c r="G65" s="8">
        <v>164.25999450683591</v>
      </c>
      <c r="H65" s="5">
        <f t="shared" si="0"/>
        <v>3.1144702707537331E-3</v>
      </c>
      <c r="I65" s="5">
        <f t="shared" si="1"/>
        <v>3.3081726458087379E-2</v>
      </c>
      <c r="J65" s="5">
        <v>-5.3034316322326143E-2</v>
      </c>
      <c r="K65" s="5">
        <v>0.46918489065606361</v>
      </c>
      <c r="L65" s="5">
        <v>0.87475149105367789</v>
      </c>
      <c r="M65" s="3" t="s">
        <v>63</v>
      </c>
    </row>
    <row r="66" spans="1:13">
      <c r="A66" s="3" t="s">
        <v>196</v>
      </c>
      <c r="B66" s="3" t="s">
        <v>197</v>
      </c>
      <c r="C66" s="3" t="s">
        <v>90</v>
      </c>
      <c r="D66" s="3" t="s">
        <v>90</v>
      </c>
      <c r="E66" s="8">
        <v>53.64</v>
      </c>
      <c r="F66" s="8">
        <v>55.59</v>
      </c>
      <c r="G66" s="8">
        <v>55.395000457763672</v>
      </c>
      <c r="H66" s="5">
        <f t="shared" ref="H66:H129" si="2">IFERROR(G66/F66-1,"")</f>
        <v>-3.5078169137674475E-3</v>
      </c>
      <c r="I66" s="5">
        <f t="shared" ref="I66:I129" si="3">IFERROR(G66/E66-1,"")</f>
        <v>3.2718129339367463E-2</v>
      </c>
      <c r="J66" s="5">
        <v>-1.1133418507026869E-2</v>
      </c>
      <c r="K66" s="5">
        <v>0.24652087475149109</v>
      </c>
      <c r="L66" s="5">
        <v>0.87276341948310143</v>
      </c>
      <c r="M66" s="3" t="s">
        <v>63</v>
      </c>
    </row>
    <row r="67" spans="1:13">
      <c r="A67" s="3" t="s">
        <v>198</v>
      </c>
      <c r="B67" s="3" t="s">
        <v>199</v>
      </c>
      <c r="C67" s="3" t="s">
        <v>40</v>
      </c>
      <c r="D67" s="3" t="s">
        <v>161</v>
      </c>
      <c r="E67" s="8">
        <v>68.48</v>
      </c>
      <c r="F67" s="8">
        <v>67.41</v>
      </c>
      <c r="G67" s="8">
        <v>70.69000244140625</v>
      </c>
      <c r="H67" s="5">
        <f t="shared" si="2"/>
        <v>4.865750543548808E-2</v>
      </c>
      <c r="I67" s="5">
        <f t="shared" si="3"/>
        <v>3.2272231913058391E-2</v>
      </c>
      <c r="J67" s="5">
        <v>-4.0595794392523372E-2</v>
      </c>
      <c r="K67" s="5">
        <v>0.99602385685884687</v>
      </c>
      <c r="L67" s="5">
        <v>0.87077534791252487</v>
      </c>
      <c r="M67" s="3" t="s">
        <v>47</v>
      </c>
    </row>
    <row r="68" spans="1:13">
      <c r="A68" s="3" t="s">
        <v>200</v>
      </c>
      <c r="B68" s="3" t="s">
        <v>201</v>
      </c>
      <c r="C68" s="3" t="s">
        <v>40</v>
      </c>
      <c r="D68" s="3" t="s">
        <v>68</v>
      </c>
      <c r="E68" s="8">
        <v>827.6</v>
      </c>
      <c r="F68" s="8">
        <v>868.95</v>
      </c>
      <c r="G68" s="8">
        <v>853.530029296875</v>
      </c>
      <c r="H68" s="5">
        <f t="shared" si="2"/>
        <v>-1.7745521264888708E-2</v>
      </c>
      <c r="I68" s="5">
        <f t="shared" si="3"/>
        <v>3.1331596540448148E-2</v>
      </c>
      <c r="J68" s="5">
        <v>-0.1073168894755213</v>
      </c>
      <c r="K68" s="5">
        <v>5.168986083499006E-2</v>
      </c>
      <c r="L68" s="5">
        <v>0.8687872763419483</v>
      </c>
      <c r="M68" s="3" t="s">
        <v>42</v>
      </c>
    </row>
    <row r="69" spans="1:13">
      <c r="A69" s="3" t="s">
        <v>202</v>
      </c>
      <c r="B69" s="3" t="s">
        <v>203</v>
      </c>
      <c r="C69" s="3" t="s">
        <v>71</v>
      </c>
      <c r="D69" s="3" t="s">
        <v>72</v>
      </c>
      <c r="E69" s="8">
        <v>163.06</v>
      </c>
      <c r="F69" s="8">
        <v>168.1</v>
      </c>
      <c r="G69" s="8">
        <v>168.13999938964841</v>
      </c>
      <c r="H69" s="5">
        <f t="shared" si="2"/>
        <v>2.3794996816417502E-4</v>
      </c>
      <c r="I69" s="5">
        <f t="shared" si="3"/>
        <v>3.1154172633683253E-2</v>
      </c>
      <c r="J69" s="5">
        <v>-3.2887916138693803E-2</v>
      </c>
      <c r="K69" s="5">
        <v>0.37375745526838972</v>
      </c>
      <c r="L69" s="5">
        <v>0.86679920477137173</v>
      </c>
      <c r="M69" s="3" t="s">
        <v>63</v>
      </c>
    </row>
    <row r="70" spans="1:13">
      <c r="A70" s="3" t="s">
        <v>204</v>
      </c>
      <c r="B70" s="3" t="s">
        <v>205</v>
      </c>
      <c r="C70" s="3" t="s">
        <v>71</v>
      </c>
      <c r="D70" s="3" t="s">
        <v>72</v>
      </c>
      <c r="E70" s="8">
        <v>40.659999999999997</v>
      </c>
      <c r="F70" s="8">
        <v>40.83</v>
      </c>
      <c r="G70" s="8">
        <v>41.919998168945313</v>
      </c>
      <c r="H70" s="5">
        <f t="shared" si="2"/>
        <v>2.6696011975148481E-2</v>
      </c>
      <c r="I70" s="5">
        <f t="shared" si="3"/>
        <v>3.0988641636628511E-2</v>
      </c>
      <c r="J70" s="5">
        <v>-2.246376811594197E-2</v>
      </c>
      <c r="K70" s="5">
        <v>0.92246520874751492</v>
      </c>
      <c r="L70" s="5">
        <v>0.86481113320079528</v>
      </c>
      <c r="M70" s="3" t="s">
        <v>47</v>
      </c>
    </row>
    <row r="71" spans="1:13">
      <c r="A71" s="3" t="s">
        <v>206</v>
      </c>
      <c r="B71" s="3" t="s">
        <v>207</v>
      </c>
      <c r="C71" s="3" t="s">
        <v>71</v>
      </c>
      <c r="D71" s="3" t="s">
        <v>72</v>
      </c>
      <c r="E71" s="8">
        <v>185.81</v>
      </c>
      <c r="F71" s="8">
        <v>187.79</v>
      </c>
      <c r="G71" s="8">
        <v>191.55000305175781</v>
      </c>
      <c r="H71" s="5">
        <f t="shared" si="2"/>
        <v>2.0022381659075661E-2</v>
      </c>
      <c r="I71" s="5">
        <f t="shared" si="3"/>
        <v>3.0891787588169795E-2</v>
      </c>
      <c r="J71" s="5">
        <v>-3.0110525772131021E-2</v>
      </c>
      <c r="K71" s="5">
        <v>0.82902584493041753</v>
      </c>
      <c r="L71" s="5">
        <v>0.86282306163021871</v>
      </c>
      <c r="M71" s="3" t="s">
        <v>47</v>
      </c>
    </row>
    <row r="72" spans="1:13">
      <c r="A72" s="3" t="s">
        <v>208</v>
      </c>
      <c r="B72" s="3" t="s">
        <v>209</v>
      </c>
      <c r="C72" s="3" t="s">
        <v>95</v>
      </c>
      <c r="D72" s="3" t="s">
        <v>99</v>
      </c>
      <c r="E72" s="8">
        <v>39.99</v>
      </c>
      <c r="F72" s="8">
        <v>41.09</v>
      </c>
      <c r="G72" s="8">
        <v>41.209999084472663</v>
      </c>
      <c r="H72" s="5">
        <f t="shared" si="2"/>
        <v>2.9203963123061172E-3</v>
      </c>
      <c r="I72" s="5">
        <f t="shared" si="3"/>
        <v>3.0507604012819822E-2</v>
      </c>
      <c r="J72" s="5">
        <v>-2.785923753665687E-2</v>
      </c>
      <c r="K72" s="5">
        <v>0.45725646123260438</v>
      </c>
      <c r="L72" s="5">
        <v>0.86083499005964215</v>
      </c>
      <c r="M72" s="3" t="s">
        <v>63</v>
      </c>
    </row>
    <row r="73" spans="1:13">
      <c r="A73" s="3" t="s">
        <v>210</v>
      </c>
      <c r="B73" s="3" t="s">
        <v>211</v>
      </c>
      <c r="C73" s="3" t="s">
        <v>45</v>
      </c>
      <c r="D73" s="3" t="s">
        <v>46</v>
      </c>
      <c r="E73" s="8">
        <v>309.92</v>
      </c>
      <c r="F73" s="8">
        <v>314.39999999999998</v>
      </c>
      <c r="G73" s="8">
        <v>319.20001220703119</v>
      </c>
      <c r="H73" s="5">
        <f t="shared" si="2"/>
        <v>1.5267214398954287E-2</v>
      </c>
      <c r="I73" s="5">
        <f t="shared" si="3"/>
        <v>2.9943250538949417E-2</v>
      </c>
      <c r="J73" s="5">
        <v>-6.0651329548849782E-2</v>
      </c>
      <c r="K73" s="5">
        <v>0.76341948310139163</v>
      </c>
      <c r="L73" s="5">
        <v>0.85884691848906558</v>
      </c>
      <c r="M73" s="3" t="s">
        <v>47</v>
      </c>
    </row>
    <row r="74" spans="1:13">
      <c r="A74" s="3" t="s">
        <v>212</v>
      </c>
      <c r="B74" s="3" t="s">
        <v>213</v>
      </c>
      <c r="C74" s="3" t="s">
        <v>80</v>
      </c>
      <c r="D74" s="3" t="s">
        <v>81</v>
      </c>
      <c r="E74" s="8">
        <v>80.22</v>
      </c>
      <c r="F74" s="8">
        <v>80.81</v>
      </c>
      <c r="G74" s="8">
        <v>82.540000915527344</v>
      </c>
      <c r="H74" s="5">
        <f t="shared" si="2"/>
        <v>2.1408252883644785E-2</v>
      </c>
      <c r="I74" s="5">
        <f t="shared" si="3"/>
        <v>2.892048012375148E-2</v>
      </c>
      <c r="J74" s="5">
        <v>-2.906481819287365E-2</v>
      </c>
      <c r="K74" s="5">
        <v>0.85089463220675943</v>
      </c>
      <c r="L74" s="5">
        <v>0.85685884691848901</v>
      </c>
      <c r="M74" s="3" t="s">
        <v>47</v>
      </c>
    </row>
    <row r="75" spans="1:13">
      <c r="A75" s="3" t="s">
        <v>214</v>
      </c>
      <c r="B75" s="3" t="s">
        <v>215</v>
      </c>
      <c r="C75" s="3" t="s">
        <v>90</v>
      </c>
      <c r="D75" s="3" t="s">
        <v>90</v>
      </c>
      <c r="E75" s="8">
        <v>205.76</v>
      </c>
      <c r="F75" s="8">
        <v>211.05</v>
      </c>
      <c r="G75" s="8">
        <v>211.71000671386719</v>
      </c>
      <c r="H75" s="5">
        <f t="shared" si="2"/>
        <v>3.1272528494061813E-3</v>
      </c>
      <c r="I75" s="5">
        <f t="shared" si="3"/>
        <v>2.8917217699587772E-2</v>
      </c>
      <c r="J75" s="5">
        <v>-2.9158769499927129E-2</v>
      </c>
      <c r="K75" s="5">
        <v>0.47117296222664018</v>
      </c>
      <c r="L75" s="5">
        <v>0.85487077534791256</v>
      </c>
      <c r="M75" s="3" t="s">
        <v>63</v>
      </c>
    </row>
    <row r="76" spans="1:13">
      <c r="A76" s="3" t="s">
        <v>216</v>
      </c>
      <c r="B76" s="3" t="s">
        <v>217</v>
      </c>
      <c r="C76" s="3" t="s">
        <v>57</v>
      </c>
      <c r="D76" s="3" t="s">
        <v>58</v>
      </c>
      <c r="E76" s="8">
        <v>336.52</v>
      </c>
      <c r="F76" s="8">
        <v>340.37</v>
      </c>
      <c r="G76" s="8">
        <v>346.20001220703119</v>
      </c>
      <c r="H76" s="5">
        <f t="shared" si="2"/>
        <v>1.7128454937365811E-2</v>
      </c>
      <c r="I76" s="5">
        <f t="shared" si="3"/>
        <v>2.8765042811812691E-2</v>
      </c>
      <c r="J76" s="5">
        <v>-5.1027407047526507E-2</v>
      </c>
      <c r="K76" s="5">
        <v>0.78926441351888665</v>
      </c>
      <c r="L76" s="5">
        <v>0.85288270377733599</v>
      </c>
      <c r="M76" s="3" t="s">
        <v>47</v>
      </c>
    </row>
    <row r="77" spans="1:13">
      <c r="A77" s="3" t="s">
        <v>218</v>
      </c>
      <c r="B77" s="3" t="s">
        <v>219</v>
      </c>
      <c r="C77" s="3" t="s">
        <v>57</v>
      </c>
      <c r="D77" s="3" t="s">
        <v>58</v>
      </c>
      <c r="E77" s="8">
        <v>220.22</v>
      </c>
      <c r="F77" s="8">
        <v>225.66</v>
      </c>
      <c r="G77" s="8">
        <v>226.4700012207031</v>
      </c>
      <c r="H77" s="5">
        <f t="shared" si="2"/>
        <v>3.5894762948820436E-3</v>
      </c>
      <c r="I77" s="5">
        <f t="shared" si="3"/>
        <v>2.8380715741999296E-2</v>
      </c>
      <c r="J77" s="5">
        <v>-4.7566791879458108E-2</v>
      </c>
      <c r="K77" s="5">
        <v>0.48707753479125249</v>
      </c>
      <c r="L77" s="5">
        <v>0.85089463220675943</v>
      </c>
      <c r="M77" s="3" t="s">
        <v>63</v>
      </c>
    </row>
    <row r="78" spans="1:13">
      <c r="A78" s="3" t="s">
        <v>220</v>
      </c>
      <c r="B78" s="3" t="s">
        <v>150</v>
      </c>
      <c r="C78" s="3" t="s">
        <v>80</v>
      </c>
      <c r="D78" s="3" t="s">
        <v>81</v>
      </c>
      <c r="E78" s="8">
        <v>33.53</v>
      </c>
      <c r="F78" s="8">
        <v>34.229999999999997</v>
      </c>
      <c r="G78" s="8">
        <v>34.470001220703118</v>
      </c>
      <c r="H78" s="5">
        <f t="shared" si="2"/>
        <v>7.011429176252415E-3</v>
      </c>
      <c r="I78" s="5">
        <f t="shared" si="3"/>
        <v>2.803463229057912E-2</v>
      </c>
      <c r="J78" s="5">
        <v>-3.0860702151755511E-2</v>
      </c>
      <c r="K78" s="5">
        <v>0.55864811133200798</v>
      </c>
      <c r="L78" s="5">
        <v>0.84890656063618286</v>
      </c>
      <c r="M78" s="3" t="s">
        <v>63</v>
      </c>
    </row>
    <row r="79" spans="1:13">
      <c r="A79" s="3" t="s">
        <v>221</v>
      </c>
      <c r="B79" s="3" t="s">
        <v>222</v>
      </c>
      <c r="C79" s="3" t="s">
        <v>61</v>
      </c>
      <c r="D79" s="3" t="s">
        <v>62</v>
      </c>
      <c r="E79" s="8">
        <v>388.61</v>
      </c>
      <c r="F79" s="8">
        <v>396.3</v>
      </c>
      <c r="G79" s="8">
        <v>399.32998657226562</v>
      </c>
      <c r="H79" s="5">
        <f t="shared" si="2"/>
        <v>7.6456890544174261E-3</v>
      </c>
      <c r="I79" s="5">
        <f t="shared" si="3"/>
        <v>2.7585462474629008E-2</v>
      </c>
      <c r="J79" s="5">
        <v>-2.8926959427445609E-2</v>
      </c>
      <c r="K79" s="5">
        <v>0.57654075546719685</v>
      </c>
      <c r="L79" s="5">
        <v>0.84691848906560641</v>
      </c>
      <c r="M79" s="3" t="s">
        <v>63</v>
      </c>
    </row>
    <row r="80" spans="1:13">
      <c r="A80" s="3" t="s">
        <v>223</v>
      </c>
      <c r="B80" s="3" t="s">
        <v>224</v>
      </c>
      <c r="C80" s="3" t="s">
        <v>80</v>
      </c>
      <c r="D80" s="3" t="s">
        <v>137</v>
      </c>
      <c r="E80" s="8">
        <v>49.36</v>
      </c>
      <c r="F80" s="8">
        <v>50.3</v>
      </c>
      <c r="G80" s="8">
        <v>50.689998626708977</v>
      </c>
      <c r="H80" s="5">
        <f t="shared" si="2"/>
        <v>7.753451823240054E-3</v>
      </c>
      <c r="I80" s="5">
        <f t="shared" si="3"/>
        <v>2.6944866829598402E-2</v>
      </c>
      <c r="J80" s="5">
        <v>-1.6318407960199011E-2</v>
      </c>
      <c r="K80" s="5">
        <v>0.57852882703777331</v>
      </c>
      <c r="L80" s="5">
        <v>0.84493041749502984</v>
      </c>
      <c r="M80" s="3" t="s">
        <v>63</v>
      </c>
    </row>
    <row r="81" spans="1:13">
      <c r="A81" s="3" t="s">
        <v>225</v>
      </c>
      <c r="B81" s="3" t="s">
        <v>226</v>
      </c>
      <c r="C81" s="3" t="s">
        <v>71</v>
      </c>
      <c r="D81" s="3" t="s">
        <v>146</v>
      </c>
      <c r="E81" s="8">
        <v>278.31</v>
      </c>
      <c r="F81" s="8">
        <v>280.77999999999997</v>
      </c>
      <c r="G81" s="8">
        <v>285.79000854492188</v>
      </c>
      <c r="H81" s="5">
        <f t="shared" si="2"/>
        <v>1.7843181654398022E-2</v>
      </c>
      <c r="I81" s="5">
        <f t="shared" si="3"/>
        <v>2.6876535320045525E-2</v>
      </c>
      <c r="J81" s="5">
        <v>-2.679283213753425E-2</v>
      </c>
      <c r="K81" s="5">
        <v>0.80119284294234594</v>
      </c>
      <c r="L81" s="5">
        <v>0.84294234592445327</v>
      </c>
      <c r="M81" s="3" t="s">
        <v>47</v>
      </c>
    </row>
    <row r="82" spans="1:13">
      <c r="A82" s="3" t="s">
        <v>227</v>
      </c>
      <c r="B82" s="3" t="s">
        <v>228</v>
      </c>
      <c r="C82" s="3" t="s">
        <v>71</v>
      </c>
      <c r="D82" s="3" t="s">
        <v>72</v>
      </c>
      <c r="E82" s="8">
        <v>573.72</v>
      </c>
      <c r="F82" s="8">
        <v>581.1</v>
      </c>
      <c r="G82" s="8">
        <v>589.0999755859375</v>
      </c>
      <c r="H82" s="5">
        <f t="shared" si="2"/>
        <v>1.3766951619235135E-2</v>
      </c>
      <c r="I82" s="5">
        <f t="shared" si="3"/>
        <v>2.6807459363343611E-2</v>
      </c>
      <c r="J82" s="5">
        <v>-3.1273963924915771E-2</v>
      </c>
      <c r="K82" s="5">
        <v>0.72763419483101388</v>
      </c>
      <c r="L82" s="5">
        <v>0.84095427435387671</v>
      </c>
      <c r="M82" s="3" t="s">
        <v>47</v>
      </c>
    </row>
    <row r="83" spans="1:13">
      <c r="A83" s="3" t="s">
        <v>229</v>
      </c>
      <c r="B83" s="3" t="s">
        <v>230</v>
      </c>
      <c r="C83" s="3" t="s">
        <v>40</v>
      </c>
      <c r="D83" s="3" t="s">
        <v>41</v>
      </c>
      <c r="E83" s="8">
        <v>407.32</v>
      </c>
      <c r="F83" s="8">
        <v>418.31</v>
      </c>
      <c r="G83" s="8">
        <v>418.17001342773437</v>
      </c>
      <c r="H83" s="5">
        <f t="shared" si="2"/>
        <v>-3.3464792203297122E-4</v>
      </c>
      <c r="I83" s="5">
        <f t="shared" si="3"/>
        <v>2.6637566109531496E-2</v>
      </c>
      <c r="J83" s="5">
        <v>-1.88408882502713E-2</v>
      </c>
      <c r="K83" s="5">
        <v>0.35785288270377741</v>
      </c>
      <c r="L83" s="5">
        <v>0.83896620278330025</v>
      </c>
      <c r="M83" s="3" t="s">
        <v>63</v>
      </c>
    </row>
    <row r="84" spans="1:13">
      <c r="A84" s="3" t="s">
        <v>231</v>
      </c>
      <c r="B84" s="3" t="s">
        <v>232</v>
      </c>
      <c r="C84" s="3" t="s">
        <v>40</v>
      </c>
      <c r="D84" s="3" t="s">
        <v>41</v>
      </c>
      <c r="E84" s="8">
        <v>484.31</v>
      </c>
      <c r="F84" s="8">
        <v>501.02</v>
      </c>
      <c r="G84" s="8">
        <v>497.1300048828125</v>
      </c>
      <c r="H84" s="5">
        <f t="shared" si="2"/>
        <v>-7.764151365589167E-3</v>
      </c>
      <c r="I84" s="5">
        <f t="shared" si="3"/>
        <v>2.6470659046504252E-2</v>
      </c>
      <c r="J84" s="5">
        <v>-3.1935807289131042E-2</v>
      </c>
      <c r="K84" s="5">
        <v>0.1451292246520875</v>
      </c>
      <c r="L84" s="5">
        <v>0.83697813121272369</v>
      </c>
      <c r="M84" s="3" t="s">
        <v>63</v>
      </c>
    </row>
    <row r="85" spans="1:13">
      <c r="A85" s="3" t="s">
        <v>233</v>
      </c>
      <c r="B85" s="3" t="s">
        <v>234</v>
      </c>
      <c r="C85" s="3" t="s">
        <v>71</v>
      </c>
      <c r="D85" s="3" t="s">
        <v>72</v>
      </c>
      <c r="E85" s="8">
        <v>426.66</v>
      </c>
      <c r="F85" s="8">
        <v>440.21</v>
      </c>
      <c r="G85" s="8">
        <v>437.76998901367187</v>
      </c>
      <c r="H85" s="5">
        <f t="shared" si="2"/>
        <v>-5.5428340708482127E-3</v>
      </c>
      <c r="I85" s="5">
        <f t="shared" si="3"/>
        <v>2.6039443617099867E-2</v>
      </c>
      <c r="J85" s="5">
        <v>-1.5918173812910719E-2</v>
      </c>
      <c r="K85" s="5">
        <v>0.2007952286282306</v>
      </c>
      <c r="L85" s="5">
        <v>0.83499005964214712</v>
      </c>
      <c r="M85" s="3" t="s">
        <v>63</v>
      </c>
    </row>
    <row r="86" spans="1:13">
      <c r="A86" s="3" t="s">
        <v>235</v>
      </c>
      <c r="B86" s="3" t="s">
        <v>236</v>
      </c>
      <c r="C86" s="3" t="s">
        <v>71</v>
      </c>
      <c r="D86" s="3" t="s">
        <v>146</v>
      </c>
      <c r="E86" s="8">
        <v>257.45</v>
      </c>
      <c r="F86" s="8">
        <v>262</v>
      </c>
      <c r="G86" s="8">
        <v>264.1099853515625</v>
      </c>
      <c r="H86" s="5">
        <f t="shared" si="2"/>
        <v>8.05337920443705E-3</v>
      </c>
      <c r="I86" s="5">
        <f t="shared" si="3"/>
        <v>2.5869043898087085E-2</v>
      </c>
      <c r="J86" s="5">
        <v>-4.353101216956512E-2</v>
      </c>
      <c r="K86" s="5">
        <v>0.58846918489065603</v>
      </c>
      <c r="L86" s="5">
        <v>0.83300198807157055</v>
      </c>
      <c r="M86" s="3" t="s">
        <v>63</v>
      </c>
    </row>
    <row r="87" spans="1:13">
      <c r="A87" s="3" t="s">
        <v>237</v>
      </c>
      <c r="B87" s="3" t="s">
        <v>238</v>
      </c>
      <c r="C87" s="3" t="s">
        <v>164</v>
      </c>
      <c r="D87" s="3" t="s">
        <v>165</v>
      </c>
      <c r="E87" s="8">
        <v>182.43</v>
      </c>
      <c r="F87" s="8">
        <v>188.81</v>
      </c>
      <c r="G87" s="8">
        <v>187.11000061035159</v>
      </c>
      <c r="H87" s="5">
        <f t="shared" si="2"/>
        <v>-9.0037571614237644E-3</v>
      </c>
      <c r="I87" s="5">
        <f t="shared" si="3"/>
        <v>2.565367872801394E-2</v>
      </c>
      <c r="J87" s="5">
        <v>-2.0109973237226519E-2</v>
      </c>
      <c r="K87" s="5">
        <v>0.1312127236580517</v>
      </c>
      <c r="L87" s="5">
        <v>0.83101391650099399</v>
      </c>
      <c r="M87" s="3" t="s">
        <v>63</v>
      </c>
    </row>
    <row r="88" spans="1:13">
      <c r="A88" s="3" t="s">
        <v>239</v>
      </c>
      <c r="B88" s="3" t="s">
        <v>240</v>
      </c>
      <c r="C88" s="3" t="s">
        <v>40</v>
      </c>
      <c r="D88" s="3" t="s">
        <v>68</v>
      </c>
      <c r="E88" s="8">
        <v>382.63</v>
      </c>
      <c r="F88" s="8">
        <v>395.72</v>
      </c>
      <c r="G88" s="8">
        <v>392.260009765625</v>
      </c>
      <c r="H88" s="5">
        <f t="shared" si="2"/>
        <v>-8.7435313716138774E-3</v>
      </c>
      <c r="I88" s="5">
        <f t="shared" si="3"/>
        <v>2.5167942308823132E-2</v>
      </c>
      <c r="J88" s="5">
        <v>-4.3781361792148199E-2</v>
      </c>
      <c r="K88" s="5">
        <v>0.13717693836978129</v>
      </c>
      <c r="L88" s="5">
        <v>0.82902584493041753</v>
      </c>
      <c r="M88" s="3" t="s">
        <v>63</v>
      </c>
    </row>
    <row r="89" spans="1:13">
      <c r="A89" s="3" t="s">
        <v>241</v>
      </c>
      <c r="B89" s="3" t="s">
        <v>242</v>
      </c>
      <c r="C89" s="3" t="s">
        <v>80</v>
      </c>
      <c r="D89" s="3" t="s">
        <v>137</v>
      </c>
      <c r="E89" s="8">
        <v>182.36</v>
      </c>
      <c r="F89" s="8">
        <v>182.16</v>
      </c>
      <c r="G89" s="8">
        <v>186.80000305175781</v>
      </c>
      <c r="H89" s="5">
        <f t="shared" si="2"/>
        <v>2.5472129181806302E-2</v>
      </c>
      <c r="I89" s="5">
        <f t="shared" si="3"/>
        <v>2.4347461349845334E-2</v>
      </c>
      <c r="J89" s="5">
        <v>-2.890078671328666E-2</v>
      </c>
      <c r="K89" s="5">
        <v>0.90656063618290261</v>
      </c>
      <c r="L89" s="5">
        <v>0.82703777335984097</v>
      </c>
      <c r="M89" s="3" t="s">
        <v>47</v>
      </c>
    </row>
    <row r="90" spans="1:13">
      <c r="A90" s="3" t="s">
        <v>243</v>
      </c>
      <c r="B90" s="3" t="s">
        <v>244</v>
      </c>
      <c r="C90" s="3" t="s">
        <v>50</v>
      </c>
      <c r="D90" s="3" t="s">
        <v>50</v>
      </c>
      <c r="E90" s="8">
        <v>303.22000000000003</v>
      </c>
      <c r="F90" s="8">
        <v>305.32</v>
      </c>
      <c r="G90" s="8">
        <v>310.5</v>
      </c>
      <c r="H90" s="5">
        <f t="shared" si="2"/>
        <v>1.696580636709033E-2</v>
      </c>
      <c r="I90" s="5">
        <f t="shared" si="3"/>
        <v>2.4008970384539197E-2</v>
      </c>
      <c r="J90" s="5">
        <v>-1.337814257092995E-2</v>
      </c>
      <c r="K90" s="5">
        <v>0.78727634194831009</v>
      </c>
      <c r="L90" s="5">
        <v>0.8250497017892644</v>
      </c>
      <c r="M90" s="3" t="s">
        <v>47</v>
      </c>
    </row>
    <row r="91" spans="1:13">
      <c r="A91" s="3" t="s">
        <v>245</v>
      </c>
      <c r="B91" s="3" t="s">
        <v>246</v>
      </c>
      <c r="C91" s="3" t="s">
        <v>61</v>
      </c>
      <c r="D91" s="3" t="s">
        <v>62</v>
      </c>
      <c r="E91" s="8">
        <v>277.45</v>
      </c>
      <c r="F91" s="8">
        <v>283.06</v>
      </c>
      <c r="G91" s="8">
        <v>284.05999755859381</v>
      </c>
      <c r="H91" s="5">
        <f t="shared" si="2"/>
        <v>3.5328112717931681E-3</v>
      </c>
      <c r="I91" s="5">
        <f t="shared" si="3"/>
        <v>2.3824103653248496E-2</v>
      </c>
      <c r="J91" s="5">
        <v>-1.7054153166945581E-2</v>
      </c>
      <c r="K91" s="5">
        <v>0.48508946322067592</v>
      </c>
      <c r="L91" s="5">
        <v>0.82306163021868783</v>
      </c>
      <c r="M91" s="3" t="s">
        <v>63</v>
      </c>
    </row>
    <row r="92" spans="1:13">
      <c r="A92" s="3" t="s">
        <v>247</v>
      </c>
      <c r="B92" s="3" t="s">
        <v>248</v>
      </c>
      <c r="C92" s="3" t="s">
        <v>40</v>
      </c>
      <c r="D92" s="3" t="s">
        <v>68</v>
      </c>
      <c r="E92" s="8">
        <v>316.83</v>
      </c>
      <c r="F92" s="8">
        <v>325.13</v>
      </c>
      <c r="G92" s="8">
        <v>324.239990234375</v>
      </c>
      <c r="H92" s="5">
        <f t="shared" si="2"/>
        <v>-2.7373966278873008E-3</v>
      </c>
      <c r="I92" s="5">
        <f t="shared" si="3"/>
        <v>2.3387905925496444E-2</v>
      </c>
      <c r="J92" s="5">
        <v>-2.360887542215051E-2</v>
      </c>
      <c r="K92" s="5">
        <v>0.26640159045725648</v>
      </c>
      <c r="L92" s="5">
        <v>0.82107355864811138</v>
      </c>
      <c r="M92" s="3" t="s">
        <v>63</v>
      </c>
    </row>
    <row r="93" spans="1:13">
      <c r="A93" s="3" t="s">
        <v>249</v>
      </c>
      <c r="B93" s="3" t="s">
        <v>250</v>
      </c>
      <c r="C93" s="3" t="s">
        <v>251</v>
      </c>
      <c r="D93" s="3" t="s">
        <v>251</v>
      </c>
      <c r="E93" s="8">
        <v>274.17</v>
      </c>
      <c r="F93" s="8">
        <v>280.31</v>
      </c>
      <c r="G93" s="8">
        <v>280.57000732421881</v>
      </c>
      <c r="H93" s="5">
        <f t="shared" si="2"/>
        <v>9.2757063329451661E-4</v>
      </c>
      <c r="I93" s="5">
        <f t="shared" si="3"/>
        <v>2.3343207952069012E-2</v>
      </c>
      <c r="J93" s="5">
        <v>-2.7052866399915221E-2</v>
      </c>
      <c r="K93" s="5">
        <v>0.39562624254473161</v>
      </c>
      <c r="L93" s="5">
        <v>0.81908548707753481</v>
      </c>
      <c r="M93" s="3" t="s">
        <v>63</v>
      </c>
    </row>
    <row r="94" spans="1:13">
      <c r="A94" s="3" t="s">
        <v>252</v>
      </c>
      <c r="B94" s="3" t="s">
        <v>253</v>
      </c>
      <c r="C94" s="3" t="s">
        <v>45</v>
      </c>
      <c r="D94" s="3" t="s">
        <v>254</v>
      </c>
      <c r="E94" s="8">
        <v>176.03</v>
      </c>
      <c r="F94" s="8">
        <v>180.39</v>
      </c>
      <c r="G94" s="8">
        <v>180.0899963378906</v>
      </c>
      <c r="H94" s="5">
        <f t="shared" si="2"/>
        <v>-1.6630836637806512E-3</v>
      </c>
      <c r="I94" s="5">
        <f t="shared" si="3"/>
        <v>2.3064229607967945E-2</v>
      </c>
      <c r="J94" s="5">
        <v>-2.8902688930220521E-2</v>
      </c>
      <c r="K94" s="5">
        <v>0.30815109343936381</v>
      </c>
      <c r="L94" s="5">
        <v>0.81709741550695825</v>
      </c>
      <c r="M94" s="3" t="s">
        <v>63</v>
      </c>
    </row>
    <row r="95" spans="1:13">
      <c r="A95" s="3" t="s">
        <v>255</v>
      </c>
      <c r="B95" s="3" t="s">
        <v>256</v>
      </c>
      <c r="C95" s="3" t="s">
        <v>71</v>
      </c>
      <c r="D95" s="3" t="s">
        <v>146</v>
      </c>
      <c r="E95" s="8">
        <v>217.27</v>
      </c>
      <c r="F95" s="8">
        <v>220.54</v>
      </c>
      <c r="G95" s="8">
        <v>222.27000427246091</v>
      </c>
      <c r="H95" s="5">
        <f t="shared" si="2"/>
        <v>7.8444013442500182E-3</v>
      </c>
      <c r="I95" s="5">
        <f t="shared" si="3"/>
        <v>2.301286082966314E-2</v>
      </c>
      <c r="J95" s="5">
        <v>-2.800107181136113E-2</v>
      </c>
      <c r="K95" s="5">
        <v>0.58250497017892644</v>
      </c>
      <c r="L95" s="5">
        <v>0.81510934393638168</v>
      </c>
      <c r="M95" s="3" t="s">
        <v>63</v>
      </c>
    </row>
    <row r="96" spans="1:13">
      <c r="A96" s="3" t="s">
        <v>257</v>
      </c>
      <c r="B96" s="3" t="s">
        <v>258</v>
      </c>
      <c r="C96" s="3" t="s">
        <v>57</v>
      </c>
      <c r="D96" s="3" t="s">
        <v>58</v>
      </c>
      <c r="E96" s="8">
        <v>104.98</v>
      </c>
      <c r="F96" s="8">
        <v>106.15</v>
      </c>
      <c r="G96" s="8">
        <v>107.370002746582</v>
      </c>
      <c r="H96" s="5">
        <f t="shared" si="2"/>
        <v>1.1493195916928878E-2</v>
      </c>
      <c r="I96" s="5">
        <f t="shared" si="3"/>
        <v>2.2766267351705061E-2</v>
      </c>
      <c r="J96" s="5">
        <v>-2.1568808185086111E-2</v>
      </c>
      <c r="K96" s="5">
        <v>0.68389662027832998</v>
      </c>
      <c r="L96" s="5">
        <v>0.81312127236580511</v>
      </c>
      <c r="M96" s="3" t="s">
        <v>47</v>
      </c>
    </row>
    <row r="97" spans="1:13">
      <c r="A97" s="3" t="s">
        <v>259</v>
      </c>
      <c r="B97" s="3" t="s">
        <v>260</v>
      </c>
      <c r="C97" s="3" t="s">
        <v>71</v>
      </c>
      <c r="D97" s="3" t="s">
        <v>72</v>
      </c>
      <c r="E97" s="8">
        <v>298.10000000000002</v>
      </c>
      <c r="F97" s="8">
        <v>305.44</v>
      </c>
      <c r="G97" s="8">
        <v>304.72000122070312</v>
      </c>
      <c r="H97" s="5">
        <f t="shared" si="2"/>
        <v>-2.3572511108462813E-3</v>
      </c>
      <c r="I97" s="5">
        <f t="shared" si="3"/>
        <v>2.2207317077165722E-2</v>
      </c>
      <c r="J97" s="5">
        <v>-3.2295044381120852E-2</v>
      </c>
      <c r="K97" s="5">
        <v>0.27634194831013908</v>
      </c>
      <c r="L97" s="5">
        <v>0.81113320079522866</v>
      </c>
      <c r="M97" s="3" t="s">
        <v>63</v>
      </c>
    </row>
    <row r="98" spans="1:13">
      <c r="A98" s="3" t="s">
        <v>261</v>
      </c>
      <c r="B98" s="3" t="s">
        <v>262</v>
      </c>
      <c r="C98" s="3" t="s">
        <v>95</v>
      </c>
      <c r="D98" s="3" t="s">
        <v>99</v>
      </c>
      <c r="E98" s="8">
        <v>25.68</v>
      </c>
      <c r="F98" s="8">
        <v>25.87</v>
      </c>
      <c r="G98" s="8">
        <v>26.25</v>
      </c>
      <c r="H98" s="5">
        <f t="shared" si="2"/>
        <v>1.4688828759180428E-2</v>
      </c>
      <c r="I98" s="5">
        <f t="shared" si="3"/>
        <v>2.219626168224309E-2</v>
      </c>
      <c r="J98" s="5">
        <v>-3.4657320872274133E-2</v>
      </c>
      <c r="K98" s="5">
        <v>0.74552683896620275</v>
      </c>
      <c r="L98" s="5">
        <v>0.80914512922465209</v>
      </c>
      <c r="M98" s="3" t="s">
        <v>47</v>
      </c>
    </row>
    <row r="99" spans="1:13">
      <c r="A99" s="3" t="s">
        <v>263</v>
      </c>
      <c r="B99" s="3" t="s">
        <v>264</v>
      </c>
      <c r="C99" s="3" t="s">
        <v>61</v>
      </c>
      <c r="D99" s="3" t="s">
        <v>62</v>
      </c>
      <c r="E99" s="8">
        <v>64.7</v>
      </c>
      <c r="F99" s="8">
        <v>65.23</v>
      </c>
      <c r="G99" s="8">
        <v>66.129997253417969</v>
      </c>
      <c r="H99" s="5">
        <f t="shared" si="2"/>
        <v>1.3797290409596208E-2</v>
      </c>
      <c r="I99" s="5">
        <f t="shared" si="3"/>
        <v>2.210196682253418E-2</v>
      </c>
      <c r="J99" s="5">
        <v>-1.9954303122620028E-2</v>
      </c>
      <c r="K99" s="5">
        <v>0.72962226640159045</v>
      </c>
      <c r="L99" s="5">
        <v>0.80715705765407553</v>
      </c>
      <c r="M99" s="3" t="s">
        <v>47</v>
      </c>
    </row>
    <row r="100" spans="1:13">
      <c r="A100" s="3" t="s">
        <v>265</v>
      </c>
      <c r="B100" s="3" t="s">
        <v>266</v>
      </c>
      <c r="C100" s="3" t="s">
        <v>90</v>
      </c>
      <c r="D100" s="3" t="s">
        <v>90</v>
      </c>
      <c r="E100" s="8">
        <v>43.45</v>
      </c>
      <c r="F100" s="8">
        <v>44.3</v>
      </c>
      <c r="G100" s="8">
        <v>44.389999389648438</v>
      </c>
      <c r="H100" s="5">
        <f t="shared" si="2"/>
        <v>2.0315889311159907E-3</v>
      </c>
      <c r="I100" s="5">
        <f t="shared" si="3"/>
        <v>2.1634048093174485E-2</v>
      </c>
      <c r="J100" s="5">
        <v>-7.2088308177517546E-2</v>
      </c>
      <c r="K100" s="5">
        <v>0.42544731610337971</v>
      </c>
      <c r="L100" s="5">
        <v>0.80516898608349896</v>
      </c>
      <c r="M100" s="3" t="s">
        <v>63</v>
      </c>
    </row>
    <row r="101" spans="1:13">
      <c r="A101" s="3" t="s">
        <v>267</v>
      </c>
      <c r="B101" s="3" t="s">
        <v>268</v>
      </c>
      <c r="C101" s="3" t="s">
        <v>61</v>
      </c>
      <c r="D101" s="3" t="s">
        <v>62</v>
      </c>
      <c r="E101" s="8">
        <v>230.65</v>
      </c>
      <c r="F101" s="8">
        <v>231.36</v>
      </c>
      <c r="G101" s="8">
        <v>235.5299987792969</v>
      </c>
      <c r="H101" s="5">
        <f t="shared" si="2"/>
        <v>1.8023853644955512E-2</v>
      </c>
      <c r="I101" s="5">
        <f t="shared" si="3"/>
        <v>2.1157592799899927E-2</v>
      </c>
      <c r="J101" s="5">
        <v>-3.7323679940082337E-2</v>
      </c>
      <c r="K101" s="5">
        <v>0.80318091451292251</v>
      </c>
      <c r="L101" s="5">
        <v>0.80318091451292251</v>
      </c>
      <c r="M101" s="3" t="s">
        <v>47</v>
      </c>
    </row>
    <row r="102" spans="1:13">
      <c r="A102" s="3" t="s">
        <v>269</v>
      </c>
      <c r="B102" s="3" t="s">
        <v>270</v>
      </c>
      <c r="C102" s="3" t="s">
        <v>61</v>
      </c>
      <c r="D102" s="3" t="s">
        <v>77</v>
      </c>
      <c r="E102" s="8">
        <v>28.24</v>
      </c>
      <c r="F102" s="8">
        <v>28.55</v>
      </c>
      <c r="G102" s="8">
        <v>28.829999923706051</v>
      </c>
      <c r="H102" s="5">
        <f t="shared" si="2"/>
        <v>9.8073528443449742E-3</v>
      </c>
      <c r="I102" s="5">
        <f t="shared" si="3"/>
        <v>2.0892348573160469E-2</v>
      </c>
      <c r="J102" s="5">
        <v>-2.1351067553377678E-2</v>
      </c>
      <c r="K102" s="5">
        <v>0.63817097415506963</v>
      </c>
      <c r="L102" s="5">
        <v>0.80119284294234594</v>
      </c>
      <c r="M102" s="3" t="s">
        <v>47</v>
      </c>
    </row>
    <row r="103" spans="1:13">
      <c r="A103" s="3" t="s">
        <v>271</v>
      </c>
      <c r="B103" s="3" t="s">
        <v>272</v>
      </c>
      <c r="C103" s="3" t="s">
        <v>57</v>
      </c>
      <c r="D103" s="3" t="s">
        <v>112</v>
      </c>
      <c r="E103" s="8">
        <v>102.64</v>
      </c>
      <c r="F103" s="8">
        <v>104.98</v>
      </c>
      <c r="G103" s="8">
        <v>104.76999664306641</v>
      </c>
      <c r="H103" s="5">
        <f t="shared" si="2"/>
        <v>-2.0004130018441701E-3</v>
      </c>
      <c r="I103" s="5">
        <f t="shared" si="3"/>
        <v>2.0752110707973559E-2</v>
      </c>
      <c r="J103" s="5">
        <v>-4.4919686215913357E-2</v>
      </c>
      <c r="K103" s="5">
        <v>0.2922465208747515</v>
      </c>
      <c r="L103" s="5">
        <v>0.79920477137176937</v>
      </c>
      <c r="M103" s="3" t="s">
        <v>63</v>
      </c>
    </row>
    <row r="104" spans="1:13">
      <c r="A104" s="3" t="s">
        <v>273</v>
      </c>
      <c r="B104" s="3" t="s">
        <v>274</v>
      </c>
      <c r="C104" s="3" t="s">
        <v>71</v>
      </c>
      <c r="D104" s="3" t="s">
        <v>146</v>
      </c>
      <c r="E104" s="8">
        <v>171.46</v>
      </c>
      <c r="F104" s="8">
        <v>172.3</v>
      </c>
      <c r="G104" s="8">
        <v>174.99000549316409</v>
      </c>
      <c r="H104" s="5">
        <f t="shared" si="2"/>
        <v>1.5612336002112981E-2</v>
      </c>
      <c r="I104" s="5">
        <f t="shared" si="3"/>
        <v>2.0587924257343237E-2</v>
      </c>
      <c r="J104" s="5">
        <v>-1.9797474115371472E-2</v>
      </c>
      <c r="K104" s="5">
        <v>0.76739562624254476</v>
      </c>
      <c r="L104" s="5">
        <v>0.79721669980119281</v>
      </c>
      <c r="M104" s="3" t="s">
        <v>47</v>
      </c>
    </row>
    <row r="105" spans="1:13">
      <c r="A105" s="3" t="s">
        <v>275</v>
      </c>
      <c r="B105" s="3" t="s">
        <v>276</v>
      </c>
      <c r="C105" s="3" t="s">
        <v>71</v>
      </c>
      <c r="D105" s="3" t="s">
        <v>146</v>
      </c>
      <c r="E105" s="8">
        <v>168.49</v>
      </c>
      <c r="F105" s="8">
        <v>170.39</v>
      </c>
      <c r="G105" s="8">
        <v>171.86000061035159</v>
      </c>
      <c r="H105" s="5">
        <f t="shared" si="2"/>
        <v>8.6272704404695144E-3</v>
      </c>
      <c r="I105" s="5">
        <f t="shared" si="3"/>
        <v>2.0001190636545596E-2</v>
      </c>
      <c r="J105" s="5">
        <v>-1.5186645026663561E-2</v>
      </c>
      <c r="K105" s="5">
        <v>0.60238568588469188</v>
      </c>
      <c r="L105" s="5">
        <v>0.79522862823061635</v>
      </c>
      <c r="M105" s="3" t="s">
        <v>63</v>
      </c>
    </row>
    <row r="106" spans="1:13">
      <c r="A106" s="3" t="s">
        <v>277</v>
      </c>
      <c r="B106" s="3" t="s">
        <v>278</v>
      </c>
      <c r="C106" s="3" t="s">
        <v>95</v>
      </c>
      <c r="D106" s="3" t="s">
        <v>181</v>
      </c>
      <c r="E106" s="8">
        <v>144.38</v>
      </c>
      <c r="F106" s="8">
        <v>146.21</v>
      </c>
      <c r="G106" s="8">
        <v>147.24000549316409</v>
      </c>
      <c r="H106" s="5">
        <f t="shared" si="2"/>
        <v>7.0446993582113926E-3</v>
      </c>
      <c r="I106" s="5">
        <f t="shared" si="3"/>
        <v>1.9808875835739759E-2</v>
      </c>
      <c r="J106" s="5">
        <v>-2.36016371077763E-2</v>
      </c>
      <c r="K106" s="5">
        <v>0.56063618290258455</v>
      </c>
      <c r="L106" s="5">
        <v>0.79324055666003979</v>
      </c>
      <c r="M106" s="3" t="s">
        <v>63</v>
      </c>
    </row>
    <row r="107" spans="1:13">
      <c r="A107" s="3" t="s">
        <v>279</v>
      </c>
      <c r="B107" s="3" t="s">
        <v>280</v>
      </c>
      <c r="C107" s="3" t="s">
        <v>57</v>
      </c>
      <c r="D107" s="3" t="s">
        <v>112</v>
      </c>
      <c r="E107" s="8">
        <v>134.54</v>
      </c>
      <c r="F107" s="8">
        <v>134.84</v>
      </c>
      <c r="G107" s="8">
        <v>137.19000244140619</v>
      </c>
      <c r="H107" s="5">
        <f t="shared" si="2"/>
        <v>1.7428080995299577E-2</v>
      </c>
      <c r="I107" s="5">
        <f t="shared" si="3"/>
        <v>1.9696762608935714E-2</v>
      </c>
      <c r="J107" s="5">
        <v>-3.3335722990895489E-2</v>
      </c>
      <c r="K107" s="5">
        <v>0.79522862823061635</v>
      </c>
      <c r="L107" s="5">
        <v>0.79125248508946322</v>
      </c>
      <c r="M107" s="3" t="s">
        <v>47</v>
      </c>
    </row>
    <row r="108" spans="1:13">
      <c r="A108" s="3" t="s">
        <v>281</v>
      </c>
      <c r="B108" s="3" t="s">
        <v>282</v>
      </c>
      <c r="C108" s="3" t="s">
        <v>40</v>
      </c>
      <c r="D108" s="3" t="s">
        <v>41</v>
      </c>
      <c r="E108" s="8">
        <v>201.63</v>
      </c>
      <c r="F108" s="8">
        <v>215.07</v>
      </c>
      <c r="G108" s="8">
        <v>205.6000061035156</v>
      </c>
      <c r="H108" s="5">
        <f t="shared" si="2"/>
        <v>-4.4032147191539472E-2</v>
      </c>
      <c r="I108" s="5">
        <f t="shared" si="3"/>
        <v>1.9689560598698641E-2</v>
      </c>
      <c r="J108" s="5">
        <v>-0.1099566835345646</v>
      </c>
      <c r="K108" s="5">
        <v>1.1928429423459241E-2</v>
      </c>
      <c r="L108" s="5">
        <v>0.78926441351888665</v>
      </c>
      <c r="M108" s="3" t="s">
        <v>283</v>
      </c>
    </row>
    <row r="109" spans="1:13">
      <c r="A109" s="3" t="s">
        <v>284</v>
      </c>
      <c r="B109" s="3" t="s">
        <v>285</v>
      </c>
      <c r="C109" s="3" t="s">
        <v>40</v>
      </c>
      <c r="D109" s="3" t="s">
        <v>161</v>
      </c>
      <c r="E109" s="8">
        <v>362.48</v>
      </c>
      <c r="F109" s="8">
        <v>369.68</v>
      </c>
      <c r="G109" s="8">
        <v>369.60000610351562</v>
      </c>
      <c r="H109" s="5">
        <f t="shared" si="2"/>
        <v>-2.1638686562530651E-4</v>
      </c>
      <c r="I109" s="5">
        <f t="shared" si="3"/>
        <v>1.9642479870656704E-2</v>
      </c>
      <c r="J109" s="5">
        <v>-3.4902971909349989E-2</v>
      </c>
      <c r="K109" s="5">
        <v>0.35984095427435392</v>
      </c>
      <c r="L109" s="5">
        <v>0.78727634194831009</v>
      </c>
      <c r="M109" s="3" t="s">
        <v>63</v>
      </c>
    </row>
    <row r="110" spans="1:13">
      <c r="A110" s="3" t="s">
        <v>286</v>
      </c>
      <c r="B110" s="3" t="s">
        <v>287</v>
      </c>
      <c r="C110" s="3" t="s">
        <v>61</v>
      </c>
      <c r="D110" s="3" t="s">
        <v>62</v>
      </c>
      <c r="E110" s="8">
        <v>89.29</v>
      </c>
      <c r="F110" s="8">
        <v>88.52</v>
      </c>
      <c r="G110" s="8">
        <v>90.964996337890625</v>
      </c>
      <c r="H110" s="5">
        <f t="shared" si="2"/>
        <v>2.7620835267630151E-2</v>
      </c>
      <c r="I110" s="5">
        <f t="shared" si="3"/>
        <v>1.87590585495645E-2</v>
      </c>
      <c r="J110" s="5">
        <v>-2.0579774286346501E-2</v>
      </c>
      <c r="K110" s="5">
        <v>0.93638170974155066</v>
      </c>
      <c r="L110" s="5">
        <v>0.78528827037773363</v>
      </c>
      <c r="M110" s="3" t="s">
        <v>47</v>
      </c>
    </row>
    <row r="111" spans="1:13">
      <c r="A111" s="3" t="s">
        <v>288</v>
      </c>
      <c r="B111" s="3" t="s">
        <v>289</v>
      </c>
      <c r="C111" s="3" t="s">
        <v>71</v>
      </c>
      <c r="D111" s="3" t="s">
        <v>146</v>
      </c>
      <c r="E111" s="8">
        <v>71.489999999999995</v>
      </c>
      <c r="F111" s="8">
        <v>72.05</v>
      </c>
      <c r="G111" s="8">
        <v>72.80999755859375</v>
      </c>
      <c r="H111" s="5">
        <f t="shared" si="2"/>
        <v>1.0548196510669738E-2</v>
      </c>
      <c r="I111" s="5">
        <f t="shared" si="3"/>
        <v>1.846408670574573E-2</v>
      </c>
      <c r="J111" s="5">
        <v>-4.3285982310372617E-2</v>
      </c>
      <c r="K111" s="5">
        <v>0.65407554671968193</v>
      </c>
      <c r="L111" s="5">
        <v>0.78330019880715707</v>
      </c>
      <c r="M111" s="3" t="s">
        <v>47</v>
      </c>
    </row>
    <row r="112" spans="1:13">
      <c r="A112" s="3" t="s">
        <v>290</v>
      </c>
      <c r="B112" s="3" t="s">
        <v>291</v>
      </c>
      <c r="C112" s="3" t="s">
        <v>45</v>
      </c>
      <c r="D112" s="3" t="s">
        <v>254</v>
      </c>
      <c r="E112" s="8">
        <v>186.45</v>
      </c>
      <c r="F112" s="8">
        <v>194.35</v>
      </c>
      <c r="G112" s="8">
        <v>189.8800048828125</v>
      </c>
      <c r="H112" s="5">
        <f t="shared" si="2"/>
        <v>-2.2999717608374048E-2</v>
      </c>
      <c r="I112" s="5">
        <f t="shared" si="3"/>
        <v>1.8396379097948667E-2</v>
      </c>
      <c r="J112" s="5">
        <v>-2.2999717608374048E-2</v>
      </c>
      <c r="K112" s="5">
        <v>3.3797216699801187E-2</v>
      </c>
      <c r="L112" s="5">
        <v>0.7813121272365805</v>
      </c>
      <c r="M112" s="3" t="s">
        <v>283</v>
      </c>
    </row>
    <row r="113" spans="1:13">
      <c r="A113" s="3" t="s">
        <v>292</v>
      </c>
      <c r="B113" s="3" t="s">
        <v>293</v>
      </c>
      <c r="C113" s="3" t="s">
        <v>71</v>
      </c>
      <c r="D113" s="3" t="s">
        <v>168</v>
      </c>
      <c r="E113" s="8">
        <v>132.88999999999999</v>
      </c>
      <c r="F113" s="8">
        <v>132.54</v>
      </c>
      <c r="G113" s="8">
        <v>135.25999450683591</v>
      </c>
      <c r="H113" s="5">
        <f t="shared" si="2"/>
        <v>2.052206508854626E-2</v>
      </c>
      <c r="I113" s="5">
        <f t="shared" si="3"/>
        <v>1.7834257708148948E-2</v>
      </c>
      <c r="J113" s="5">
        <v>-2.42305666340582E-2</v>
      </c>
      <c r="K113" s="5">
        <v>0.84294234592445327</v>
      </c>
      <c r="L113" s="5">
        <v>0.77932405566600393</v>
      </c>
      <c r="M113" s="3" t="s">
        <v>47</v>
      </c>
    </row>
    <row r="114" spans="1:13">
      <c r="A114" s="3" t="s">
        <v>294</v>
      </c>
      <c r="B114" s="3" t="s">
        <v>295</v>
      </c>
      <c r="C114" s="3" t="s">
        <v>71</v>
      </c>
      <c r="D114" s="3" t="s">
        <v>72</v>
      </c>
      <c r="E114" s="8">
        <v>159.76</v>
      </c>
      <c r="F114" s="8">
        <v>160.51</v>
      </c>
      <c r="G114" s="8">
        <v>162.5</v>
      </c>
      <c r="H114" s="5">
        <f t="shared" si="2"/>
        <v>1.2397981434178584E-2</v>
      </c>
      <c r="I114" s="5">
        <f t="shared" si="3"/>
        <v>1.7150726089133705E-2</v>
      </c>
      <c r="J114" s="5">
        <v>-1.918728994805996E-2</v>
      </c>
      <c r="K114" s="5">
        <v>0.70377733598409542</v>
      </c>
      <c r="L114" s="5">
        <v>0.77733598409542748</v>
      </c>
      <c r="M114" s="3" t="s">
        <v>47</v>
      </c>
    </row>
    <row r="115" spans="1:13">
      <c r="A115" s="3" t="s">
        <v>296</v>
      </c>
      <c r="B115" s="3" t="s">
        <v>297</v>
      </c>
      <c r="C115" s="3" t="s">
        <v>80</v>
      </c>
      <c r="D115" s="3" t="s">
        <v>81</v>
      </c>
      <c r="E115" s="8">
        <v>152.47</v>
      </c>
      <c r="F115" s="8">
        <v>146.19</v>
      </c>
      <c r="G115" s="8">
        <v>155.07000732421881</v>
      </c>
      <c r="H115" s="5">
        <f t="shared" si="2"/>
        <v>6.0742918969962423E-2</v>
      </c>
      <c r="I115" s="5">
        <f t="shared" si="3"/>
        <v>1.7052582962017393E-2</v>
      </c>
      <c r="J115" s="5">
        <v>-5.7689828541962029E-2</v>
      </c>
      <c r="K115" s="5">
        <v>1</v>
      </c>
      <c r="L115" s="5">
        <v>0.77534791252485091</v>
      </c>
      <c r="M115" s="3" t="s">
        <v>47</v>
      </c>
    </row>
    <row r="116" spans="1:13">
      <c r="A116" s="3" t="s">
        <v>298</v>
      </c>
      <c r="B116" s="3" t="s">
        <v>299</v>
      </c>
      <c r="C116" s="3" t="s">
        <v>80</v>
      </c>
      <c r="D116" s="3" t="s">
        <v>81</v>
      </c>
      <c r="E116" s="8">
        <v>106.93</v>
      </c>
      <c r="F116" s="8">
        <v>106.22</v>
      </c>
      <c r="G116" s="8">
        <v>108.73000335693359</v>
      </c>
      <c r="H116" s="5">
        <f t="shared" si="2"/>
        <v>2.3630233072242435E-2</v>
      </c>
      <c r="I116" s="5">
        <f t="shared" si="3"/>
        <v>1.6833473832727819E-2</v>
      </c>
      <c r="J116" s="5">
        <v>-4.5213483146067428E-2</v>
      </c>
      <c r="K116" s="5">
        <v>0.88667992047713717</v>
      </c>
      <c r="L116" s="5">
        <v>0.77335984095427435</v>
      </c>
      <c r="M116" s="3" t="s">
        <v>47</v>
      </c>
    </row>
    <row r="117" spans="1:13">
      <c r="A117" s="3" t="s">
        <v>300</v>
      </c>
      <c r="B117" s="3" t="s">
        <v>301</v>
      </c>
      <c r="C117" s="3" t="s">
        <v>80</v>
      </c>
      <c r="D117" s="3" t="s">
        <v>137</v>
      </c>
      <c r="E117" s="8">
        <v>26.59</v>
      </c>
      <c r="F117" s="8">
        <v>26.3</v>
      </c>
      <c r="G117" s="8">
        <v>27.030000686645511</v>
      </c>
      <c r="H117" s="5">
        <f t="shared" si="2"/>
        <v>2.7756680100589737E-2</v>
      </c>
      <c r="I117" s="5">
        <f t="shared" si="3"/>
        <v>1.6547600099492632E-2</v>
      </c>
      <c r="J117" s="5">
        <v>-3.3088235294117641E-2</v>
      </c>
      <c r="K117" s="5">
        <v>0.94234592445328036</v>
      </c>
      <c r="L117" s="5">
        <v>0.77137176938369778</v>
      </c>
      <c r="M117" s="3" t="s">
        <v>47</v>
      </c>
    </row>
    <row r="118" spans="1:13">
      <c r="A118" s="3" t="s">
        <v>302</v>
      </c>
      <c r="B118" s="3" t="s">
        <v>303</v>
      </c>
      <c r="C118" s="3" t="s">
        <v>71</v>
      </c>
      <c r="D118" s="3" t="s">
        <v>72</v>
      </c>
      <c r="E118" s="8">
        <v>499.62</v>
      </c>
      <c r="F118" s="8">
        <v>502.33</v>
      </c>
      <c r="G118" s="8">
        <v>507.8599853515625</v>
      </c>
      <c r="H118" s="5">
        <f t="shared" si="2"/>
        <v>1.1008670299529122E-2</v>
      </c>
      <c r="I118" s="5">
        <f t="shared" si="3"/>
        <v>1.6492505006930225E-2</v>
      </c>
      <c r="J118" s="5">
        <v>-7.6057803930987822E-3</v>
      </c>
      <c r="K118" s="5">
        <v>0.66998011928429424</v>
      </c>
      <c r="L118" s="5">
        <v>0.76938369781312133</v>
      </c>
      <c r="M118" s="3" t="s">
        <v>47</v>
      </c>
    </row>
    <row r="119" spans="1:13">
      <c r="A119" s="3" t="s">
        <v>304</v>
      </c>
      <c r="B119" s="3" t="s">
        <v>305</v>
      </c>
      <c r="C119" s="3" t="s">
        <v>40</v>
      </c>
      <c r="D119" s="3" t="s">
        <v>41</v>
      </c>
      <c r="E119" s="8">
        <v>183.17</v>
      </c>
      <c r="F119" s="8">
        <v>188.09</v>
      </c>
      <c r="G119" s="8">
        <v>186.16999816894531</v>
      </c>
      <c r="H119" s="5">
        <f t="shared" si="2"/>
        <v>-1.020788894175495E-2</v>
      </c>
      <c r="I119" s="5">
        <f t="shared" si="3"/>
        <v>1.6378217879266854E-2</v>
      </c>
      <c r="J119" s="5">
        <v>-2.9690258385492E-2</v>
      </c>
      <c r="K119" s="5">
        <v>0.10934393638170969</v>
      </c>
      <c r="L119" s="5">
        <v>0.76739562624254476</v>
      </c>
      <c r="M119" s="3" t="s">
        <v>283</v>
      </c>
    </row>
    <row r="120" spans="1:13">
      <c r="A120" s="3" t="s">
        <v>306</v>
      </c>
      <c r="B120" s="3" t="s">
        <v>307</v>
      </c>
      <c r="C120" s="3" t="s">
        <v>71</v>
      </c>
      <c r="D120" s="3" t="s">
        <v>146</v>
      </c>
      <c r="E120" s="8">
        <v>95.11</v>
      </c>
      <c r="F120" s="8">
        <v>94.42</v>
      </c>
      <c r="G120" s="8">
        <v>96.660003662109375</v>
      </c>
      <c r="H120" s="5">
        <f t="shared" si="2"/>
        <v>2.372382611850643E-2</v>
      </c>
      <c r="I120" s="5">
        <f t="shared" si="3"/>
        <v>1.6296957860470807E-2</v>
      </c>
      <c r="J120" s="5">
        <v>-2.1757148777455378E-2</v>
      </c>
      <c r="K120" s="5">
        <v>0.88866799204771374</v>
      </c>
      <c r="L120" s="5">
        <v>0.76540755467196819</v>
      </c>
      <c r="M120" s="3" t="s">
        <v>47</v>
      </c>
    </row>
    <row r="121" spans="1:13">
      <c r="A121" s="3" t="s">
        <v>308</v>
      </c>
      <c r="B121" s="3" t="s">
        <v>309</v>
      </c>
      <c r="C121" s="3" t="s">
        <v>71</v>
      </c>
      <c r="D121" s="3" t="s">
        <v>72</v>
      </c>
      <c r="E121" s="8">
        <v>157.24</v>
      </c>
      <c r="F121" s="8">
        <v>159.6</v>
      </c>
      <c r="G121" s="8">
        <v>159.69999694824219</v>
      </c>
      <c r="H121" s="5">
        <f t="shared" si="2"/>
        <v>6.2654729475064563E-4</v>
      </c>
      <c r="I121" s="5">
        <f t="shared" si="3"/>
        <v>1.5644854669563557E-2</v>
      </c>
      <c r="J121" s="5">
        <v>-2.0798822013620599E-2</v>
      </c>
      <c r="K121" s="5">
        <v>0.38767395626242551</v>
      </c>
      <c r="L121" s="5">
        <v>0.76341948310139163</v>
      </c>
      <c r="M121" s="3" t="s">
        <v>63</v>
      </c>
    </row>
    <row r="122" spans="1:13">
      <c r="A122" s="3" t="s">
        <v>310</v>
      </c>
      <c r="B122" s="3" t="s">
        <v>311</v>
      </c>
      <c r="C122" s="3" t="s">
        <v>71</v>
      </c>
      <c r="D122" s="3" t="s">
        <v>72</v>
      </c>
      <c r="E122" s="8">
        <v>407.08</v>
      </c>
      <c r="F122" s="8">
        <v>404.81</v>
      </c>
      <c r="G122" s="8">
        <v>413.39999389648437</v>
      </c>
      <c r="H122" s="5">
        <f t="shared" si="2"/>
        <v>2.1219816448418749E-2</v>
      </c>
      <c r="I122" s="5">
        <f t="shared" si="3"/>
        <v>1.5525188897721254E-2</v>
      </c>
      <c r="J122" s="5">
        <v>-3.2268117852947482E-2</v>
      </c>
      <c r="K122" s="5">
        <v>0.84890656063618286</v>
      </c>
      <c r="L122" s="5">
        <v>0.76143141153081506</v>
      </c>
      <c r="M122" s="3" t="s">
        <v>47</v>
      </c>
    </row>
    <row r="123" spans="1:13">
      <c r="A123" s="3" t="s">
        <v>312</v>
      </c>
      <c r="B123" s="3" t="s">
        <v>313</v>
      </c>
      <c r="C123" s="3" t="s">
        <v>50</v>
      </c>
      <c r="D123" s="3" t="s">
        <v>50</v>
      </c>
      <c r="E123" s="8">
        <v>481.13</v>
      </c>
      <c r="F123" s="8">
        <v>486.76</v>
      </c>
      <c r="G123" s="8">
        <v>488.57000732421881</v>
      </c>
      <c r="H123" s="5">
        <f t="shared" si="2"/>
        <v>3.7184799988059236E-3</v>
      </c>
      <c r="I123" s="5">
        <f t="shared" si="3"/>
        <v>1.5463611340425176E-2</v>
      </c>
      <c r="J123" s="5">
        <v>-1.0156425264617569E-2</v>
      </c>
      <c r="K123" s="5">
        <v>0.48906560636182911</v>
      </c>
      <c r="L123" s="5">
        <v>0.75944333996023861</v>
      </c>
      <c r="M123" s="3" t="s">
        <v>63</v>
      </c>
    </row>
    <row r="124" spans="1:13">
      <c r="A124" s="3" t="s">
        <v>314</v>
      </c>
      <c r="B124" s="3" t="s">
        <v>315</v>
      </c>
      <c r="C124" s="3" t="s">
        <v>90</v>
      </c>
      <c r="D124" s="3" t="s">
        <v>90</v>
      </c>
      <c r="E124" s="8">
        <v>73.239999999999995</v>
      </c>
      <c r="F124" s="8">
        <v>75.23</v>
      </c>
      <c r="G124" s="8">
        <v>74.349998474121094</v>
      </c>
      <c r="H124" s="5">
        <f t="shared" si="2"/>
        <v>-1.1697481402085708E-2</v>
      </c>
      <c r="I124" s="5">
        <f t="shared" si="3"/>
        <v>1.515563181487023E-2</v>
      </c>
      <c r="J124" s="5">
        <v>-3.7547788093937773E-2</v>
      </c>
      <c r="K124" s="5">
        <v>8.5487077534791248E-2</v>
      </c>
      <c r="L124" s="5">
        <v>0.75745526838966204</v>
      </c>
      <c r="M124" s="3" t="s">
        <v>283</v>
      </c>
    </row>
    <row r="125" spans="1:13">
      <c r="A125" s="3" t="s">
        <v>316</v>
      </c>
      <c r="B125" s="3" t="s">
        <v>317</v>
      </c>
      <c r="C125" s="3" t="s">
        <v>61</v>
      </c>
      <c r="D125" s="3" t="s">
        <v>62</v>
      </c>
      <c r="E125" s="8">
        <v>398.45</v>
      </c>
      <c r="F125" s="8">
        <v>403.04</v>
      </c>
      <c r="G125" s="8">
        <v>404.42999267578119</v>
      </c>
      <c r="H125" s="5">
        <f t="shared" si="2"/>
        <v>3.4487710296278173E-3</v>
      </c>
      <c r="I125" s="5">
        <f t="shared" si="3"/>
        <v>1.5008138225075074E-2</v>
      </c>
      <c r="J125" s="5">
        <v>-2.5060228994361999E-2</v>
      </c>
      <c r="K125" s="5">
        <v>0.48111332007952279</v>
      </c>
      <c r="L125" s="5">
        <v>0.75546719681908547</v>
      </c>
      <c r="M125" s="3" t="s">
        <v>63</v>
      </c>
    </row>
    <row r="126" spans="1:13">
      <c r="A126" s="3" t="s">
        <v>318</v>
      </c>
      <c r="B126" s="3" t="s">
        <v>319</v>
      </c>
      <c r="C126" s="3" t="s">
        <v>40</v>
      </c>
      <c r="D126" s="3" t="s">
        <v>68</v>
      </c>
      <c r="E126" s="8">
        <v>437.55</v>
      </c>
      <c r="F126" s="8">
        <v>425</v>
      </c>
      <c r="G126" s="8">
        <v>444.1099853515625</v>
      </c>
      <c r="H126" s="5">
        <f t="shared" si="2"/>
        <v>4.4964671415441249E-2</v>
      </c>
      <c r="I126" s="5">
        <f t="shared" si="3"/>
        <v>1.4992538799137201E-2</v>
      </c>
      <c r="J126" s="5">
        <v>-0.1000719942404608</v>
      </c>
      <c r="K126" s="5">
        <v>0.99204771371769385</v>
      </c>
      <c r="L126" s="5">
        <v>0.75347912524850891</v>
      </c>
      <c r="M126" s="3" t="s">
        <v>47</v>
      </c>
    </row>
    <row r="127" spans="1:13">
      <c r="A127" s="3" t="s">
        <v>320</v>
      </c>
      <c r="B127" s="3" t="s">
        <v>321</v>
      </c>
      <c r="C127" s="3" t="s">
        <v>61</v>
      </c>
      <c r="D127" s="3" t="s">
        <v>77</v>
      </c>
      <c r="E127" s="8">
        <v>147.6</v>
      </c>
      <c r="F127" s="8">
        <v>149.91999999999999</v>
      </c>
      <c r="G127" s="8">
        <v>149.77000427246091</v>
      </c>
      <c r="H127" s="5">
        <f t="shared" si="2"/>
        <v>-1.0005051196576575E-3</v>
      </c>
      <c r="I127" s="5">
        <f t="shared" si="3"/>
        <v>1.4701925965182383E-2</v>
      </c>
      <c r="J127" s="5">
        <v>-2.81842818428184E-2</v>
      </c>
      <c r="K127" s="5">
        <v>0.33797216699801191</v>
      </c>
      <c r="L127" s="5">
        <v>0.75149105367793245</v>
      </c>
      <c r="M127" s="3" t="s">
        <v>63</v>
      </c>
    </row>
    <row r="128" spans="1:13">
      <c r="A128" s="3" t="s">
        <v>322</v>
      </c>
      <c r="B128" s="3" t="s">
        <v>323</v>
      </c>
      <c r="C128" s="3" t="s">
        <v>61</v>
      </c>
      <c r="D128" s="3" t="s">
        <v>62</v>
      </c>
      <c r="E128" s="8">
        <v>330.44</v>
      </c>
      <c r="F128" s="8">
        <v>327.61</v>
      </c>
      <c r="G128" s="8">
        <v>335.07000732421881</v>
      </c>
      <c r="H128" s="5">
        <f t="shared" si="2"/>
        <v>2.2771000043401601E-2</v>
      </c>
      <c r="I128" s="5">
        <f t="shared" si="3"/>
        <v>1.4011643034193222E-2</v>
      </c>
      <c r="J128" s="5">
        <v>-3.4567100842812448E-2</v>
      </c>
      <c r="K128" s="5">
        <v>0.87475149105367789</v>
      </c>
      <c r="L128" s="5">
        <v>0.74950298210735589</v>
      </c>
      <c r="M128" s="3" t="s">
        <v>47</v>
      </c>
    </row>
    <row r="129" spans="1:13">
      <c r="A129" s="3" t="s">
        <v>324</v>
      </c>
      <c r="B129" s="3" t="s">
        <v>325</v>
      </c>
      <c r="C129" s="3" t="s">
        <v>45</v>
      </c>
      <c r="D129" s="3" t="s">
        <v>254</v>
      </c>
      <c r="E129" s="8">
        <v>122.5</v>
      </c>
      <c r="F129" s="8">
        <v>125.64</v>
      </c>
      <c r="G129" s="8">
        <v>124.1999969482422</v>
      </c>
      <c r="H129" s="5">
        <f t="shared" si="2"/>
        <v>-1.1461342341275049E-2</v>
      </c>
      <c r="I129" s="5">
        <f t="shared" si="3"/>
        <v>1.3877526108099669E-2</v>
      </c>
      <c r="J129" s="5">
        <v>-2.4658418813866882E-2</v>
      </c>
      <c r="K129" s="5">
        <v>8.9463220675944338E-2</v>
      </c>
      <c r="L129" s="5">
        <v>0.74751491053677932</v>
      </c>
      <c r="M129" s="3" t="s">
        <v>283</v>
      </c>
    </row>
    <row r="130" spans="1:13">
      <c r="A130" s="3" t="s">
        <v>326</v>
      </c>
      <c r="B130" s="3" t="s">
        <v>327</v>
      </c>
      <c r="C130" s="3" t="s">
        <v>61</v>
      </c>
      <c r="D130" s="3" t="s">
        <v>62</v>
      </c>
      <c r="E130" s="8">
        <v>187.6</v>
      </c>
      <c r="F130" s="8">
        <v>187.12</v>
      </c>
      <c r="G130" s="8">
        <v>190.1499938964844</v>
      </c>
      <c r="H130" s="5">
        <f t="shared" ref="H130:H193" si="4">IFERROR(G130/F130-1,"")</f>
        <v>1.6192784825162398E-2</v>
      </c>
      <c r="I130" s="5">
        <f t="shared" ref="I130:I193" si="5">IFERROR(G130/E130-1,"")</f>
        <v>1.3592717998317738E-2</v>
      </c>
      <c r="J130" s="5">
        <v>-2.541666666666664E-2</v>
      </c>
      <c r="K130" s="5">
        <v>0.77534791252485091</v>
      </c>
      <c r="L130" s="5">
        <v>0.74552683896620275</v>
      </c>
      <c r="M130" s="3" t="s">
        <v>47</v>
      </c>
    </row>
    <row r="131" spans="1:13">
      <c r="A131" s="3" t="s">
        <v>328</v>
      </c>
      <c r="B131" s="3" t="s">
        <v>329</v>
      </c>
      <c r="C131" s="3" t="s">
        <v>40</v>
      </c>
      <c r="D131" s="3" t="s">
        <v>41</v>
      </c>
      <c r="E131" s="8">
        <v>152.85</v>
      </c>
      <c r="F131" s="8">
        <v>161.85</v>
      </c>
      <c r="G131" s="8">
        <v>154.9049987792969</v>
      </c>
      <c r="H131" s="5">
        <f t="shared" si="4"/>
        <v>-4.2910109488434323E-2</v>
      </c>
      <c r="I131" s="5">
        <f t="shared" si="5"/>
        <v>1.3444545497526494E-2</v>
      </c>
      <c r="J131" s="5">
        <v>-0.1034552680906534</v>
      </c>
      <c r="K131" s="5">
        <v>1.3916500994035789E-2</v>
      </c>
      <c r="L131" s="5">
        <v>0.74353876739562619</v>
      </c>
      <c r="M131" s="3" t="s">
        <v>283</v>
      </c>
    </row>
    <row r="132" spans="1:13">
      <c r="A132" s="3" t="s">
        <v>330</v>
      </c>
      <c r="B132" s="3" t="s">
        <v>331</v>
      </c>
      <c r="C132" s="3" t="s">
        <v>45</v>
      </c>
      <c r="D132" s="3" t="s">
        <v>254</v>
      </c>
      <c r="E132" s="8">
        <v>277.22000000000003</v>
      </c>
      <c r="F132" s="8">
        <v>283.49</v>
      </c>
      <c r="G132" s="8">
        <v>280.8699951171875</v>
      </c>
      <c r="H132" s="5">
        <f t="shared" si="4"/>
        <v>-9.2419657935465249E-3</v>
      </c>
      <c r="I132" s="5">
        <f t="shared" si="5"/>
        <v>1.3166420594428407E-2</v>
      </c>
      <c r="J132" s="5">
        <v>-2.2992920839058462E-2</v>
      </c>
      <c r="K132" s="5">
        <v>0.1272365805168986</v>
      </c>
      <c r="L132" s="5">
        <v>0.74155069582504973</v>
      </c>
      <c r="M132" s="3" t="s">
        <v>63</v>
      </c>
    </row>
    <row r="133" spans="1:13">
      <c r="A133" s="3" t="s">
        <v>332</v>
      </c>
      <c r="B133" s="3" t="s">
        <v>333</v>
      </c>
      <c r="C133" s="3" t="s">
        <v>164</v>
      </c>
      <c r="D133" s="3" t="s">
        <v>165</v>
      </c>
      <c r="E133" s="8">
        <v>64.349999999999994</v>
      </c>
      <c r="F133" s="8">
        <v>65.28</v>
      </c>
      <c r="G133" s="8">
        <v>65.19000244140625</v>
      </c>
      <c r="H133" s="5">
        <f t="shared" si="4"/>
        <v>-1.3786390715954111E-3</v>
      </c>
      <c r="I133" s="5">
        <f t="shared" si="5"/>
        <v>1.3053650993104293E-2</v>
      </c>
      <c r="J133" s="5">
        <v>-4.4027003228646937E-2</v>
      </c>
      <c r="K133" s="5">
        <v>0.32206759443339961</v>
      </c>
      <c r="L133" s="5">
        <v>0.73956262425447317</v>
      </c>
      <c r="M133" s="3" t="s">
        <v>63</v>
      </c>
    </row>
    <row r="134" spans="1:13">
      <c r="A134" s="3" t="s">
        <v>334</v>
      </c>
      <c r="B134" s="3" t="s">
        <v>335</v>
      </c>
      <c r="C134" s="3" t="s">
        <v>71</v>
      </c>
      <c r="D134" s="3" t="s">
        <v>146</v>
      </c>
      <c r="E134" s="8">
        <v>75.7</v>
      </c>
      <c r="F134" s="8">
        <v>75.88</v>
      </c>
      <c r="G134" s="8">
        <v>76.629997253417969</v>
      </c>
      <c r="H134" s="5">
        <f t="shared" si="4"/>
        <v>9.8839912153132481E-3</v>
      </c>
      <c r="I134" s="5">
        <f t="shared" si="5"/>
        <v>1.2285300573553037E-2</v>
      </c>
      <c r="J134" s="5">
        <v>-1.9384853967433498E-2</v>
      </c>
      <c r="K134" s="5">
        <v>0.64214711729622265</v>
      </c>
      <c r="L134" s="5">
        <v>0.7375745526838966</v>
      </c>
      <c r="M134" s="3" t="s">
        <v>47</v>
      </c>
    </row>
    <row r="135" spans="1:13">
      <c r="A135" s="3" t="s">
        <v>336</v>
      </c>
      <c r="B135" s="3" t="s">
        <v>337</v>
      </c>
      <c r="C135" s="3" t="s">
        <v>57</v>
      </c>
      <c r="D135" s="3" t="s">
        <v>338</v>
      </c>
      <c r="E135" s="8">
        <v>119.45</v>
      </c>
      <c r="F135" s="8">
        <v>118</v>
      </c>
      <c r="G135" s="8">
        <v>120.879997253418</v>
      </c>
      <c r="H135" s="5">
        <f t="shared" si="4"/>
        <v>2.4406756384898198E-2</v>
      </c>
      <c r="I135" s="5">
        <f t="shared" si="5"/>
        <v>1.1971513214047658E-2</v>
      </c>
      <c r="J135" s="5">
        <v>-6.3365368952598145E-2</v>
      </c>
      <c r="K135" s="5">
        <v>0.89662027833001989</v>
      </c>
      <c r="L135" s="5">
        <v>0.73558648111332003</v>
      </c>
      <c r="M135" s="3" t="s">
        <v>47</v>
      </c>
    </row>
    <row r="136" spans="1:13">
      <c r="A136" s="3" t="s">
        <v>339</v>
      </c>
      <c r="B136" s="3" t="s">
        <v>340</v>
      </c>
      <c r="C136" s="3" t="s">
        <v>71</v>
      </c>
      <c r="D136" s="3" t="s">
        <v>146</v>
      </c>
      <c r="E136" s="8">
        <v>362.22</v>
      </c>
      <c r="F136" s="8">
        <v>363.92</v>
      </c>
      <c r="G136" s="8">
        <v>366.33999633789062</v>
      </c>
      <c r="H136" s="5">
        <f t="shared" si="4"/>
        <v>6.6498030827946142E-3</v>
      </c>
      <c r="I136" s="5">
        <f t="shared" si="5"/>
        <v>1.1374292799653851E-2</v>
      </c>
      <c r="J136" s="5">
        <v>-1.947999461134298E-2</v>
      </c>
      <c r="K136" s="5">
        <v>0.55268389662027828</v>
      </c>
      <c r="L136" s="5">
        <v>0.73359840954274358</v>
      </c>
      <c r="M136" s="3" t="s">
        <v>63</v>
      </c>
    </row>
    <row r="137" spans="1:13">
      <c r="A137" s="3" t="s">
        <v>341</v>
      </c>
      <c r="B137" s="3" t="s">
        <v>342</v>
      </c>
      <c r="C137" s="3" t="s">
        <v>61</v>
      </c>
      <c r="D137" s="3" t="s">
        <v>62</v>
      </c>
      <c r="E137" s="8">
        <v>407.05</v>
      </c>
      <c r="F137" s="8">
        <v>413.58</v>
      </c>
      <c r="G137" s="8">
        <v>411.57000732421881</v>
      </c>
      <c r="H137" s="5">
        <f t="shared" si="4"/>
        <v>-4.8599851921784509E-3</v>
      </c>
      <c r="I137" s="5">
        <f t="shared" si="5"/>
        <v>1.1104304936049081E-2</v>
      </c>
      <c r="J137" s="5">
        <v>-4.1165764317820368E-2</v>
      </c>
      <c r="K137" s="5">
        <v>0.2147117296222664</v>
      </c>
      <c r="L137" s="5">
        <v>0.73161033797216701</v>
      </c>
      <c r="M137" s="3" t="s">
        <v>63</v>
      </c>
    </row>
    <row r="138" spans="1:13">
      <c r="A138" s="3" t="s">
        <v>343</v>
      </c>
      <c r="B138" s="3" t="s">
        <v>344</v>
      </c>
      <c r="C138" s="3" t="s">
        <v>45</v>
      </c>
      <c r="D138" s="3" t="s">
        <v>345</v>
      </c>
      <c r="E138" s="8">
        <v>144.52000000000001</v>
      </c>
      <c r="F138" s="8">
        <v>147.88</v>
      </c>
      <c r="G138" s="8">
        <v>146.1000061035156</v>
      </c>
      <c r="H138" s="5">
        <f t="shared" si="4"/>
        <v>-1.2036745310281316E-2</v>
      </c>
      <c r="I138" s="5">
        <f t="shared" si="5"/>
        <v>1.0932785105975507E-2</v>
      </c>
      <c r="J138" s="5">
        <v>-3.710534433852497E-2</v>
      </c>
      <c r="K138" s="5">
        <v>8.3499005964214709E-2</v>
      </c>
      <c r="L138" s="5">
        <v>0.72962226640159045</v>
      </c>
      <c r="M138" s="3" t="s">
        <v>283</v>
      </c>
    </row>
    <row r="139" spans="1:13">
      <c r="A139" s="3" t="s">
        <v>346</v>
      </c>
      <c r="B139" s="3" t="s">
        <v>347</v>
      </c>
      <c r="C139" s="3" t="s">
        <v>40</v>
      </c>
      <c r="D139" s="3" t="s">
        <v>41</v>
      </c>
      <c r="E139" s="8">
        <v>143.81</v>
      </c>
      <c r="F139" s="8">
        <v>141.32</v>
      </c>
      <c r="G139" s="8">
        <v>145.3800048828125</v>
      </c>
      <c r="H139" s="5">
        <f t="shared" si="4"/>
        <v>2.8729159940648952E-2</v>
      </c>
      <c r="I139" s="5">
        <f t="shared" si="5"/>
        <v>1.0917216346655323E-2</v>
      </c>
      <c r="J139" s="5">
        <v>-6.9896011583519879E-2</v>
      </c>
      <c r="K139" s="5">
        <v>0.94632206759443338</v>
      </c>
      <c r="L139" s="5">
        <v>0.72763419483101388</v>
      </c>
      <c r="M139" s="3" t="s">
        <v>47</v>
      </c>
    </row>
    <row r="140" spans="1:13">
      <c r="A140" s="3" t="s">
        <v>348</v>
      </c>
      <c r="B140" s="3" t="s">
        <v>349</v>
      </c>
      <c r="C140" s="3" t="s">
        <v>40</v>
      </c>
      <c r="D140" s="3" t="s">
        <v>68</v>
      </c>
      <c r="E140" s="8">
        <v>78.02</v>
      </c>
      <c r="F140" s="8">
        <v>81.59</v>
      </c>
      <c r="G140" s="8">
        <v>78.867500305175795</v>
      </c>
      <c r="H140" s="5">
        <f t="shared" si="4"/>
        <v>-3.3368056070893548E-2</v>
      </c>
      <c r="I140" s="5">
        <f t="shared" si="5"/>
        <v>1.0862603245011426E-2</v>
      </c>
      <c r="J140" s="5">
        <v>-3.3368056070893548E-2</v>
      </c>
      <c r="K140" s="5">
        <v>1.9880715705765412E-2</v>
      </c>
      <c r="L140" s="5">
        <v>0.72564612326043743</v>
      </c>
      <c r="M140" s="3" t="s">
        <v>283</v>
      </c>
    </row>
    <row r="141" spans="1:13">
      <c r="A141" s="3" t="s">
        <v>350</v>
      </c>
      <c r="B141" s="3" t="s">
        <v>351</v>
      </c>
      <c r="C141" s="3" t="s">
        <v>71</v>
      </c>
      <c r="D141" s="3" t="s">
        <v>72</v>
      </c>
      <c r="E141" s="8">
        <v>52.08</v>
      </c>
      <c r="F141" s="8">
        <v>51.67</v>
      </c>
      <c r="G141" s="8">
        <v>52.645000457763672</v>
      </c>
      <c r="H141" s="5">
        <f t="shared" si="4"/>
        <v>1.8869759198058222E-2</v>
      </c>
      <c r="I141" s="5">
        <f t="shared" si="5"/>
        <v>1.0848703106061341E-2</v>
      </c>
      <c r="J141" s="5">
        <v>-3.0763459013318339E-2</v>
      </c>
      <c r="K141" s="5">
        <v>0.81908548707753481</v>
      </c>
      <c r="L141" s="5">
        <v>0.72365805168986086</v>
      </c>
      <c r="M141" s="3" t="s">
        <v>47</v>
      </c>
    </row>
    <row r="142" spans="1:13">
      <c r="A142" s="3" t="s">
        <v>352</v>
      </c>
      <c r="B142" s="3" t="s">
        <v>353</v>
      </c>
      <c r="C142" s="3" t="s">
        <v>80</v>
      </c>
      <c r="D142" s="3" t="s">
        <v>81</v>
      </c>
      <c r="E142" s="8">
        <v>151.71</v>
      </c>
      <c r="F142" s="8">
        <v>144.63999999999999</v>
      </c>
      <c r="G142" s="8">
        <v>153.33000183105469</v>
      </c>
      <c r="H142" s="5">
        <f t="shared" si="4"/>
        <v>6.0080211774437897E-2</v>
      </c>
      <c r="I142" s="5">
        <f t="shared" si="5"/>
        <v>1.067827981711611E-2</v>
      </c>
      <c r="J142" s="5">
        <v>-0.1096337334564481</v>
      </c>
      <c r="K142" s="5">
        <v>0.99801192842942343</v>
      </c>
      <c r="L142" s="5">
        <v>0.72166998011928429</v>
      </c>
      <c r="M142" s="3" t="s">
        <v>47</v>
      </c>
    </row>
    <row r="143" spans="1:13">
      <c r="A143" s="3" t="s">
        <v>354</v>
      </c>
      <c r="B143" s="3" t="s">
        <v>355</v>
      </c>
      <c r="C143" s="3" t="s">
        <v>164</v>
      </c>
      <c r="D143" s="3" t="s">
        <v>165</v>
      </c>
      <c r="E143" s="8">
        <v>235.73</v>
      </c>
      <c r="F143" s="8">
        <v>240.42</v>
      </c>
      <c r="G143" s="8">
        <v>238.22999572753909</v>
      </c>
      <c r="H143" s="5">
        <f t="shared" si="4"/>
        <v>-9.1090769173151065E-3</v>
      </c>
      <c r="I143" s="5">
        <f t="shared" si="5"/>
        <v>1.0605335458105047E-2</v>
      </c>
      <c r="J143" s="5">
        <v>-2.2023513826792459E-2</v>
      </c>
      <c r="K143" s="5">
        <v>0.12922465208747519</v>
      </c>
      <c r="L143" s="5">
        <v>0.71968190854870773</v>
      </c>
      <c r="M143" s="3" t="s">
        <v>63</v>
      </c>
    </row>
    <row r="144" spans="1:13">
      <c r="A144" s="3" t="s">
        <v>356</v>
      </c>
      <c r="B144" s="3" t="s">
        <v>357</v>
      </c>
      <c r="C144" s="3" t="s">
        <v>50</v>
      </c>
      <c r="D144" s="3" t="s">
        <v>50</v>
      </c>
      <c r="E144" s="8">
        <v>62.62</v>
      </c>
      <c r="F144" s="8">
        <v>62.77</v>
      </c>
      <c r="G144" s="8">
        <v>63.259998321533203</v>
      </c>
      <c r="H144" s="5">
        <f t="shared" si="4"/>
        <v>7.8062501439095655E-3</v>
      </c>
      <c r="I144" s="5">
        <f t="shared" si="5"/>
        <v>1.0220350072392304E-2</v>
      </c>
      <c r="J144" s="5">
        <v>-2.5613163613784521E-2</v>
      </c>
      <c r="K144" s="5">
        <v>0.58051689860834987</v>
      </c>
      <c r="L144" s="5">
        <v>0.71769383697813116</v>
      </c>
      <c r="M144" s="3" t="s">
        <v>63</v>
      </c>
    </row>
    <row r="145" spans="1:13">
      <c r="A145" s="3" t="s">
        <v>358</v>
      </c>
      <c r="B145" s="3" t="s">
        <v>359</v>
      </c>
      <c r="C145" s="3" t="s">
        <v>61</v>
      </c>
      <c r="D145" s="3" t="s">
        <v>77</v>
      </c>
      <c r="E145" s="8">
        <v>76.680000000000007</v>
      </c>
      <c r="F145" s="8">
        <v>77.25</v>
      </c>
      <c r="G145" s="8">
        <v>77.459999084472656</v>
      </c>
      <c r="H145" s="5">
        <f t="shared" si="4"/>
        <v>2.7184347504551898E-3</v>
      </c>
      <c r="I145" s="5">
        <f t="shared" si="5"/>
        <v>1.0172132035376258E-2</v>
      </c>
      <c r="J145" s="5">
        <v>-3.4864273768172027E-2</v>
      </c>
      <c r="K145" s="5">
        <v>0.44930417495029817</v>
      </c>
      <c r="L145" s="5">
        <v>0.71570576540755471</v>
      </c>
      <c r="M145" s="3" t="s">
        <v>63</v>
      </c>
    </row>
    <row r="146" spans="1:13">
      <c r="A146" s="3" t="s">
        <v>360</v>
      </c>
      <c r="B146" s="3" t="s">
        <v>361</v>
      </c>
      <c r="C146" s="3" t="s">
        <v>90</v>
      </c>
      <c r="D146" s="3" t="s">
        <v>90</v>
      </c>
      <c r="E146" s="8">
        <v>48.19</v>
      </c>
      <c r="F146" s="8">
        <v>49.05</v>
      </c>
      <c r="G146" s="8">
        <v>48.669998168945313</v>
      </c>
      <c r="H146" s="5">
        <f t="shared" si="4"/>
        <v>-7.7472340683931717E-3</v>
      </c>
      <c r="I146" s="5">
        <f t="shared" si="5"/>
        <v>9.9605347363627139E-3</v>
      </c>
      <c r="J146" s="5">
        <v>-5.0101419878296083E-2</v>
      </c>
      <c r="K146" s="5">
        <v>0.14711729622266401</v>
      </c>
      <c r="L146" s="5">
        <v>0.71371769383697814</v>
      </c>
      <c r="M146" s="3" t="s">
        <v>63</v>
      </c>
    </row>
    <row r="147" spans="1:13">
      <c r="A147" s="3" t="s">
        <v>362</v>
      </c>
      <c r="B147" s="3" t="s">
        <v>363</v>
      </c>
      <c r="C147" s="3" t="s">
        <v>50</v>
      </c>
      <c r="D147" s="3" t="s">
        <v>50</v>
      </c>
      <c r="E147" s="8">
        <v>66.06</v>
      </c>
      <c r="F147" s="8">
        <v>65.17</v>
      </c>
      <c r="G147" s="8">
        <v>66.699996948242187</v>
      </c>
      <c r="H147" s="5">
        <f t="shared" si="4"/>
        <v>2.347701316928319E-2</v>
      </c>
      <c r="I147" s="5">
        <f t="shared" si="5"/>
        <v>9.6881160799604515E-3</v>
      </c>
      <c r="J147" s="5">
        <v>-8.1497797356828161E-2</v>
      </c>
      <c r="K147" s="5">
        <v>0.88469184890656061</v>
      </c>
      <c r="L147" s="5">
        <v>0.71172962226640157</v>
      </c>
      <c r="M147" s="3" t="s">
        <v>47</v>
      </c>
    </row>
    <row r="148" spans="1:13">
      <c r="A148" s="3" t="s">
        <v>364</v>
      </c>
      <c r="B148" s="3" t="s">
        <v>365</v>
      </c>
      <c r="C148" s="3" t="s">
        <v>50</v>
      </c>
      <c r="D148" s="3" t="s">
        <v>50</v>
      </c>
      <c r="E148" s="8">
        <v>134.28</v>
      </c>
      <c r="F148" s="8">
        <v>135.54</v>
      </c>
      <c r="G148" s="8">
        <v>135.55000305175781</v>
      </c>
      <c r="H148" s="5">
        <f t="shared" si="4"/>
        <v>7.380147379243418E-5</v>
      </c>
      <c r="I148" s="5">
        <f t="shared" si="5"/>
        <v>9.4578719970048741E-3</v>
      </c>
      <c r="J148" s="5">
        <v>-7.0296684118673625E-2</v>
      </c>
      <c r="K148" s="5">
        <v>0.36580516898608351</v>
      </c>
      <c r="L148" s="5">
        <v>0.70974155069582501</v>
      </c>
      <c r="M148" s="3" t="s">
        <v>63</v>
      </c>
    </row>
    <row r="149" spans="1:13">
      <c r="A149" s="3" t="s">
        <v>366</v>
      </c>
      <c r="B149" s="3" t="s">
        <v>367</v>
      </c>
      <c r="C149" s="3" t="s">
        <v>90</v>
      </c>
      <c r="D149" s="3" t="s">
        <v>90</v>
      </c>
      <c r="E149" s="8">
        <v>60.09</v>
      </c>
      <c r="F149" s="8">
        <v>60.95</v>
      </c>
      <c r="G149" s="8">
        <v>60.630001068115227</v>
      </c>
      <c r="H149" s="5">
        <f t="shared" si="4"/>
        <v>-5.2501875616862703E-3</v>
      </c>
      <c r="I149" s="5">
        <f t="shared" si="5"/>
        <v>8.986537994928101E-3</v>
      </c>
      <c r="J149" s="5">
        <v>-5.0552665799740049E-2</v>
      </c>
      <c r="K149" s="5">
        <v>0.2047713717693837</v>
      </c>
      <c r="L149" s="5">
        <v>0.70775347912524855</v>
      </c>
      <c r="M149" s="3" t="s">
        <v>63</v>
      </c>
    </row>
    <row r="150" spans="1:13">
      <c r="A150" s="3" t="s">
        <v>368</v>
      </c>
      <c r="B150" s="3" t="s">
        <v>369</v>
      </c>
      <c r="C150" s="3" t="s">
        <v>40</v>
      </c>
      <c r="D150" s="3" t="s">
        <v>161</v>
      </c>
      <c r="E150" s="8">
        <v>226.02</v>
      </c>
      <c r="F150" s="8">
        <v>222.4</v>
      </c>
      <c r="G150" s="8">
        <v>228.0299987792969</v>
      </c>
      <c r="H150" s="5">
        <f t="shared" si="4"/>
        <v>2.5314742712665872E-2</v>
      </c>
      <c r="I150" s="5">
        <f t="shared" si="5"/>
        <v>8.8930129160997851E-3</v>
      </c>
      <c r="J150" s="5">
        <v>-1.6016281744978381E-2</v>
      </c>
      <c r="K150" s="5">
        <v>0.90457256461232605</v>
      </c>
      <c r="L150" s="5">
        <v>0.70576540755467199</v>
      </c>
      <c r="M150" s="3" t="s">
        <v>47</v>
      </c>
    </row>
    <row r="151" spans="1:13">
      <c r="A151" s="3" t="s">
        <v>370</v>
      </c>
      <c r="B151" s="3" t="s">
        <v>371</v>
      </c>
      <c r="C151" s="3" t="s">
        <v>95</v>
      </c>
      <c r="D151" s="3" t="s">
        <v>181</v>
      </c>
      <c r="E151" s="8">
        <v>99.01</v>
      </c>
      <c r="F151" s="8">
        <v>99.43</v>
      </c>
      <c r="G151" s="8">
        <v>99.879997253417969</v>
      </c>
      <c r="H151" s="5">
        <f t="shared" si="4"/>
        <v>4.525769419872816E-3</v>
      </c>
      <c r="I151" s="5">
        <f t="shared" si="5"/>
        <v>8.7869634725579182E-3</v>
      </c>
      <c r="J151" s="5">
        <v>-3.3346295936223957E-2</v>
      </c>
      <c r="K151" s="5">
        <v>0.50695825049701793</v>
      </c>
      <c r="L151" s="5">
        <v>0.70377733598409542</v>
      </c>
      <c r="M151" s="3" t="s">
        <v>63</v>
      </c>
    </row>
    <row r="152" spans="1:13">
      <c r="A152" s="3" t="s">
        <v>372</v>
      </c>
      <c r="B152" s="3" t="s">
        <v>373</v>
      </c>
      <c r="C152" s="3" t="s">
        <v>71</v>
      </c>
      <c r="D152" s="3" t="s">
        <v>72</v>
      </c>
      <c r="E152" s="8">
        <v>91.74</v>
      </c>
      <c r="F152" s="8">
        <v>90.06</v>
      </c>
      <c r="G152" s="8">
        <v>92.459999084472656</v>
      </c>
      <c r="H152" s="5">
        <f t="shared" si="4"/>
        <v>2.6648890567095851E-2</v>
      </c>
      <c r="I152" s="5">
        <f t="shared" si="5"/>
        <v>7.8482568614852699E-3</v>
      </c>
      <c r="J152" s="5">
        <v>-4.4962884411452797E-2</v>
      </c>
      <c r="K152" s="5">
        <v>0.92047713717693835</v>
      </c>
      <c r="L152" s="5">
        <v>0.70178926441351885</v>
      </c>
      <c r="M152" s="3" t="s">
        <v>47</v>
      </c>
    </row>
    <row r="153" spans="1:13">
      <c r="A153" s="3" t="s">
        <v>374</v>
      </c>
      <c r="B153" s="3" t="s">
        <v>375</v>
      </c>
      <c r="C153" s="3" t="s">
        <v>57</v>
      </c>
      <c r="D153" s="3" t="s">
        <v>376</v>
      </c>
      <c r="E153" s="8">
        <v>351.12</v>
      </c>
      <c r="F153" s="8">
        <v>356.09</v>
      </c>
      <c r="G153" s="8">
        <v>353.6099853515625</v>
      </c>
      <c r="H153" s="5">
        <f t="shared" si="4"/>
        <v>-6.9645725755776988E-3</v>
      </c>
      <c r="I153" s="5">
        <f t="shared" si="5"/>
        <v>7.0915508987312581E-3</v>
      </c>
      <c r="J153" s="5">
        <v>-4.6960260155431872E-2</v>
      </c>
      <c r="K153" s="5">
        <v>0.15904572564612329</v>
      </c>
      <c r="L153" s="5">
        <v>0.6998011928429424</v>
      </c>
      <c r="M153" s="3" t="s">
        <v>63</v>
      </c>
    </row>
    <row r="154" spans="1:13">
      <c r="A154" s="3" t="s">
        <v>377</v>
      </c>
      <c r="B154" s="3" t="s">
        <v>378</v>
      </c>
      <c r="C154" s="3" t="s">
        <v>71</v>
      </c>
      <c r="D154" s="3" t="s">
        <v>168</v>
      </c>
      <c r="E154" s="8">
        <v>357.26</v>
      </c>
      <c r="F154" s="8">
        <v>354.95</v>
      </c>
      <c r="G154" s="8">
        <v>359.75</v>
      </c>
      <c r="H154" s="5">
        <f t="shared" si="4"/>
        <v>1.3523031412875142E-2</v>
      </c>
      <c r="I154" s="5">
        <f t="shared" si="5"/>
        <v>6.9697139338298353E-3</v>
      </c>
      <c r="J154" s="5">
        <v>-1.5982757655488952E-2</v>
      </c>
      <c r="K154" s="5">
        <v>0.72166998011928429</v>
      </c>
      <c r="L154" s="5">
        <v>0.69781312127236583</v>
      </c>
      <c r="M154" s="3" t="s">
        <v>47</v>
      </c>
    </row>
    <row r="155" spans="1:13">
      <c r="A155" s="3" t="s">
        <v>379</v>
      </c>
      <c r="B155" s="3" t="s">
        <v>380</v>
      </c>
      <c r="C155" s="3" t="s">
        <v>57</v>
      </c>
      <c r="D155" s="3" t="s">
        <v>338</v>
      </c>
      <c r="E155" s="8">
        <v>93.33</v>
      </c>
      <c r="F155" s="8">
        <v>93.2</v>
      </c>
      <c r="G155" s="8">
        <v>93.949996948242187</v>
      </c>
      <c r="H155" s="5">
        <f t="shared" si="4"/>
        <v>8.0471775562465098E-3</v>
      </c>
      <c r="I155" s="5">
        <f t="shared" si="5"/>
        <v>6.6430616976556056E-3</v>
      </c>
      <c r="J155" s="5">
        <v>-3.6592929501757188E-2</v>
      </c>
      <c r="K155" s="5">
        <v>0.58648111332007957</v>
      </c>
      <c r="L155" s="5">
        <v>0.69582504970178927</v>
      </c>
      <c r="M155" s="3" t="s">
        <v>63</v>
      </c>
    </row>
    <row r="156" spans="1:13">
      <c r="A156" s="3" t="s">
        <v>381</v>
      </c>
      <c r="B156" s="3" t="s">
        <v>382</v>
      </c>
      <c r="C156" s="3" t="s">
        <v>71</v>
      </c>
      <c r="D156" s="3" t="s">
        <v>72</v>
      </c>
      <c r="E156" s="8">
        <v>32.21</v>
      </c>
      <c r="F156" s="8">
        <v>31.99</v>
      </c>
      <c r="G156" s="8">
        <v>32.419998168945313</v>
      </c>
      <c r="H156" s="5">
        <f t="shared" si="4"/>
        <v>1.3441643293070182E-2</v>
      </c>
      <c r="I156" s="5">
        <f t="shared" si="5"/>
        <v>6.5196575270198842E-3</v>
      </c>
      <c r="J156" s="5">
        <v>-3.9627739417592463E-2</v>
      </c>
      <c r="K156" s="5">
        <v>0.71968190854870773</v>
      </c>
      <c r="L156" s="5">
        <v>0.6938369781312127</v>
      </c>
      <c r="M156" s="3" t="s">
        <v>47</v>
      </c>
    </row>
    <row r="157" spans="1:13">
      <c r="A157" s="3" t="s">
        <v>383</v>
      </c>
      <c r="B157" s="3" t="s">
        <v>384</v>
      </c>
      <c r="C157" s="3" t="s">
        <v>251</v>
      </c>
      <c r="D157" s="3" t="s">
        <v>251</v>
      </c>
      <c r="E157" s="8">
        <v>14.7</v>
      </c>
      <c r="F157" s="8">
        <v>14.77</v>
      </c>
      <c r="G157" s="8">
        <v>14.795000076293951</v>
      </c>
      <c r="H157" s="5">
        <f t="shared" si="4"/>
        <v>1.6926253414997205E-3</v>
      </c>
      <c r="I157" s="5">
        <f t="shared" si="5"/>
        <v>6.4625902240782462E-3</v>
      </c>
      <c r="J157" s="5">
        <v>-2.7081922816519781E-3</v>
      </c>
      <c r="K157" s="5">
        <v>0.41153081510934392</v>
      </c>
      <c r="L157" s="5">
        <v>0.69184890656063613</v>
      </c>
      <c r="M157" s="3" t="s">
        <v>63</v>
      </c>
    </row>
    <row r="158" spans="1:13">
      <c r="A158" s="3" t="s">
        <v>385</v>
      </c>
      <c r="B158" s="3" t="s">
        <v>386</v>
      </c>
      <c r="C158" s="3" t="s">
        <v>45</v>
      </c>
      <c r="D158" s="3" t="s">
        <v>254</v>
      </c>
      <c r="E158" s="8">
        <v>221.04</v>
      </c>
      <c r="F158" s="8">
        <v>223.29</v>
      </c>
      <c r="G158" s="8">
        <v>222.44000244140619</v>
      </c>
      <c r="H158" s="5">
        <f t="shared" si="4"/>
        <v>-3.8066978305960619E-3</v>
      </c>
      <c r="I158" s="5">
        <f t="shared" si="5"/>
        <v>6.3337063038644281E-3</v>
      </c>
      <c r="J158" s="5">
        <v>-1.7079074771382489E-2</v>
      </c>
      <c r="K158" s="5">
        <v>0.23856858846918491</v>
      </c>
      <c r="L158" s="5">
        <v>0.68986083499005968</v>
      </c>
      <c r="M158" s="3" t="s">
        <v>63</v>
      </c>
    </row>
    <row r="159" spans="1:13">
      <c r="A159" s="3" t="s">
        <v>387</v>
      </c>
      <c r="B159" s="3" t="s">
        <v>388</v>
      </c>
      <c r="C159" s="3" t="s">
        <v>45</v>
      </c>
      <c r="D159" s="3" t="s">
        <v>345</v>
      </c>
      <c r="E159" s="8">
        <v>186.44</v>
      </c>
      <c r="F159" s="8">
        <v>187.7</v>
      </c>
      <c r="G159" s="8">
        <v>187.57000732421881</v>
      </c>
      <c r="H159" s="5">
        <f t="shared" si="4"/>
        <v>-6.925555449184273E-4</v>
      </c>
      <c r="I159" s="5">
        <f t="shared" si="5"/>
        <v>6.0609704152478905E-3</v>
      </c>
      <c r="J159" s="5">
        <v>-1.7803805182914582E-2</v>
      </c>
      <c r="K159" s="5">
        <v>0.34791252485089458</v>
      </c>
      <c r="L159" s="5">
        <v>0.68787276341948311</v>
      </c>
      <c r="M159" s="3" t="s">
        <v>63</v>
      </c>
    </row>
    <row r="160" spans="1:13">
      <c r="A160" s="3" t="s">
        <v>389</v>
      </c>
      <c r="B160" s="3" t="s">
        <v>390</v>
      </c>
      <c r="C160" s="3" t="s">
        <v>40</v>
      </c>
      <c r="D160" s="3" t="s">
        <v>68</v>
      </c>
      <c r="E160" s="8">
        <v>480.84</v>
      </c>
      <c r="F160" s="8">
        <v>491.24</v>
      </c>
      <c r="G160" s="8">
        <v>483.73001098632812</v>
      </c>
      <c r="H160" s="5">
        <f t="shared" si="4"/>
        <v>-1.5287820645044969E-2</v>
      </c>
      <c r="I160" s="5">
        <f t="shared" si="5"/>
        <v>6.010338129789794E-3</v>
      </c>
      <c r="J160" s="5">
        <v>-1.5287820645044969E-2</v>
      </c>
      <c r="K160" s="5">
        <v>6.1630218687872773E-2</v>
      </c>
      <c r="L160" s="5">
        <v>0.68588469184890655</v>
      </c>
      <c r="M160" s="3" t="s">
        <v>283</v>
      </c>
    </row>
    <row r="161" spans="1:13">
      <c r="A161" s="3" t="s">
        <v>391</v>
      </c>
      <c r="B161" s="3" t="s">
        <v>392</v>
      </c>
      <c r="C161" s="3" t="s">
        <v>61</v>
      </c>
      <c r="D161" s="3" t="s">
        <v>77</v>
      </c>
      <c r="E161" s="8">
        <v>273.41000000000003</v>
      </c>
      <c r="F161" s="8">
        <v>271.19</v>
      </c>
      <c r="G161" s="8">
        <v>275</v>
      </c>
      <c r="H161" s="5">
        <f t="shared" si="4"/>
        <v>1.4049190604373374E-2</v>
      </c>
      <c r="I161" s="5">
        <f t="shared" si="5"/>
        <v>5.815442010167704E-3</v>
      </c>
      <c r="J161" s="5">
        <v>-2.79433817343917E-2</v>
      </c>
      <c r="K161" s="5">
        <v>0.73558648111332003</v>
      </c>
      <c r="L161" s="5">
        <v>0.68389662027832998</v>
      </c>
      <c r="M161" s="3" t="s">
        <v>47</v>
      </c>
    </row>
    <row r="162" spans="1:13">
      <c r="A162" s="3" t="s">
        <v>393</v>
      </c>
      <c r="B162" s="3" t="s">
        <v>394</v>
      </c>
      <c r="C162" s="3" t="s">
        <v>40</v>
      </c>
      <c r="D162" s="3" t="s">
        <v>161</v>
      </c>
      <c r="E162" s="8">
        <v>937.10500000000002</v>
      </c>
      <c r="F162" s="8">
        <v>933.44</v>
      </c>
      <c r="G162" s="8">
        <v>942.3699951171875</v>
      </c>
      <c r="H162" s="5">
        <f t="shared" si="4"/>
        <v>9.5667585674359401E-3</v>
      </c>
      <c r="I162" s="5">
        <f t="shared" si="5"/>
        <v>5.6183619948537711E-3</v>
      </c>
      <c r="J162" s="5">
        <v>-6.5583529194420898E-2</v>
      </c>
      <c r="K162" s="5">
        <v>0.62823061630218691</v>
      </c>
      <c r="L162" s="5">
        <v>0.68190854870775353</v>
      </c>
      <c r="M162" s="3" t="s">
        <v>47</v>
      </c>
    </row>
    <row r="163" spans="1:13">
      <c r="A163" s="3" t="s">
        <v>395</v>
      </c>
      <c r="B163" s="3" t="s">
        <v>396</v>
      </c>
      <c r="C163" s="3" t="s">
        <v>57</v>
      </c>
      <c r="D163" s="3" t="s">
        <v>376</v>
      </c>
      <c r="E163" s="8">
        <v>84.96</v>
      </c>
      <c r="F163" s="8">
        <v>85.63</v>
      </c>
      <c r="G163" s="8">
        <v>85.430000305175781</v>
      </c>
      <c r="H163" s="5">
        <f t="shared" si="4"/>
        <v>-2.3356264723135567E-3</v>
      </c>
      <c r="I163" s="5">
        <f t="shared" si="5"/>
        <v>5.5320186579070896E-3</v>
      </c>
      <c r="J163" s="5">
        <v>-2.8431703569023359E-2</v>
      </c>
      <c r="K163" s="5">
        <v>0.27833001988071571</v>
      </c>
      <c r="L163" s="5">
        <v>0.67992047713717696</v>
      </c>
      <c r="M163" s="3" t="s">
        <v>63</v>
      </c>
    </row>
    <row r="164" spans="1:13">
      <c r="A164" s="3" t="s">
        <v>397</v>
      </c>
      <c r="B164" s="3" t="s">
        <v>398</v>
      </c>
      <c r="C164" s="3" t="s">
        <v>71</v>
      </c>
      <c r="D164" s="3" t="s">
        <v>146</v>
      </c>
      <c r="E164" s="8">
        <v>335.46</v>
      </c>
      <c r="F164" s="8">
        <v>334.47</v>
      </c>
      <c r="G164" s="8">
        <v>337.135009765625</v>
      </c>
      <c r="H164" s="5">
        <f t="shared" si="4"/>
        <v>7.9678588980325316E-3</v>
      </c>
      <c r="I164" s="5">
        <f t="shared" si="5"/>
        <v>4.9931728540661968E-3</v>
      </c>
      <c r="J164" s="5">
        <v>-4.6414825374198047E-2</v>
      </c>
      <c r="K164" s="5">
        <v>0.58449304174950301</v>
      </c>
      <c r="L164" s="5">
        <v>0.67793240556660039</v>
      </c>
      <c r="M164" s="3" t="s">
        <v>63</v>
      </c>
    </row>
    <row r="165" spans="1:13">
      <c r="A165" s="3" t="s">
        <v>399</v>
      </c>
      <c r="B165" s="3" t="s">
        <v>400</v>
      </c>
      <c r="C165" s="3" t="s">
        <v>71</v>
      </c>
      <c r="D165" s="3" t="s">
        <v>146</v>
      </c>
      <c r="E165" s="8">
        <v>98.53</v>
      </c>
      <c r="F165" s="8">
        <v>98.61</v>
      </c>
      <c r="G165" s="8">
        <v>98.989997863769531</v>
      </c>
      <c r="H165" s="5">
        <f t="shared" si="4"/>
        <v>3.8535428837798147E-3</v>
      </c>
      <c r="I165" s="5">
        <f t="shared" si="5"/>
        <v>4.6686071629913339E-3</v>
      </c>
      <c r="J165" s="5">
        <v>-3.035396480126562E-2</v>
      </c>
      <c r="K165" s="5">
        <v>0.49502982107355858</v>
      </c>
      <c r="L165" s="5">
        <v>0.67594433399602383</v>
      </c>
      <c r="M165" s="3" t="s">
        <v>63</v>
      </c>
    </row>
    <row r="166" spans="1:13">
      <c r="A166" s="3" t="s">
        <v>401</v>
      </c>
      <c r="B166" s="3" t="s">
        <v>402</v>
      </c>
      <c r="C166" s="3" t="s">
        <v>40</v>
      </c>
      <c r="D166" s="3" t="s">
        <v>68</v>
      </c>
      <c r="E166" s="8">
        <v>203.57</v>
      </c>
      <c r="F166" s="8">
        <v>208</v>
      </c>
      <c r="G166" s="8">
        <v>204.47999572753909</v>
      </c>
      <c r="H166" s="5">
        <f t="shared" si="4"/>
        <v>-1.6923097463754422E-2</v>
      </c>
      <c r="I166" s="5">
        <f t="shared" si="5"/>
        <v>4.4701858207942813E-3</v>
      </c>
      <c r="J166" s="5">
        <v>-1.6923097463754418E-2</v>
      </c>
      <c r="K166" s="5">
        <v>5.3677932405566599E-2</v>
      </c>
      <c r="L166" s="5">
        <v>0.67395626242544726</v>
      </c>
      <c r="M166" s="3" t="s">
        <v>283</v>
      </c>
    </row>
    <row r="167" spans="1:13">
      <c r="A167" s="3" t="s">
        <v>403</v>
      </c>
      <c r="B167" s="3" t="s">
        <v>404</v>
      </c>
      <c r="C167" s="3" t="s">
        <v>61</v>
      </c>
      <c r="D167" s="3" t="s">
        <v>62</v>
      </c>
      <c r="E167" s="8">
        <v>177.27</v>
      </c>
      <c r="F167" s="8">
        <v>176.14</v>
      </c>
      <c r="G167" s="8">
        <v>178.05999755859381</v>
      </c>
      <c r="H167" s="5">
        <f t="shared" si="4"/>
        <v>1.0900406259758189E-2</v>
      </c>
      <c r="I167" s="5">
        <f t="shared" si="5"/>
        <v>4.4564650453760013E-3</v>
      </c>
      <c r="J167" s="5">
        <v>-2.5846800974097969E-2</v>
      </c>
      <c r="K167" s="5">
        <v>0.66600397614314111</v>
      </c>
      <c r="L167" s="5">
        <v>0.67196819085487081</v>
      </c>
      <c r="M167" s="3" t="s">
        <v>47</v>
      </c>
    </row>
    <row r="168" spans="1:13">
      <c r="A168" s="3" t="s">
        <v>405</v>
      </c>
      <c r="B168" s="3" t="s">
        <v>406</v>
      </c>
      <c r="C168" s="3" t="s">
        <v>95</v>
      </c>
      <c r="D168" s="3" t="s">
        <v>96</v>
      </c>
      <c r="E168" s="8">
        <v>131.84</v>
      </c>
      <c r="F168" s="8">
        <v>131.71</v>
      </c>
      <c r="G168" s="8">
        <v>132.41999816894531</v>
      </c>
      <c r="H168" s="5">
        <f t="shared" si="4"/>
        <v>5.390617029423117E-3</v>
      </c>
      <c r="I168" s="5">
        <f t="shared" si="5"/>
        <v>4.3992579561993317E-3</v>
      </c>
      <c r="J168" s="5">
        <v>-7.4296160877513673E-2</v>
      </c>
      <c r="K168" s="5">
        <v>0.52882703777335982</v>
      </c>
      <c r="L168" s="5">
        <v>0.66998011928429424</v>
      </c>
      <c r="M168" s="3" t="s">
        <v>63</v>
      </c>
    </row>
    <row r="169" spans="1:13">
      <c r="A169" s="3" t="s">
        <v>407</v>
      </c>
      <c r="B169" s="3" t="s">
        <v>408</v>
      </c>
      <c r="C169" s="3" t="s">
        <v>71</v>
      </c>
      <c r="D169" s="3" t="s">
        <v>146</v>
      </c>
      <c r="E169" s="8">
        <v>116.51</v>
      </c>
      <c r="F169" s="8">
        <v>116.02</v>
      </c>
      <c r="G169" s="8">
        <v>117</v>
      </c>
      <c r="H169" s="5">
        <f t="shared" si="4"/>
        <v>8.4468195138769353E-3</v>
      </c>
      <c r="I169" s="5">
        <f t="shared" si="5"/>
        <v>4.2056475838982976E-3</v>
      </c>
      <c r="J169" s="5">
        <v>-1.9881556683587261E-2</v>
      </c>
      <c r="K169" s="5">
        <v>0.59840954274353875</v>
      </c>
      <c r="L169" s="5">
        <v>0.66799204771371767</v>
      </c>
      <c r="M169" s="3" t="s">
        <v>63</v>
      </c>
    </row>
    <row r="170" spans="1:13">
      <c r="A170" s="3" t="s">
        <v>409</v>
      </c>
      <c r="B170" s="3" t="s">
        <v>410</v>
      </c>
      <c r="C170" s="3" t="s">
        <v>45</v>
      </c>
      <c r="D170" s="3" t="s">
        <v>345</v>
      </c>
      <c r="E170" s="8">
        <v>102.86</v>
      </c>
      <c r="F170" s="8">
        <v>102.66</v>
      </c>
      <c r="G170" s="8">
        <v>103.23000335693359</v>
      </c>
      <c r="H170" s="5">
        <f t="shared" si="4"/>
        <v>5.5523412909954661E-3</v>
      </c>
      <c r="I170" s="5">
        <f t="shared" si="5"/>
        <v>3.5971549381061951E-3</v>
      </c>
      <c r="J170" s="5">
        <v>-2.8576835730507288E-2</v>
      </c>
      <c r="K170" s="5">
        <v>0.53081510934393639</v>
      </c>
      <c r="L170" s="5">
        <v>0.66600397614314111</v>
      </c>
      <c r="M170" s="3" t="s">
        <v>63</v>
      </c>
    </row>
    <row r="171" spans="1:13">
      <c r="A171" s="3" t="s">
        <v>411</v>
      </c>
      <c r="B171" s="3" t="s">
        <v>412</v>
      </c>
      <c r="C171" s="3" t="s">
        <v>71</v>
      </c>
      <c r="D171" s="3" t="s">
        <v>146</v>
      </c>
      <c r="E171" s="8">
        <v>137.53</v>
      </c>
      <c r="F171" s="8">
        <v>137.13</v>
      </c>
      <c r="G171" s="8">
        <v>137.94000244140619</v>
      </c>
      <c r="H171" s="5">
        <f t="shared" si="4"/>
        <v>5.9068215664419554E-3</v>
      </c>
      <c r="I171" s="5">
        <f t="shared" si="5"/>
        <v>2.9811854970274165E-3</v>
      </c>
      <c r="J171" s="5">
        <v>-1.951951951951969E-2</v>
      </c>
      <c r="K171" s="5">
        <v>0.53677932405566597</v>
      </c>
      <c r="L171" s="5">
        <v>0.66401590457256465</v>
      </c>
      <c r="M171" s="3" t="s">
        <v>63</v>
      </c>
    </row>
    <row r="172" spans="1:13">
      <c r="A172" s="3" t="s">
        <v>413</v>
      </c>
      <c r="B172" s="3" t="s">
        <v>414</v>
      </c>
      <c r="C172" s="3" t="s">
        <v>71</v>
      </c>
      <c r="D172" s="3" t="s">
        <v>72</v>
      </c>
      <c r="E172" s="8">
        <v>214.23</v>
      </c>
      <c r="F172" s="8">
        <v>211.04</v>
      </c>
      <c r="G172" s="8">
        <v>214.72999572753909</v>
      </c>
      <c r="H172" s="5">
        <f t="shared" si="4"/>
        <v>1.7484816752933563E-2</v>
      </c>
      <c r="I172" s="5">
        <f t="shared" si="5"/>
        <v>2.3339202144381233E-3</v>
      </c>
      <c r="J172" s="5">
        <v>-3.1648228539420287E-2</v>
      </c>
      <c r="K172" s="5">
        <v>0.79920477137176937</v>
      </c>
      <c r="L172" s="5">
        <v>0.66202783300198809</v>
      </c>
      <c r="M172" s="3" t="s">
        <v>47</v>
      </c>
    </row>
    <row r="173" spans="1:13">
      <c r="A173" s="3" t="s">
        <v>415</v>
      </c>
      <c r="B173" s="3" t="s">
        <v>416</v>
      </c>
      <c r="C173" s="3" t="s">
        <v>61</v>
      </c>
      <c r="D173" s="3" t="s">
        <v>62</v>
      </c>
      <c r="E173" s="8">
        <v>89.88</v>
      </c>
      <c r="F173" s="8">
        <v>90.14</v>
      </c>
      <c r="G173" s="8">
        <v>90.080001831054687</v>
      </c>
      <c r="H173" s="5">
        <f t="shared" si="4"/>
        <v>-6.656109268394772E-4</v>
      </c>
      <c r="I173" s="5">
        <f t="shared" si="5"/>
        <v>2.2252095132919703E-3</v>
      </c>
      <c r="J173" s="5">
        <v>-3.66038553173057E-2</v>
      </c>
      <c r="K173" s="5">
        <v>0.3499005964214712</v>
      </c>
      <c r="L173" s="5">
        <v>0.66003976143141152</v>
      </c>
      <c r="M173" s="3" t="s">
        <v>63</v>
      </c>
    </row>
    <row r="174" spans="1:13">
      <c r="A174" s="3" t="s">
        <v>417</v>
      </c>
      <c r="B174" s="3" t="s">
        <v>418</v>
      </c>
      <c r="C174" s="3" t="s">
        <v>71</v>
      </c>
      <c r="D174" s="3" t="s">
        <v>72</v>
      </c>
      <c r="E174" s="8">
        <v>96.35</v>
      </c>
      <c r="F174" s="8">
        <v>97.54</v>
      </c>
      <c r="G174" s="8">
        <v>96.55999755859375</v>
      </c>
      <c r="H174" s="5">
        <f t="shared" si="4"/>
        <v>-1.0047185169225537E-2</v>
      </c>
      <c r="I174" s="5">
        <f t="shared" si="5"/>
        <v>2.1795283714971525E-3</v>
      </c>
      <c r="J174" s="5">
        <v>-2.925507631855084E-2</v>
      </c>
      <c r="K174" s="5">
        <v>0.1133200795228628</v>
      </c>
      <c r="L174" s="5">
        <v>0.65805168986083495</v>
      </c>
      <c r="M174" s="3" t="s">
        <v>283</v>
      </c>
    </row>
    <row r="175" spans="1:13">
      <c r="A175" s="3" t="s">
        <v>419</v>
      </c>
      <c r="B175" s="3" t="s">
        <v>420</v>
      </c>
      <c r="C175" s="3" t="s">
        <v>71</v>
      </c>
      <c r="D175" s="3" t="s">
        <v>146</v>
      </c>
      <c r="E175" s="8">
        <v>259.74</v>
      </c>
      <c r="F175" s="8">
        <v>257.87</v>
      </c>
      <c r="G175" s="8">
        <v>260.239990234375</v>
      </c>
      <c r="H175" s="5">
        <f t="shared" si="4"/>
        <v>9.1906396028036408E-3</v>
      </c>
      <c r="I175" s="5">
        <f t="shared" si="5"/>
        <v>1.924964327308043E-3</v>
      </c>
      <c r="J175" s="5">
        <v>-2.2753522753522711E-2</v>
      </c>
      <c r="K175" s="5">
        <v>0.61829025844930419</v>
      </c>
      <c r="L175" s="5">
        <v>0.6560636182902585</v>
      </c>
      <c r="M175" s="3" t="s">
        <v>63</v>
      </c>
    </row>
    <row r="176" spans="1:13">
      <c r="A176" s="3" t="s">
        <v>421</v>
      </c>
      <c r="B176" s="3" t="s">
        <v>422</v>
      </c>
      <c r="C176" s="3" t="s">
        <v>71</v>
      </c>
      <c r="D176" s="3" t="s">
        <v>146</v>
      </c>
      <c r="E176" s="8">
        <v>111.64</v>
      </c>
      <c r="F176" s="8">
        <v>109.36</v>
      </c>
      <c r="G176" s="8">
        <v>111.84999847412109</v>
      </c>
      <c r="H176" s="5">
        <f t="shared" si="4"/>
        <v>2.2768822916249931E-2</v>
      </c>
      <c r="I176" s="5">
        <f t="shared" si="5"/>
        <v>1.8810325521416704E-3</v>
      </c>
      <c r="J176" s="5">
        <v>-2.5398805810533779E-2</v>
      </c>
      <c r="K176" s="5">
        <v>0.87276341948310143</v>
      </c>
      <c r="L176" s="5">
        <v>0.65407554671968193</v>
      </c>
      <c r="M176" s="3" t="s">
        <v>47</v>
      </c>
    </row>
    <row r="177" spans="1:13">
      <c r="A177" s="3" t="s">
        <v>423</v>
      </c>
      <c r="B177" s="3" t="s">
        <v>424</v>
      </c>
      <c r="C177" s="3" t="s">
        <v>80</v>
      </c>
      <c r="D177" s="3" t="s">
        <v>81</v>
      </c>
      <c r="E177" s="8">
        <v>310.79000000000002</v>
      </c>
      <c r="F177" s="8">
        <v>311.74</v>
      </c>
      <c r="G177" s="8">
        <v>311.32998657226562</v>
      </c>
      <c r="H177" s="5">
        <f t="shared" si="4"/>
        <v>-1.3152416364097252E-3</v>
      </c>
      <c r="I177" s="5">
        <f t="shared" si="5"/>
        <v>1.7374644366472403E-3</v>
      </c>
      <c r="J177" s="5">
        <v>-3.925480227806577E-2</v>
      </c>
      <c r="K177" s="5">
        <v>0.32405566600397612</v>
      </c>
      <c r="L177" s="5">
        <v>0.65208747514910537</v>
      </c>
      <c r="M177" s="3" t="s">
        <v>63</v>
      </c>
    </row>
    <row r="178" spans="1:13">
      <c r="A178" s="3" t="s">
        <v>425</v>
      </c>
      <c r="B178" s="3" t="s">
        <v>426</v>
      </c>
      <c r="C178" s="3" t="s">
        <v>164</v>
      </c>
      <c r="D178" s="3" t="s">
        <v>165</v>
      </c>
      <c r="E178" s="8">
        <v>74.650000000000006</v>
      </c>
      <c r="F178" s="8">
        <v>75.84</v>
      </c>
      <c r="G178" s="8">
        <v>74.760002136230469</v>
      </c>
      <c r="H178" s="5">
        <f t="shared" si="4"/>
        <v>-1.4240478161518078E-2</v>
      </c>
      <c r="I178" s="5">
        <f t="shared" si="5"/>
        <v>1.473571818224606E-3</v>
      </c>
      <c r="J178" s="5">
        <v>-2.1465940625255749E-2</v>
      </c>
      <c r="K178" s="5">
        <v>6.7594433399602388E-2</v>
      </c>
      <c r="L178" s="5">
        <v>0.6500994035785288</v>
      </c>
      <c r="M178" s="3" t="s">
        <v>283</v>
      </c>
    </row>
    <row r="179" spans="1:13">
      <c r="A179" s="3" t="s">
        <v>427</v>
      </c>
      <c r="B179" s="3" t="s">
        <v>428</v>
      </c>
      <c r="C179" s="3" t="s">
        <v>50</v>
      </c>
      <c r="D179" s="3" t="s">
        <v>50</v>
      </c>
      <c r="E179" s="8">
        <v>125.08</v>
      </c>
      <c r="F179" s="8">
        <v>122.63</v>
      </c>
      <c r="G179" s="8">
        <v>125.2600021362305</v>
      </c>
      <c r="H179" s="5">
        <f t="shared" si="4"/>
        <v>2.1446645488302218E-2</v>
      </c>
      <c r="I179" s="5">
        <f t="shared" si="5"/>
        <v>1.439096068360346E-3</v>
      </c>
      <c r="J179" s="5">
        <v>-9.2570667455971534E-2</v>
      </c>
      <c r="K179" s="5">
        <v>0.85685884691848901</v>
      </c>
      <c r="L179" s="5">
        <v>0.64811133200795223</v>
      </c>
      <c r="M179" s="3" t="s">
        <v>47</v>
      </c>
    </row>
    <row r="180" spans="1:13">
      <c r="A180" s="3" t="s">
        <v>429</v>
      </c>
      <c r="B180" s="3" t="s">
        <v>430</v>
      </c>
      <c r="C180" s="3" t="s">
        <v>71</v>
      </c>
      <c r="D180" s="3" t="s">
        <v>168</v>
      </c>
      <c r="E180" s="8">
        <v>63.17</v>
      </c>
      <c r="F180" s="8">
        <v>61.99</v>
      </c>
      <c r="G180" s="8">
        <v>63.255001068115227</v>
      </c>
      <c r="H180" s="5">
        <f t="shared" si="4"/>
        <v>2.0406534410634336E-2</v>
      </c>
      <c r="I180" s="5">
        <f t="shared" si="5"/>
        <v>1.345592339959234E-3</v>
      </c>
      <c r="J180" s="5">
        <v>-3.1660598385309442E-2</v>
      </c>
      <c r="K180" s="5">
        <v>0.83697813121272369</v>
      </c>
      <c r="L180" s="5">
        <v>0.64612326043737578</v>
      </c>
      <c r="M180" s="3" t="s">
        <v>47</v>
      </c>
    </row>
    <row r="181" spans="1:13">
      <c r="A181" s="3" t="s">
        <v>431</v>
      </c>
      <c r="B181" s="3" t="s">
        <v>432</v>
      </c>
      <c r="C181" s="3" t="s">
        <v>40</v>
      </c>
      <c r="D181" s="3" t="s">
        <v>68</v>
      </c>
      <c r="E181" s="8">
        <v>319.45</v>
      </c>
      <c r="F181" s="8">
        <v>319.27</v>
      </c>
      <c r="G181" s="8">
        <v>319.8699951171875</v>
      </c>
      <c r="H181" s="5">
        <f t="shared" si="4"/>
        <v>1.8792718300733036E-3</v>
      </c>
      <c r="I181" s="5">
        <f t="shared" si="5"/>
        <v>1.3147444582486401E-3</v>
      </c>
      <c r="J181" s="5">
        <v>-2.7516043199248611E-2</v>
      </c>
      <c r="K181" s="5">
        <v>0.41550695825049699</v>
      </c>
      <c r="L181" s="5">
        <v>0.64413518886679921</v>
      </c>
      <c r="M181" s="3" t="s">
        <v>63</v>
      </c>
    </row>
    <row r="182" spans="1:13">
      <c r="A182" s="3" t="s">
        <v>433</v>
      </c>
      <c r="B182" s="3" t="s">
        <v>434</v>
      </c>
      <c r="C182" s="3" t="s">
        <v>71</v>
      </c>
      <c r="D182" s="3" t="s">
        <v>72</v>
      </c>
      <c r="E182" s="8">
        <v>185.4</v>
      </c>
      <c r="F182" s="8">
        <v>182.68</v>
      </c>
      <c r="G182" s="8">
        <v>185.63999938964841</v>
      </c>
      <c r="H182" s="5">
        <f t="shared" si="4"/>
        <v>1.6203193505848423E-2</v>
      </c>
      <c r="I182" s="5">
        <f t="shared" si="5"/>
        <v>1.2944950897972873E-3</v>
      </c>
      <c r="J182" s="5">
        <v>-2.6537354790578619E-2</v>
      </c>
      <c r="K182" s="5">
        <v>0.77733598409542748</v>
      </c>
      <c r="L182" s="5">
        <v>0.64214711729622265</v>
      </c>
      <c r="M182" s="3" t="s">
        <v>47</v>
      </c>
    </row>
    <row r="183" spans="1:13">
      <c r="A183" s="3" t="s">
        <v>435</v>
      </c>
      <c r="B183" s="3" t="s">
        <v>436</v>
      </c>
      <c r="C183" s="3" t="s">
        <v>71</v>
      </c>
      <c r="D183" s="3" t="s">
        <v>168</v>
      </c>
      <c r="E183" s="8">
        <v>50.97</v>
      </c>
      <c r="F183" s="8">
        <v>49.44</v>
      </c>
      <c r="G183" s="8">
        <v>51.014999389648437</v>
      </c>
      <c r="H183" s="5">
        <f t="shared" si="4"/>
        <v>3.1856783771206265E-2</v>
      </c>
      <c r="I183" s="5">
        <f t="shared" si="5"/>
        <v>8.8286030308881713E-4</v>
      </c>
      <c r="J183" s="5">
        <v>-3.0017657445556178E-2</v>
      </c>
      <c r="K183" s="5">
        <v>0.96222664015904569</v>
      </c>
      <c r="L183" s="5">
        <v>0.64015904572564608</v>
      </c>
      <c r="M183" s="3" t="s">
        <v>47</v>
      </c>
    </row>
    <row r="184" spans="1:13">
      <c r="A184" s="3" t="s">
        <v>437</v>
      </c>
      <c r="B184" s="3" t="s">
        <v>438</v>
      </c>
      <c r="C184" s="3" t="s">
        <v>61</v>
      </c>
      <c r="D184" s="3" t="s">
        <v>62</v>
      </c>
      <c r="E184" s="8">
        <v>100.74</v>
      </c>
      <c r="F184" s="8">
        <v>99.4</v>
      </c>
      <c r="G184" s="8">
        <v>100.8199996948242</v>
      </c>
      <c r="H184" s="5">
        <f t="shared" si="4"/>
        <v>1.4285711215535235E-2</v>
      </c>
      <c r="I184" s="5">
        <f t="shared" si="5"/>
        <v>7.9412045686133581E-4</v>
      </c>
      <c r="J184" s="5">
        <v>-1.953047938449393E-2</v>
      </c>
      <c r="K184" s="5">
        <v>0.74155069582504973</v>
      </c>
      <c r="L184" s="5">
        <v>0.63817097415506963</v>
      </c>
      <c r="M184" s="3" t="s">
        <v>47</v>
      </c>
    </row>
    <row r="185" spans="1:13">
      <c r="A185" s="3" t="s">
        <v>439</v>
      </c>
      <c r="B185" s="3" t="s">
        <v>440</v>
      </c>
      <c r="C185" s="3" t="s">
        <v>164</v>
      </c>
      <c r="D185" s="3" t="s">
        <v>165</v>
      </c>
      <c r="E185" s="8">
        <v>67.22</v>
      </c>
      <c r="F185" s="8">
        <v>67.06</v>
      </c>
      <c r="G185" s="8">
        <v>67.239997863769531</v>
      </c>
      <c r="H185" s="5">
        <f t="shared" si="4"/>
        <v>2.6841315802197396E-3</v>
      </c>
      <c r="I185" s="5">
        <f t="shared" si="5"/>
        <v>2.9749871719020327E-4</v>
      </c>
      <c r="J185" s="5">
        <v>-7.0289754609732302E-2</v>
      </c>
      <c r="K185" s="5">
        <v>0.44731610337972172</v>
      </c>
      <c r="L185" s="5">
        <v>0.63618290258449306</v>
      </c>
      <c r="M185" s="3" t="s">
        <v>63</v>
      </c>
    </row>
    <row r="186" spans="1:13">
      <c r="A186" s="3" t="s">
        <v>441</v>
      </c>
      <c r="B186" s="3" t="s">
        <v>442</v>
      </c>
      <c r="C186" s="3" t="s">
        <v>40</v>
      </c>
      <c r="D186" s="3" t="s">
        <v>41</v>
      </c>
      <c r="E186" s="8">
        <v>198.42</v>
      </c>
      <c r="F186" s="8">
        <v>198.38</v>
      </c>
      <c r="G186" s="8">
        <v>198.46000671386719</v>
      </c>
      <c r="H186" s="5">
        <f t="shared" si="4"/>
        <v>4.0330030178048482E-4</v>
      </c>
      <c r="I186" s="5">
        <f t="shared" si="5"/>
        <v>2.016264180384475E-4</v>
      </c>
      <c r="J186" s="5">
        <v>-4.6297685115744169E-2</v>
      </c>
      <c r="K186" s="5">
        <v>0.37773359840954268</v>
      </c>
      <c r="L186" s="5">
        <v>0.63419483101391649</v>
      </c>
      <c r="M186" s="3" t="s">
        <v>63</v>
      </c>
    </row>
    <row r="187" spans="1:13">
      <c r="A187" s="3" t="s">
        <v>443</v>
      </c>
      <c r="B187" s="3" t="s">
        <v>444</v>
      </c>
      <c r="C187" s="3" t="s">
        <v>71</v>
      </c>
      <c r="D187" s="3" t="s">
        <v>168</v>
      </c>
      <c r="E187" s="8">
        <v>62.82</v>
      </c>
      <c r="F187" s="8">
        <v>61.21</v>
      </c>
      <c r="G187" s="8">
        <v>62.830001831054687</v>
      </c>
      <c r="H187" s="5">
        <f t="shared" si="4"/>
        <v>2.6466293596711044E-2</v>
      </c>
      <c r="I187" s="5">
        <f t="shared" si="5"/>
        <v>1.592141205777331E-4</v>
      </c>
      <c r="J187" s="5">
        <v>-2.5628780643107248E-2</v>
      </c>
      <c r="K187" s="5">
        <v>0.91848906560636179</v>
      </c>
      <c r="L187" s="5">
        <v>0.63220675944333993</v>
      </c>
      <c r="M187" s="3" t="s">
        <v>47</v>
      </c>
    </row>
    <row r="188" spans="1:13">
      <c r="A188" s="3" t="s">
        <v>445</v>
      </c>
      <c r="B188" s="3" t="s">
        <v>446</v>
      </c>
      <c r="C188" s="3" t="s">
        <v>71</v>
      </c>
      <c r="D188" s="3" t="s">
        <v>146</v>
      </c>
      <c r="E188" s="8">
        <v>340.92</v>
      </c>
      <c r="F188" s="8">
        <v>338.74</v>
      </c>
      <c r="G188" s="8">
        <v>340.82998657226562</v>
      </c>
      <c r="H188" s="5">
        <f t="shared" si="4"/>
        <v>6.1698841951514094E-3</v>
      </c>
      <c r="I188" s="5">
        <f t="shared" si="5"/>
        <v>-2.6403093903082375E-4</v>
      </c>
      <c r="J188" s="5">
        <v>-2.1744787901570081E-2</v>
      </c>
      <c r="K188" s="5">
        <v>0.54274353876739567</v>
      </c>
      <c r="L188" s="5">
        <v>0.63021868787276347</v>
      </c>
      <c r="M188" s="3" t="s">
        <v>63</v>
      </c>
    </row>
    <row r="189" spans="1:13">
      <c r="A189" s="3" t="s">
        <v>447</v>
      </c>
      <c r="B189" s="3" t="s">
        <v>448</v>
      </c>
      <c r="C189" s="3" t="s">
        <v>164</v>
      </c>
      <c r="D189" s="3" t="s">
        <v>165</v>
      </c>
      <c r="E189" s="8">
        <v>91.85</v>
      </c>
      <c r="F189" s="8">
        <v>92.07</v>
      </c>
      <c r="G189" s="8">
        <v>91.739997863769531</v>
      </c>
      <c r="H189" s="5">
        <f t="shared" si="4"/>
        <v>-3.5842525929234981E-3</v>
      </c>
      <c r="I189" s="5">
        <f t="shared" si="5"/>
        <v>-1.1976280482358659E-3</v>
      </c>
      <c r="J189" s="5">
        <v>-2.8349142065437479E-2</v>
      </c>
      <c r="K189" s="5">
        <v>0.2445328031809145</v>
      </c>
      <c r="L189" s="5">
        <v>0.62823061630218691</v>
      </c>
      <c r="M189" s="3" t="s">
        <v>63</v>
      </c>
    </row>
    <row r="190" spans="1:13">
      <c r="A190" s="3" t="s">
        <v>449</v>
      </c>
      <c r="B190" s="3" t="s">
        <v>450</v>
      </c>
      <c r="C190" s="3" t="s">
        <v>71</v>
      </c>
      <c r="D190" s="3" t="s">
        <v>72</v>
      </c>
      <c r="E190" s="8">
        <v>133.63</v>
      </c>
      <c r="F190" s="8">
        <v>131.69</v>
      </c>
      <c r="G190" s="8">
        <v>133.42999267578119</v>
      </c>
      <c r="H190" s="5">
        <f t="shared" si="4"/>
        <v>1.3212792738865442E-2</v>
      </c>
      <c r="I190" s="5">
        <f t="shared" si="5"/>
        <v>-1.4967247191409738E-3</v>
      </c>
      <c r="J190" s="5">
        <v>-3.5803192268267781E-2</v>
      </c>
      <c r="K190" s="5">
        <v>0.71371769383697814</v>
      </c>
      <c r="L190" s="5">
        <v>0.62624254473161034</v>
      </c>
      <c r="M190" s="3" t="s">
        <v>283</v>
      </c>
    </row>
    <row r="191" spans="1:13">
      <c r="A191" s="3" t="s">
        <v>451</v>
      </c>
      <c r="B191" s="3" t="s">
        <v>452</v>
      </c>
      <c r="C191" s="3" t="s">
        <v>71</v>
      </c>
      <c r="D191" s="3" t="s">
        <v>72</v>
      </c>
      <c r="E191" s="8">
        <v>177.93</v>
      </c>
      <c r="F191" s="8">
        <v>173.5</v>
      </c>
      <c r="G191" s="8">
        <v>177.6300048828125</v>
      </c>
      <c r="H191" s="5">
        <f t="shared" si="4"/>
        <v>2.3804062725144126E-2</v>
      </c>
      <c r="I191" s="5">
        <f t="shared" si="5"/>
        <v>-1.6860288719581229E-3</v>
      </c>
      <c r="J191" s="5">
        <v>-3.2671721677074113E-2</v>
      </c>
      <c r="K191" s="5">
        <v>0.89065606361829031</v>
      </c>
      <c r="L191" s="5">
        <v>0.62425447316103377</v>
      </c>
      <c r="M191" s="3" t="s">
        <v>283</v>
      </c>
    </row>
    <row r="192" spans="1:13">
      <c r="A192" s="3" t="s">
        <v>453</v>
      </c>
      <c r="B192" s="3" t="s">
        <v>454</v>
      </c>
      <c r="C192" s="3" t="s">
        <v>90</v>
      </c>
      <c r="D192" s="3" t="s">
        <v>90</v>
      </c>
      <c r="E192" s="8">
        <v>64.48</v>
      </c>
      <c r="F192" s="8">
        <v>63.655000000000001</v>
      </c>
      <c r="G192" s="8">
        <v>64.370002746582031</v>
      </c>
      <c r="H192" s="5">
        <f t="shared" si="4"/>
        <v>1.1232467937821511E-2</v>
      </c>
      <c r="I192" s="5">
        <f t="shared" si="5"/>
        <v>-1.7059127391124695E-3</v>
      </c>
      <c r="J192" s="5">
        <v>-4.1253101736972719E-2</v>
      </c>
      <c r="K192" s="5">
        <v>0.67594433399602383</v>
      </c>
      <c r="L192" s="5">
        <v>0.62226640159045721</v>
      </c>
      <c r="M192" s="3" t="s">
        <v>283</v>
      </c>
    </row>
    <row r="193" spans="1:13">
      <c r="A193" s="3" t="s">
        <v>455</v>
      </c>
      <c r="B193" s="3" t="s">
        <v>456</v>
      </c>
      <c r="C193" s="3" t="s">
        <v>61</v>
      </c>
      <c r="D193" s="3" t="s">
        <v>62</v>
      </c>
      <c r="E193" s="8">
        <v>241.76</v>
      </c>
      <c r="F193" s="8">
        <v>236.22</v>
      </c>
      <c r="G193" s="8">
        <v>241.3399963378906</v>
      </c>
      <c r="H193" s="5">
        <f t="shared" si="4"/>
        <v>2.1674694513125869E-2</v>
      </c>
      <c r="I193" s="5">
        <f t="shared" si="5"/>
        <v>-1.7372752403598257E-3</v>
      </c>
      <c r="J193" s="5">
        <v>-3.5836734693877603E-2</v>
      </c>
      <c r="K193" s="5">
        <v>0.86282306163021871</v>
      </c>
      <c r="L193" s="5">
        <v>0.62027833001988075</v>
      </c>
      <c r="M193" s="3" t="s">
        <v>283</v>
      </c>
    </row>
    <row r="194" spans="1:13">
      <c r="A194" s="3" t="s">
        <v>457</v>
      </c>
      <c r="B194" s="3" t="s">
        <v>458</v>
      </c>
      <c r="C194" s="3" t="s">
        <v>61</v>
      </c>
      <c r="D194" s="3" t="s">
        <v>77</v>
      </c>
      <c r="E194" s="8">
        <v>72.48</v>
      </c>
      <c r="F194" s="8">
        <v>72.180000000000007</v>
      </c>
      <c r="G194" s="8">
        <v>72.319999694824219</v>
      </c>
      <c r="H194" s="5">
        <f t="shared" ref="H194:H257" si="6">IFERROR(G194/F194-1,"")</f>
        <v>1.9395912278221683E-3</v>
      </c>
      <c r="I194" s="5">
        <f t="shared" ref="I194:I257" si="7">IFERROR(G194/E194-1,"")</f>
        <v>-2.2075097292464374E-3</v>
      </c>
      <c r="J194" s="5">
        <v>-4.1390728476821126E-3</v>
      </c>
      <c r="K194" s="5">
        <v>0.41749502982107362</v>
      </c>
      <c r="L194" s="5">
        <v>0.61829025844930419</v>
      </c>
      <c r="M194" s="3" t="s">
        <v>63</v>
      </c>
    </row>
    <row r="195" spans="1:13">
      <c r="A195" s="3" t="s">
        <v>459</v>
      </c>
      <c r="B195" s="3" t="s">
        <v>460</v>
      </c>
      <c r="C195" s="3" t="s">
        <v>61</v>
      </c>
      <c r="D195" s="3" t="s">
        <v>77</v>
      </c>
      <c r="E195" s="8">
        <v>221.56</v>
      </c>
      <c r="F195" s="8">
        <v>216.04</v>
      </c>
      <c r="G195" s="8">
        <v>221.0299987792969</v>
      </c>
      <c r="H195" s="5">
        <f t="shared" si="6"/>
        <v>2.3097568872879615E-2</v>
      </c>
      <c r="I195" s="5">
        <f t="shared" si="7"/>
        <v>-2.3921340526408263E-3</v>
      </c>
      <c r="J195" s="5">
        <v>-3.2541975085755633E-2</v>
      </c>
      <c r="K195" s="5">
        <v>0.88270377733598404</v>
      </c>
      <c r="L195" s="5">
        <v>0.61630218687872762</v>
      </c>
      <c r="M195" s="3" t="s">
        <v>283</v>
      </c>
    </row>
    <row r="196" spans="1:13">
      <c r="A196" s="3" t="s">
        <v>461</v>
      </c>
      <c r="B196" s="3" t="s">
        <v>462</v>
      </c>
      <c r="C196" s="3" t="s">
        <v>80</v>
      </c>
      <c r="D196" s="3" t="s">
        <v>81</v>
      </c>
      <c r="E196" s="8">
        <v>60.39</v>
      </c>
      <c r="F196" s="8">
        <v>59.03</v>
      </c>
      <c r="G196" s="8">
        <v>60.240001678466797</v>
      </c>
      <c r="H196" s="5">
        <f t="shared" si="6"/>
        <v>2.0498080272180141E-2</v>
      </c>
      <c r="I196" s="5">
        <f t="shared" si="7"/>
        <v>-2.48382714908435E-3</v>
      </c>
      <c r="J196" s="5">
        <v>-5.8382517147870461E-2</v>
      </c>
      <c r="K196" s="5">
        <v>0.84095427435387671</v>
      </c>
      <c r="L196" s="5">
        <v>0.61431411530815105</v>
      </c>
      <c r="M196" s="3" t="s">
        <v>283</v>
      </c>
    </row>
    <row r="197" spans="1:13">
      <c r="A197" s="3" t="s">
        <v>463</v>
      </c>
      <c r="B197" s="3" t="s">
        <v>464</v>
      </c>
      <c r="C197" s="3" t="s">
        <v>71</v>
      </c>
      <c r="D197" s="3" t="s">
        <v>72</v>
      </c>
      <c r="E197" s="8">
        <v>559.78</v>
      </c>
      <c r="F197" s="8">
        <v>542.64</v>
      </c>
      <c r="G197" s="8">
        <v>558.28997802734375</v>
      </c>
      <c r="H197" s="5">
        <f t="shared" si="6"/>
        <v>2.8840443069703126E-2</v>
      </c>
      <c r="I197" s="5">
        <f t="shared" si="7"/>
        <v>-2.6617992294405424E-3</v>
      </c>
      <c r="J197" s="5">
        <v>-3.295136599362003E-2</v>
      </c>
      <c r="K197" s="5">
        <v>0.95029821073558651</v>
      </c>
      <c r="L197" s="5">
        <v>0.6123260437375746</v>
      </c>
      <c r="M197" s="3" t="s">
        <v>283</v>
      </c>
    </row>
    <row r="198" spans="1:13">
      <c r="A198" s="3" t="s">
        <v>465</v>
      </c>
      <c r="B198" s="3" t="s">
        <v>466</v>
      </c>
      <c r="C198" s="3" t="s">
        <v>71</v>
      </c>
      <c r="D198" s="3" t="s">
        <v>72</v>
      </c>
      <c r="E198" s="8">
        <v>565.27</v>
      </c>
      <c r="F198" s="8">
        <v>563.09</v>
      </c>
      <c r="G198" s="8">
        <v>563.67999267578125</v>
      </c>
      <c r="H198" s="5">
        <f t="shared" si="6"/>
        <v>1.0477768665422271E-3</v>
      </c>
      <c r="I198" s="5">
        <f t="shared" si="7"/>
        <v>-2.812828071927953E-3</v>
      </c>
      <c r="J198" s="5">
        <v>-1.4474236908428971E-2</v>
      </c>
      <c r="K198" s="5">
        <v>0.39761431411530818</v>
      </c>
      <c r="L198" s="5">
        <v>0.61033797216699803</v>
      </c>
      <c r="M198" s="3" t="s">
        <v>63</v>
      </c>
    </row>
    <row r="199" spans="1:13">
      <c r="A199" s="3" t="s">
        <v>467</v>
      </c>
      <c r="B199" s="3" t="s">
        <v>468</v>
      </c>
      <c r="C199" s="3" t="s">
        <v>164</v>
      </c>
      <c r="D199" s="3" t="s">
        <v>165</v>
      </c>
      <c r="E199" s="8">
        <v>117.56</v>
      </c>
      <c r="F199" s="8">
        <v>117.03</v>
      </c>
      <c r="G199" s="8">
        <v>117.2099990844727</v>
      </c>
      <c r="H199" s="5">
        <f t="shared" si="6"/>
        <v>1.5380593392522179E-3</v>
      </c>
      <c r="I199" s="5">
        <f t="shared" si="7"/>
        <v>-2.9772109180614681E-3</v>
      </c>
      <c r="J199" s="5">
        <v>-1.4607218683651779E-2</v>
      </c>
      <c r="K199" s="5">
        <v>0.40954274353876741</v>
      </c>
      <c r="L199" s="5">
        <v>0.60834990059642147</v>
      </c>
      <c r="M199" s="3" t="s">
        <v>63</v>
      </c>
    </row>
    <row r="200" spans="1:13">
      <c r="A200" s="3" t="s">
        <v>469</v>
      </c>
      <c r="B200" s="3" t="s">
        <v>470</v>
      </c>
      <c r="C200" s="3" t="s">
        <v>71</v>
      </c>
      <c r="D200" s="3" t="s">
        <v>72</v>
      </c>
      <c r="E200" s="8">
        <v>90.54</v>
      </c>
      <c r="F200" s="8">
        <v>90.39</v>
      </c>
      <c r="G200" s="8">
        <v>90.25</v>
      </c>
      <c r="H200" s="5">
        <f t="shared" si="6"/>
        <v>-1.5488438986613895E-3</v>
      </c>
      <c r="I200" s="5">
        <f t="shared" si="7"/>
        <v>-3.2030041970400047E-3</v>
      </c>
      <c r="J200" s="5">
        <v>-8.0863631734392483E-2</v>
      </c>
      <c r="K200" s="5">
        <v>0.31013916500994038</v>
      </c>
      <c r="L200" s="5">
        <v>0.6063618290258449</v>
      </c>
      <c r="M200" s="3" t="s">
        <v>63</v>
      </c>
    </row>
    <row r="201" spans="1:13">
      <c r="A201" s="3" t="s">
        <v>471</v>
      </c>
      <c r="B201" s="3" t="s">
        <v>472</v>
      </c>
      <c r="C201" s="3" t="s">
        <v>251</v>
      </c>
      <c r="D201" s="3" t="s">
        <v>251</v>
      </c>
      <c r="E201" s="8">
        <v>108</v>
      </c>
      <c r="F201" s="8">
        <v>107.7</v>
      </c>
      <c r="G201" s="8">
        <v>107.65000152587891</v>
      </c>
      <c r="H201" s="5">
        <f t="shared" si="6"/>
        <v>-4.642383855254506E-4</v>
      </c>
      <c r="I201" s="5">
        <f t="shared" si="7"/>
        <v>-3.240726612232403E-3</v>
      </c>
      <c r="J201" s="5">
        <v>-1.809620533653411E-2</v>
      </c>
      <c r="K201" s="5">
        <v>0.35586481113320079</v>
      </c>
      <c r="L201" s="5">
        <v>0.60437375745526833</v>
      </c>
      <c r="M201" s="3" t="s">
        <v>63</v>
      </c>
    </row>
    <row r="202" spans="1:13">
      <c r="A202" s="3" t="s">
        <v>473</v>
      </c>
      <c r="B202" s="3" t="s">
        <v>474</v>
      </c>
      <c r="C202" s="3" t="s">
        <v>40</v>
      </c>
      <c r="D202" s="3" t="s">
        <v>68</v>
      </c>
      <c r="E202" s="8">
        <v>186.45</v>
      </c>
      <c r="F202" s="8">
        <v>189.26</v>
      </c>
      <c r="G202" s="8">
        <v>185.8399963378906</v>
      </c>
      <c r="H202" s="5">
        <f t="shared" si="6"/>
        <v>-1.8070398721913739E-2</v>
      </c>
      <c r="I202" s="5">
        <f t="shared" si="7"/>
        <v>-3.2716742403292587E-3</v>
      </c>
      <c r="J202" s="5">
        <v>-8.1137224534533536E-2</v>
      </c>
      <c r="K202" s="5">
        <v>4.9701789264413522E-2</v>
      </c>
      <c r="L202" s="5">
        <v>0.60238568588469188</v>
      </c>
      <c r="M202" s="3" t="s">
        <v>47</v>
      </c>
    </row>
    <row r="203" spans="1:13">
      <c r="A203" s="3" t="s">
        <v>475</v>
      </c>
      <c r="B203" s="3" t="s">
        <v>476</v>
      </c>
      <c r="C203" s="3" t="s">
        <v>61</v>
      </c>
      <c r="D203" s="3" t="s">
        <v>77</v>
      </c>
      <c r="E203" s="8">
        <v>552.05999999999995</v>
      </c>
      <c r="F203" s="8">
        <v>547.65</v>
      </c>
      <c r="G203" s="8">
        <v>550.239990234375</v>
      </c>
      <c r="H203" s="5">
        <f t="shared" si="6"/>
        <v>4.7292800773761634E-3</v>
      </c>
      <c r="I203" s="5">
        <f t="shared" si="7"/>
        <v>-3.2967607970599833E-3</v>
      </c>
      <c r="J203" s="5">
        <v>-2.1374488280259341E-2</v>
      </c>
      <c r="K203" s="5">
        <v>0.51292246520874751</v>
      </c>
      <c r="L203" s="5">
        <v>0.60039761431411531</v>
      </c>
      <c r="M203" s="3" t="s">
        <v>63</v>
      </c>
    </row>
    <row r="204" spans="1:13">
      <c r="A204" s="3" t="s">
        <v>477</v>
      </c>
      <c r="B204" s="3" t="s">
        <v>478</v>
      </c>
      <c r="C204" s="3" t="s">
        <v>80</v>
      </c>
      <c r="D204" s="3" t="s">
        <v>81</v>
      </c>
      <c r="E204" s="8">
        <v>28.53</v>
      </c>
      <c r="F204" s="8">
        <v>28.32</v>
      </c>
      <c r="G204" s="8">
        <v>28.430000305175781</v>
      </c>
      <c r="H204" s="5">
        <f t="shared" si="6"/>
        <v>3.8841915669414195E-3</v>
      </c>
      <c r="I204" s="5">
        <f t="shared" si="7"/>
        <v>-3.5050716727732523E-3</v>
      </c>
      <c r="J204" s="5">
        <v>-2.0069204152249109E-2</v>
      </c>
      <c r="K204" s="5">
        <v>0.49701789264413521</v>
      </c>
      <c r="L204" s="5">
        <v>0.59840954274353875</v>
      </c>
      <c r="M204" s="3" t="s">
        <v>63</v>
      </c>
    </row>
    <row r="205" spans="1:13">
      <c r="A205" s="3" t="s">
        <v>479</v>
      </c>
      <c r="B205" s="3" t="s">
        <v>480</v>
      </c>
      <c r="C205" s="3" t="s">
        <v>164</v>
      </c>
      <c r="D205" s="3" t="s">
        <v>165</v>
      </c>
      <c r="E205" s="8">
        <v>20.76</v>
      </c>
      <c r="F205" s="8">
        <v>20.82</v>
      </c>
      <c r="G205" s="8">
        <v>20.684999465942379</v>
      </c>
      <c r="H205" s="5">
        <f t="shared" si="6"/>
        <v>-6.4841755070903506E-3</v>
      </c>
      <c r="I205" s="5">
        <f t="shared" si="7"/>
        <v>-3.6127424883247716E-3</v>
      </c>
      <c r="J205" s="5">
        <v>-4.5013875071912353E-2</v>
      </c>
      <c r="K205" s="5">
        <v>0.17296222664015901</v>
      </c>
      <c r="L205" s="5">
        <v>0.59642147117296218</v>
      </c>
      <c r="M205" s="3" t="s">
        <v>63</v>
      </c>
    </row>
    <row r="206" spans="1:13">
      <c r="A206" s="3" t="s">
        <v>481</v>
      </c>
      <c r="B206" s="3" t="s">
        <v>482</v>
      </c>
      <c r="C206" s="3" t="s">
        <v>95</v>
      </c>
      <c r="D206" s="3" t="s">
        <v>96</v>
      </c>
      <c r="E206" s="8">
        <v>82.46</v>
      </c>
      <c r="F206" s="8">
        <v>82.11</v>
      </c>
      <c r="G206" s="8">
        <v>82.160003662109375</v>
      </c>
      <c r="H206" s="5">
        <f t="shared" si="6"/>
        <v>6.0898382790619543E-4</v>
      </c>
      <c r="I206" s="5">
        <f t="shared" si="7"/>
        <v>-3.6380831662699009E-3</v>
      </c>
      <c r="J206" s="5">
        <v>-3.5909631391200958E-2</v>
      </c>
      <c r="K206" s="5">
        <v>0.38369781312127238</v>
      </c>
      <c r="L206" s="5">
        <v>0.59443339960238573</v>
      </c>
      <c r="M206" s="3" t="s">
        <v>63</v>
      </c>
    </row>
    <row r="207" spans="1:13">
      <c r="A207" s="3" t="s">
        <v>483</v>
      </c>
      <c r="B207" s="3" t="s">
        <v>484</v>
      </c>
      <c r="C207" s="3" t="s">
        <v>71</v>
      </c>
      <c r="D207" s="3" t="s">
        <v>72</v>
      </c>
      <c r="E207" s="8">
        <v>80.930000000000007</v>
      </c>
      <c r="F207" s="8">
        <v>77.88</v>
      </c>
      <c r="G207" s="8">
        <v>80.580001831054688</v>
      </c>
      <c r="H207" s="5">
        <f t="shared" si="6"/>
        <v>3.466874462063041E-2</v>
      </c>
      <c r="I207" s="5">
        <f t="shared" si="7"/>
        <v>-4.3247024458831218E-3</v>
      </c>
      <c r="J207" s="5">
        <v>-8.2144961697112495E-2</v>
      </c>
      <c r="K207" s="5">
        <v>0.97415506958250497</v>
      </c>
      <c r="L207" s="5">
        <v>0.59244532803180916</v>
      </c>
      <c r="M207" s="3" t="s">
        <v>283</v>
      </c>
    </row>
    <row r="208" spans="1:13">
      <c r="A208" s="3" t="s">
        <v>485</v>
      </c>
      <c r="B208" s="3" t="s">
        <v>486</v>
      </c>
      <c r="C208" s="3" t="s">
        <v>61</v>
      </c>
      <c r="D208" s="3" t="s">
        <v>77</v>
      </c>
      <c r="E208" s="8">
        <v>211.5</v>
      </c>
      <c r="F208" s="8">
        <v>206.93</v>
      </c>
      <c r="G208" s="8">
        <v>210.47999572753909</v>
      </c>
      <c r="H208" s="5">
        <f t="shared" si="6"/>
        <v>1.7155539204267489E-2</v>
      </c>
      <c r="I208" s="5">
        <f t="shared" si="7"/>
        <v>-4.8227152362217973E-3</v>
      </c>
      <c r="J208" s="5">
        <v>-5.4466529586474688E-2</v>
      </c>
      <c r="K208" s="5">
        <v>0.79125248508946322</v>
      </c>
      <c r="L208" s="5">
        <v>0.59045725646123259</v>
      </c>
      <c r="M208" s="3" t="s">
        <v>283</v>
      </c>
    </row>
    <row r="209" spans="1:13">
      <c r="A209" s="3" t="s">
        <v>487</v>
      </c>
      <c r="B209" s="3" t="s">
        <v>488</v>
      </c>
      <c r="C209" s="3" t="s">
        <v>45</v>
      </c>
      <c r="D209" s="3" t="s">
        <v>46</v>
      </c>
      <c r="E209" s="8">
        <v>1306.95</v>
      </c>
      <c r="F209" s="8">
        <v>1309.21</v>
      </c>
      <c r="G209" s="8">
        <v>1300.380004882812</v>
      </c>
      <c r="H209" s="5">
        <f t="shared" si="6"/>
        <v>-6.7445215948457315E-3</v>
      </c>
      <c r="I209" s="5">
        <f t="shared" si="7"/>
        <v>-5.0269674564351607E-3</v>
      </c>
      <c r="J209" s="5">
        <v>-2.6217056528196281E-2</v>
      </c>
      <c r="K209" s="5">
        <v>0.16500994035785291</v>
      </c>
      <c r="L209" s="5">
        <v>0.58846918489065603</v>
      </c>
      <c r="M209" s="3" t="s">
        <v>63</v>
      </c>
    </row>
    <row r="210" spans="1:13">
      <c r="A210" s="3" t="s">
        <v>489</v>
      </c>
      <c r="B210" s="3" t="s">
        <v>490</v>
      </c>
      <c r="C210" s="3" t="s">
        <v>45</v>
      </c>
      <c r="D210" s="3" t="s">
        <v>254</v>
      </c>
      <c r="E210" s="8">
        <v>147.37</v>
      </c>
      <c r="F210" s="8">
        <v>146.33000000000001</v>
      </c>
      <c r="G210" s="8">
        <v>146.6199951171875</v>
      </c>
      <c r="H210" s="5">
        <f t="shared" si="6"/>
        <v>1.981788540883489E-3</v>
      </c>
      <c r="I210" s="5">
        <f t="shared" si="7"/>
        <v>-5.0892643198242604E-3</v>
      </c>
      <c r="J210" s="5">
        <v>-3.7175944203184492E-2</v>
      </c>
      <c r="K210" s="5">
        <v>0.41948310139165013</v>
      </c>
      <c r="L210" s="5">
        <v>0.58648111332007957</v>
      </c>
      <c r="M210" s="3" t="s">
        <v>63</v>
      </c>
    </row>
    <row r="211" spans="1:13">
      <c r="A211" s="3" t="s">
        <v>491</v>
      </c>
      <c r="B211" s="3" t="s">
        <v>492</v>
      </c>
      <c r="C211" s="3" t="s">
        <v>40</v>
      </c>
      <c r="D211" s="3" t="s">
        <v>41</v>
      </c>
      <c r="E211" s="8">
        <v>152.44</v>
      </c>
      <c r="F211" s="8">
        <v>152.81</v>
      </c>
      <c r="G211" s="8">
        <v>151.6600036621094</v>
      </c>
      <c r="H211" s="5">
        <f t="shared" si="6"/>
        <v>-7.5256615266710014E-3</v>
      </c>
      <c r="I211" s="5">
        <f t="shared" si="7"/>
        <v>-5.1167432294055848E-3</v>
      </c>
      <c r="J211" s="5">
        <v>-4.586345604209241E-2</v>
      </c>
      <c r="K211" s="5">
        <v>0.15109343936381711</v>
      </c>
      <c r="L211" s="5">
        <v>0.58449304174950301</v>
      </c>
      <c r="M211" s="3" t="s">
        <v>63</v>
      </c>
    </row>
    <row r="212" spans="1:13">
      <c r="A212" s="3" t="s">
        <v>493</v>
      </c>
      <c r="B212" s="3" t="s">
        <v>494</v>
      </c>
      <c r="C212" s="3" t="s">
        <v>61</v>
      </c>
      <c r="D212" s="3" t="s">
        <v>77</v>
      </c>
      <c r="E212" s="8">
        <v>840.84</v>
      </c>
      <c r="F212" s="8">
        <v>823.82</v>
      </c>
      <c r="G212" s="8">
        <v>836.3800048828125</v>
      </c>
      <c r="H212" s="5">
        <f t="shared" si="6"/>
        <v>1.5246054821213884E-2</v>
      </c>
      <c r="I212" s="5">
        <f t="shared" si="7"/>
        <v>-5.3042137828689384E-3</v>
      </c>
      <c r="J212" s="5">
        <v>-5.548023405166258E-2</v>
      </c>
      <c r="K212" s="5">
        <v>0.76143141153081506</v>
      </c>
      <c r="L212" s="5">
        <v>0.58250497017892644</v>
      </c>
      <c r="M212" s="3" t="s">
        <v>283</v>
      </c>
    </row>
    <row r="213" spans="1:13">
      <c r="A213" s="3" t="s">
        <v>495</v>
      </c>
      <c r="B213" s="3" t="s">
        <v>496</v>
      </c>
      <c r="C213" s="3" t="s">
        <v>90</v>
      </c>
      <c r="D213" s="3" t="s">
        <v>90</v>
      </c>
      <c r="E213" s="8">
        <v>96.01</v>
      </c>
      <c r="F213" s="8">
        <v>95.69</v>
      </c>
      <c r="G213" s="8">
        <v>95.44000244140625</v>
      </c>
      <c r="H213" s="5">
        <f t="shared" si="6"/>
        <v>-2.6125776841231518E-3</v>
      </c>
      <c r="I213" s="5">
        <f t="shared" si="7"/>
        <v>-5.9368561461696778E-3</v>
      </c>
      <c r="J213" s="5">
        <v>-4.4891157171128022E-2</v>
      </c>
      <c r="K213" s="5">
        <v>0.26838966202783299</v>
      </c>
      <c r="L213" s="5">
        <v>0.58051689860834987</v>
      </c>
      <c r="M213" s="3" t="s">
        <v>63</v>
      </c>
    </row>
    <row r="214" spans="1:13">
      <c r="A214" s="3" t="s">
        <v>497</v>
      </c>
      <c r="B214" s="3" t="s">
        <v>498</v>
      </c>
      <c r="C214" s="3" t="s">
        <v>95</v>
      </c>
      <c r="D214" s="3" t="s">
        <v>181</v>
      </c>
      <c r="E214" s="8">
        <v>90.87</v>
      </c>
      <c r="F214" s="8">
        <v>89.63</v>
      </c>
      <c r="G214" s="8">
        <v>90.300003051757812</v>
      </c>
      <c r="H214" s="5">
        <f t="shared" si="6"/>
        <v>7.4752097708112863E-3</v>
      </c>
      <c r="I214" s="5">
        <f t="shared" si="7"/>
        <v>-6.2726636760448429E-3</v>
      </c>
      <c r="J214" s="5">
        <v>-3.1550513236088602E-2</v>
      </c>
      <c r="K214" s="5">
        <v>0.5685884691848907</v>
      </c>
      <c r="L214" s="5">
        <v>0.57852882703777331</v>
      </c>
      <c r="M214" s="3" t="s">
        <v>63</v>
      </c>
    </row>
    <row r="215" spans="1:13">
      <c r="A215" s="3" t="s">
        <v>499</v>
      </c>
      <c r="B215" s="3" t="s">
        <v>500</v>
      </c>
      <c r="C215" s="3" t="s">
        <v>164</v>
      </c>
      <c r="D215" s="3" t="s">
        <v>165</v>
      </c>
      <c r="E215" s="8">
        <v>76.400000000000006</v>
      </c>
      <c r="F215" s="8">
        <v>76.06</v>
      </c>
      <c r="G215" s="8">
        <v>75.900001525878906</v>
      </c>
      <c r="H215" s="5">
        <f t="shared" si="6"/>
        <v>-2.1035823576268653E-3</v>
      </c>
      <c r="I215" s="5">
        <f t="shared" si="7"/>
        <v>-6.5444826455641758E-3</v>
      </c>
      <c r="J215" s="5">
        <v>-2.541710114702822E-2</v>
      </c>
      <c r="K215" s="5">
        <v>0.28429423459244529</v>
      </c>
      <c r="L215" s="5">
        <v>0.57654075546719685</v>
      </c>
      <c r="M215" s="3" t="s">
        <v>63</v>
      </c>
    </row>
    <row r="216" spans="1:13">
      <c r="A216" s="3" t="s">
        <v>501</v>
      </c>
      <c r="B216" s="3" t="s">
        <v>502</v>
      </c>
      <c r="C216" s="3" t="s">
        <v>71</v>
      </c>
      <c r="D216" s="3" t="s">
        <v>146</v>
      </c>
      <c r="E216" s="8">
        <v>189.2</v>
      </c>
      <c r="F216" s="8">
        <v>187.58</v>
      </c>
      <c r="G216" s="8">
        <v>187.96000671386719</v>
      </c>
      <c r="H216" s="5">
        <f t="shared" si="6"/>
        <v>2.0258381163620331E-3</v>
      </c>
      <c r="I216" s="5">
        <f t="shared" si="7"/>
        <v>-6.553875719517932E-3</v>
      </c>
      <c r="J216" s="5">
        <v>-3.6420609236143098E-2</v>
      </c>
      <c r="K216" s="5">
        <v>0.42147117296222658</v>
      </c>
      <c r="L216" s="5">
        <v>0.57455268389662029</v>
      </c>
      <c r="M216" s="3" t="s">
        <v>63</v>
      </c>
    </row>
    <row r="217" spans="1:13">
      <c r="A217" s="3" t="s">
        <v>503</v>
      </c>
      <c r="B217" s="3" t="s">
        <v>504</v>
      </c>
      <c r="C217" s="3" t="s">
        <v>164</v>
      </c>
      <c r="D217" s="3" t="s">
        <v>165</v>
      </c>
      <c r="E217" s="8">
        <v>174.49</v>
      </c>
      <c r="F217" s="8">
        <v>176.02</v>
      </c>
      <c r="G217" s="8">
        <v>173.3399963378906</v>
      </c>
      <c r="H217" s="5">
        <f t="shared" si="6"/>
        <v>-1.522556335705838E-2</v>
      </c>
      <c r="I217" s="5">
        <f t="shared" si="7"/>
        <v>-6.5906565540111428E-3</v>
      </c>
      <c r="J217" s="5">
        <v>-2.9288254813851111E-2</v>
      </c>
      <c r="K217" s="5">
        <v>6.3618290258449298E-2</v>
      </c>
      <c r="L217" s="5">
        <v>0.57256461232604372</v>
      </c>
      <c r="M217" s="3" t="s">
        <v>47</v>
      </c>
    </row>
    <row r="218" spans="1:13">
      <c r="A218" s="3" t="s">
        <v>505</v>
      </c>
      <c r="B218" s="3" t="s">
        <v>506</v>
      </c>
      <c r="C218" s="3" t="s">
        <v>61</v>
      </c>
      <c r="D218" s="3" t="s">
        <v>62</v>
      </c>
      <c r="E218" s="8">
        <v>94.13</v>
      </c>
      <c r="F218" s="8">
        <v>92.04</v>
      </c>
      <c r="G218" s="8">
        <v>93.504997253417969</v>
      </c>
      <c r="H218" s="5">
        <f t="shared" si="6"/>
        <v>1.5916962770729626E-2</v>
      </c>
      <c r="I218" s="5">
        <f t="shared" si="7"/>
        <v>-6.6397827109532237E-3</v>
      </c>
      <c r="J218" s="5">
        <v>-4.4194199511314092E-2</v>
      </c>
      <c r="K218" s="5">
        <v>0.76938369781312133</v>
      </c>
      <c r="L218" s="5">
        <v>0.57057654075546715</v>
      </c>
      <c r="M218" s="3" t="s">
        <v>283</v>
      </c>
    </row>
    <row r="219" spans="1:13">
      <c r="A219" s="3" t="s">
        <v>507</v>
      </c>
      <c r="B219" s="3" t="s">
        <v>508</v>
      </c>
      <c r="C219" s="3" t="s">
        <v>71</v>
      </c>
      <c r="D219" s="3" t="s">
        <v>72</v>
      </c>
      <c r="E219" s="8">
        <v>220.73</v>
      </c>
      <c r="F219" s="8">
        <v>211.34</v>
      </c>
      <c r="G219" s="8">
        <v>219.25</v>
      </c>
      <c r="H219" s="5">
        <f t="shared" si="6"/>
        <v>3.7427841393016026E-2</v>
      </c>
      <c r="I219" s="5">
        <f t="shared" si="7"/>
        <v>-6.7050242377565406E-3</v>
      </c>
      <c r="J219" s="5">
        <v>-4.2540660535495767E-2</v>
      </c>
      <c r="K219" s="5">
        <v>0.98011928429423456</v>
      </c>
      <c r="L219" s="5">
        <v>0.5685884691848907</v>
      </c>
      <c r="M219" s="3" t="s">
        <v>283</v>
      </c>
    </row>
    <row r="220" spans="1:13">
      <c r="A220" s="3" t="s">
        <v>509</v>
      </c>
      <c r="B220" s="3" t="s">
        <v>510</v>
      </c>
      <c r="C220" s="3" t="s">
        <v>40</v>
      </c>
      <c r="D220" s="3" t="s">
        <v>41</v>
      </c>
      <c r="E220" s="8">
        <v>59.25</v>
      </c>
      <c r="F220" s="8">
        <v>58.94</v>
      </c>
      <c r="G220" s="8">
        <v>58.830001831054687</v>
      </c>
      <c r="H220" s="5">
        <f t="shared" si="6"/>
        <v>-1.8662736502428334E-3</v>
      </c>
      <c r="I220" s="5">
        <f t="shared" si="7"/>
        <v>-7.0885766910601111E-3</v>
      </c>
      <c r="J220" s="5">
        <v>-4.4036369336127867E-2</v>
      </c>
      <c r="K220" s="5">
        <v>0.29622266401590458</v>
      </c>
      <c r="L220" s="5">
        <v>0.56660039761431413</v>
      </c>
      <c r="M220" s="3" t="s">
        <v>63</v>
      </c>
    </row>
    <row r="221" spans="1:13">
      <c r="A221" s="3" t="s">
        <v>511</v>
      </c>
      <c r="B221" s="3" t="s">
        <v>512</v>
      </c>
      <c r="C221" s="3" t="s">
        <v>61</v>
      </c>
      <c r="D221" s="3" t="s">
        <v>77</v>
      </c>
      <c r="E221" s="8">
        <v>67.61</v>
      </c>
      <c r="F221" s="8">
        <v>66.92</v>
      </c>
      <c r="G221" s="8">
        <v>67.129997253417969</v>
      </c>
      <c r="H221" s="5">
        <f t="shared" si="6"/>
        <v>3.1380342710396469E-3</v>
      </c>
      <c r="I221" s="5">
        <f t="shared" si="7"/>
        <v>-7.099582111847802E-3</v>
      </c>
      <c r="J221" s="5">
        <v>-3.1652122467090697E-2</v>
      </c>
      <c r="K221" s="5">
        <v>0.47316103379721669</v>
      </c>
      <c r="L221" s="5">
        <v>0.56461232604373757</v>
      </c>
      <c r="M221" s="3" t="s">
        <v>63</v>
      </c>
    </row>
    <row r="222" spans="1:13">
      <c r="A222" s="3" t="s">
        <v>513</v>
      </c>
      <c r="B222" s="3" t="s">
        <v>514</v>
      </c>
      <c r="C222" s="3" t="s">
        <v>90</v>
      </c>
      <c r="D222" s="3" t="s">
        <v>90</v>
      </c>
      <c r="E222" s="8">
        <v>32.08</v>
      </c>
      <c r="F222" s="8">
        <v>32.1</v>
      </c>
      <c r="G222" s="8">
        <v>31.840000152587891</v>
      </c>
      <c r="H222" s="5">
        <f t="shared" si="6"/>
        <v>-8.0996837200034699E-3</v>
      </c>
      <c r="I222" s="5">
        <f t="shared" si="7"/>
        <v>-7.4812920016242845E-3</v>
      </c>
      <c r="J222" s="5">
        <v>-3.553615960099743E-2</v>
      </c>
      <c r="K222" s="5">
        <v>0.1431411530815109</v>
      </c>
      <c r="L222" s="5">
        <v>0.562624254473161</v>
      </c>
      <c r="M222" s="3" t="s">
        <v>63</v>
      </c>
    </row>
    <row r="223" spans="1:13">
      <c r="A223" s="3" t="s">
        <v>515</v>
      </c>
      <c r="B223" s="3" t="s">
        <v>462</v>
      </c>
      <c r="C223" s="3" t="s">
        <v>80</v>
      </c>
      <c r="D223" s="3" t="s">
        <v>81</v>
      </c>
      <c r="E223" s="8">
        <v>67.959999999999994</v>
      </c>
      <c r="F223" s="8">
        <v>65.930000000000007</v>
      </c>
      <c r="G223" s="8">
        <v>67.449996948242188</v>
      </c>
      <c r="H223" s="5">
        <f t="shared" si="6"/>
        <v>2.3054708755379627E-2</v>
      </c>
      <c r="I223" s="5">
        <f t="shared" si="7"/>
        <v>-7.5044592665951537E-3</v>
      </c>
      <c r="J223" s="5">
        <v>-6.2562206739655735E-2</v>
      </c>
      <c r="K223" s="5">
        <v>0.88071570576540759</v>
      </c>
      <c r="L223" s="5">
        <v>0.56063618290258455</v>
      </c>
      <c r="M223" s="3" t="s">
        <v>283</v>
      </c>
    </row>
    <row r="224" spans="1:13">
      <c r="A224" s="3" t="s">
        <v>516</v>
      </c>
      <c r="B224" s="3" t="s">
        <v>517</v>
      </c>
      <c r="C224" s="3" t="s">
        <v>71</v>
      </c>
      <c r="D224" s="3" t="s">
        <v>72</v>
      </c>
      <c r="E224" s="8">
        <v>79.62</v>
      </c>
      <c r="F224" s="8">
        <v>76.62</v>
      </c>
      <c r="G224" s="8">
        <v>79</v>
      </c>
      <c r="H224" s="5">
        <f t="shared" si="6"/>
        <v>3.106238580005205E-2</v>
      </c>
      <c r="I224" s="5">
        <f t="shared" si="7"/>
        <v>-7.7869881939212071E-3</v>
      </c>
      <c r="J224" s="5">
        <v>-5.1380463043208979E-2</v>
      </c>
      <c r="K224" s="5">
        <v>0.96023856858846923</v>
      </c>
      <c r="L224" s="5">
        <v>0.55864811133200798</v>
      </c>
      <c r="M224" s="3" t="s">
        <v>283</v>
      </c>
    </row>
    <row r="225" spans="1:13">
      <c r="A225" s="3" t="s">
        <v>518</v>
      </c>
      <c r="B225" s="3" t="s">
        <v>519</v>
      </c>
      <c r="C225" s="3" t="s">
        <v>61</v>
      </c>
      <c r="D225" s="3" t="s">
        <v>77</v>
      </c>
      <c r="E225" s="8">
        <v>613.54</v>
      </c>
      <c r="F225" s="8">
        <v>600.5</v>
      </c>
      <c r="G225" s="8">
        <v>608.6400146484375</v>
      </c>
      <c r="H225" s="5">
        <f t="shared" si="6"/>
        <v>1.3555394918297159E-2</v>
      </c>
      <c r="I225" s="5">
        <f t="shared" si="7"/>
        <v>-7.9864154766803308E-3</v>
      </c>
      <c r="J225" s="5">
        <v>-5.2405674519890873E-2</v>
      </c>
      <c r="K225" s="5">
        <v>0.72365805168986086</v>
      </c>
      <c r="L225" s="5">
        <v>0.55666003976143141</v>
      </c>
      <c r="M225" s="3" t="s">
        <v>283</v>
      </c>
    </row>
    <row r="226" spans="1:13">
      <c r="A226" s="3" t="s">
        <v>520</v>
      </c>
      <c r="B226" s="3" t="s">
        <v>521</v>
      </c>
      <c r="C226" s="3" t="s">
        <v>71</v>
      </c>
      <c r="D226" s="3" t="s">
        <v>168</v>
      </c>
      <c r="E226" s="8">
        <v>70.760000000000005</v>
      </c>
      <c r="F226" s="8">
        <v>68.16</v>
      </c>
      <c r="G226" s="8">
        <v>70.19000244140625</v>
      </c>
      <c r="H226" s="5">
        <f t="shared" si="6"/>
        <v>2.9782899668518992E-2</v>
      </c>
      <c r="I226" s="5">
        <f t="shared" si="7"/>
        <v>-8.0553640276109784E-3</v>
      </c>
      <c r="J226" s="5">
        <v>-3.6743923120407078E-2</v>
      </c>
      <c r="K226" s="5">
        <v>0.95825049701789267</v>
      </c>
      <c r="L226" s="5">
        <v>0.55467196819085485</v>
      </c>
      <c r="M226" s="3" t="s">
        <v>283</v>
      </c>
    </row>
    <row r="227" spans="1:13">
      <c r="A227" s="3" t="s">
        <v>522</v>
      </c>
      <c r="B227" s="3" t="s">
        <v>523</v>
      </c>
      <c r="C227" s="3" t="s">
        <v>50</v>
      </c>
      <c r="D227" s="3" t="s">
        <v>50</v>
      </c>
      <c r="E227" s="8">
        <v>285.62</v>
      </c>
      <c r="F227" s="8">
        <v>280.25</v>
      </c>
      <c r="G227" s="8">
        <v>283.29000854492187</v>
      </c>
      <c r="H227" s="5">
        <f t="shared" si="6"/>
        <v>1.0847488117473159E-2</v>
      </c>
      <c r="I227" s="5">
        <f t="shared" si="7"/>
        <v>-8.1576621212734457E-3</v>
      </c>
      <c r="J227" s="5">
        <v>-3.5615966964900332E-2</v>
      </c>
      <c r="K227" s="5">
        <v>0.66401590457256465</v>
      </c>
      <c r="L227" s="5">
        <v>0.55268389662027828</v>
      </c>
      <c r="M227" s="3" t="s">
        <v>283</v>
      </c>
    </row>
    <row r="228" spans="1:13">
      <c r="A228" s="3" t="s">
        <v>524</v>
      </c>
      <c r="B228" s="3" t="s">
        <v>525</v>
      </c>
      <c r="C228" s="3" t="s">
        <v>71</v>
      </c>
      <c r="D228" s="3" t="s">
        <v>72</v>
      </c>
      <c r="E228" s="8">
        <v>497.03</v>
      </c>
      <c r="F228" s="8">
        <v>494.71</v>
      </c>
      <c r="G228" s="8">
        <v>492.91000366210937</v>
      </c>
      <c r="H228" s="5">
        <f t="shared" si="6"/>
        <v>-3.6384878775254093E-3</v>
      </c>
      <c r="I228" s="5">
        <f t="shared" si="7"/>
        <v>-8.2892307061759318E-3</v>
      </c>
      <c r="J228" s="5">
        <v>-4.2800264759473072E-2</v>
      </c>
      <c r="K228" s="5">
        <v>0.24254473161033799</v>
      </c>
      <c r="L228" s="5">
        <v>0.55069582504970183</v>
      </c>
      <c r="M228" s="3" t="s">
        <v>63</v>
      </c>
    </row>
    <row r="229" spans="1:13">
      <c r="A229" s="3" t="s">
        <v>526</v>
      </c>
      <c r="B229" s="3" t="s">
        <v>527</v>
      </c>
      <c r="C229" s="3" t="s">
        <v>61</v>
      </c>
      <c r="D229" s="3" t="s">
        <v>77</v>
      </c>
      <c r="E229" s="8">
        <v>415.84</v>
      </c>
      <c r="F229" s="8">
        <v>405.84</v>
      </c>
      <c r="G229" s="8">
        <v>412.3800048828125</v>
      </c>
      <c r="H229" s="5">
        <f t="shared" si="6"/>
        <v>1.6114737046157401E-2</v>
      </c>
      <c r="I229" s="5">
        <f t="shared" si="7"/>
        <v>-8.3204961456028181E-3</v>
      </c>
      <c r="J229" s="5">
        <v>-3.6604472297393609E-2</v>
      </c>
      <c r="K229" s="5">
        <v>0.77137176938369778</v>
      </c>
      <c r="L229" s="5">
        <v>0.54870775347912526</v>
      </c>
      <c r="M229" s="3" t="s">
        <v>283</v>
      </c>
    </row>
    <row r="230" spans="1:13">
      <c r="A230" s="3" t="s">
        <v>528</v>
      </c>
      <c r="B230" s="3" t="s">
        <v>529</v>
      </c>
      <c r="C230" s="3" t="s">
        <v>61</v>
      </c>
      <c r="D230" s="3" t="s">
        <v>62</v>
      </c>
      <c r="E230" s="8">
        <v>92.28</v>
      </c>
      <c r="F230" s="8">
        <v>90.74</v>
      </c>
      <c r="G230" s="8">
        <v>91.510002136230469</v>
      </c>
      <c r="H230" s="5">
        <f t="shared" si="6"/>
        <v>8.485807099740672E-3</v>
      </c>
      <c r="I230" s="5">
        <f t="shared" si="7"/>
        <v>-8.3441467682003889E-3</v>
      </c>
      <c r="J230" s="5">
        <v>-2.6983094928478502E-2</v>
      </c>
      <c r="K230" s="5">
        <v>0.60039761431411531</v>
      </c>
      <c r="L230" s="5">
        <v>0.54671968190854869</v>
      </c>
      <c r="M230" s="3" t="s">
        <v>63</v>
      </c>
    </row>
    <row r="231" spans="1:13">
      <c r="A231" s="3" t="s">
        <v>530</v>
      </c>
      <c r="B231" s="3" t="s">
        <v>531</v>
      </c>
      <c r="C231" s="3" t="s">
        <v>90</v>
      </c>
      <c r="D231" s="3" t="s">
        <v>90</v>
      </c>
      <c r="E231" s="8">
        <v>164.77</v>
      </c>
      <c r="F231" s="8">
        <v>164.55</v>
      </c>
      <c r="G231" s="8">
        <v>163.36000061035159</v>
      </c>
      <c r="H231" s="5">
        <f t="shared" si="6"/>
        <v>-7.2318407149706276E-3</v>
      </c>
      <c r="I231" s="5">
        <f t="shared" si="7"/>
        <v>-8.5573793144894106E-3</v>
      </c>
      <c r="J231" s="5">
        <v>-5.8441167619620822E-2</v>
      </c>
      <c r="K231" s="5">
        <v>0.15308151093439359</v>
      </c>
      <c r="L231" s="5">
        <v>0.54473161033797213</v>
      </c>
      <c r="M231" s="3" t="s">
        <v>63</v>
      </c>
    </row>
    <row r="232" spans="1:13">
      <c r="A232" s="3" t="s">
        <v>532</v>
      </c>
      <c r="B232" s="3" t="s">
        <v>533</v>
      </c>
      <c r="C232" s="3" t="s">
        <v>40</v>
      </c>
      <c r="D232" s="3" t="s">
        <v>68</v>
      </c>
      <c r="E232" s="8">
        <v>354.65</v>
      </c>
      <c r="F232" s="8">
        <v>343.7</v>
      </c>
      <c r="G232" s="8">
        <v>351.6099853515625</v>
      </c>
      <c r="H232" s="5">
        <f t="shared" si="6"/>
        <v>2.301421399930903E-2</v>
      </c>
      <c r="I232" s="5">
        <f t="shared" si="7"/>
        <v>-8.5718726869800088E-3</v>
      </c>
      <c r="J232" s="5">
        <v>-6.7325174350763906E-2</v>
      </c>
      <c r="K232" s="5">
        <v>0.87872763419483102</v>
      </c>
      <c r="L232" s="5">
        <v>0.54274353876739567</v>
      </c>
      <c r="M232" s="3" t="s">
        <v>283</v>
      </c>
    </row>
    <row r="233" spans="1:13">
      <c r="A233" s="3" t="s">
        <v>534</v>
      </c>
      <c r="B233" s="3" t="s">
        <v>535</v>
      </c>
      <c r="C233" s="3" t="s">
        <v>251</v>
      </c>
      <c r="D233" s="3" t="s">
        <v>251</v>
      </c>
      <c r="E233" s="8">
        <v>107.96</v>
      </c>
      <c r="F233" s="8">
        <v>107.02</v>
      </c>
      <c r="G233" s="8">
        <v>107.0299987792969</v>
      </c>
      <c r="H233" s="5">
        <f t="shared" si="6"/>
        <v>9.3429072107076294E-5</v>
      </c>
      <c r="I233" s="5">
        <f t="shared" si="7"/>
        <v>-8.6143129001767793E-3</v>
      </c>
      <c r="J233" s="5">
        <v>-3.093738421637637E-2</v>
      </c>
      <c r="K233" s="5">
        <v>0.36978131212723658</v>
      </c>
      <c r="L233" s="5">
        <v>0.54075546719681911</v>
      </c>
      <c r="M233" s="3" t="s">
        <v>63</v>
      </c>
    </row>
    <row r="234" spans="1:13">
      <c r="A234" s="3" t="s">
        <v>536</v>
      </c>
      <c r="B234" s="3" t="s">
        <v>537</v>
      </c>
      <c r="C234" s="3" t="s">
        <v>57</v>
      </c>
      <c r="D234" s="3" t="s">
        <v>58</v>
      </c>
      <c r="E234" s="8">
        <v>221.89</v>
      </c>
      <c r="F234" s="8">
        <v>215.56</v>
      </c>
      <c r="G234" s="8">
        <v>219.94999694824219</v>
      </c>
      <c r="H234" s="5">
        <f t="shared" si="6"/>
        <v>2.0365545315653044E-2</v>
      </c>
      <c r="I234" s="5">
        <f t="shared" si="7"/>
        <v>-8.7430846444535026E-3</v>
      </c>
      <c r="J234" s="5">
        <v>-6.3974108884554015E-2</v>
      </c>
      <c r="K234" s="5">
        <v>0.83499005964214712</v>
      </c>
      <c r="L234" s="5">
        <v>0.53876739562624254</v>
      </c>
      <c r="M234" s="3" t="s">
        <v>283</v>
      </c>
    </row>
    <row r="235" spans="1:13">
      <c r="A235" s="3" t="s">
        <v>538</v>
      </c>
      <c r="B235" s="3" t="s">
        <v>539</v>
      </c>
      <c r="C235" s="3" t="s">
        <v>71</v>
      </c>
      <c r="D235" s="3" t="s">
        <v>72</v>
      </c>
      <c r="E235" s="8">
        <v>1021.65</v>
      </c>
      <c r="F235" s="8">
        <v>1002.56</v>
      </c>
      <c r="G235" s="8">
        <v>1012.359985351562</v>
      </c>
      <c r="H235" s="5">
        <f t="shared" si="6"/>
        <v>9.7749614502493642E-3</v>
      </c>
      <c r="I235" s="5">
        <f t="shared" si="7"/>
        <v>-9.0931479943600069E-3</v>
      </c>
      <c r="J235" s="5">
        <v>-5.318827440314311E-2</v>
      </c>
      <c r="K235" s="5">
        <v>0.63618290258449306</v>
      </c>
      <c r="L235" s="5">
        <v>0.53677932405566597</v>
      </c>
      <c r="M235" s="3" t="s">
        <v>283</v>
      </c>
    </row>
    <row r="236" spans="1:13">
      <c r="A236" s="3" t="s">
        <v>540</v>
      </c>
      <c r="B236" s="3" t="s">
        <v>541</v>
      </c>
      <c r="C236" s="3" t="s">
        <v>71</v>
      </c>
      <c r="D236" s="3" t="s">
        <v>168</v>
      </c>
      <c r="E236" s="8">
        <v>54.96</v>
      </c>
      <c r="F236" s="8">
        <v>53.01</v>
      </c>
      <c r="G236" s="8">
        <v>54.439998626708977</v>
      </c>
      <c r="H236" s="5">
        <f t="shared" si="6"/>
        <v>2.6976016349914644E-2</v>
      </c>
      <c r="I236" s="5">
        <f t="shared" si="7"/>
        <v>-9.4614514790942739E-3</v>
      </c>
      <c r="J236" s="5">
        <v>-3.7931034482758703E-2</v>
      </c>
      <c r="K236" s="5">
        <v>0.92842942345924451</v>
      </c>
      <c r="L236" s="5">
        <v>0.53479125248508941</v>
      </c>
      <c r="M236" s="3" t="s">
        <v>283</v>
      </c>
    </row>
    <row r="237" spans="1:13">
      <c r="A237" s="3" t="s">
        <v>542</v>
      </c>
      <c r="B237" s="3" t="s">
        <v>543</v>
      </c>
      <c r="C237" s="3" t="s">
        <v>61</v>
      </c>
      <c r="D237" s="3" t="s">
        <v>62</v>
      </c>
      <c r="E237" s="8">
        <v>236.91</v>
      </c>
      <c r="F237" s="8">
        <v>229.65</v>
      </c>
      <c r="G237" s="8">
        <v>234.6499938964844</v>
      </c>
      <c r="H237" s="5">
        <f t="shared" si="6"/>
        <v>2.1772235560567843E-2</v>
      </c>
      <c r="I237" s="5">
        <f t="shared" si="7"/>
        <v>-9.5395133321328762E-3</v>
      </c>
      <c r="J237" s="5">
        <v>-3.4800151305005689E-2</v>
      </c>
      <c r="K237" s="5">
        <v>0.86481113320079528</v>
      </c>
      <c r="L237" s="5">
        <v>0.53280318091451295</v>
      </c>
      <c r="M237" s="3" t="s">
        <v>283</v>
      </c>
    </row>
    <row r="238" spans="1:13">
      <c r="A238" s="3" t="s">
        <v>544</v>
      </c>
      <c r="B238" s="3" t="s">
        <v>545</v>
      </c>
      <c r="C238" s="3" t="s">
        <v>95</v>
      </c>
      <c r="D238" s="3" t="s">
        <v>99</v>
      </c>
      <c r="E238" s="8">
        <v>133.52000000000001</v>
      </c>
      <c r="F238" s="8">
        <v>130.63</v>
      </c>
      <c r="G238" s="8">
        <v>132.19000244140619</v>
      </c>
      <c r="H238" s="5">
        <f t="shared" si="6"/>
        <v>1.1942145306638619E-2</v>
      </c>
      <c r="I238" s="5">
        <f t="shared" si="7"/>
        <v>-9.9610362387194673E-3</v>
      </c>
      <c r="J238" s="5">
        <v>-5.0726744186046391E-2</v>
      </c>
      <c r="K238" s="5">
        <v>0.69781312127236583</v>
      </c>
      <c r="L238" s="5">
        <v>0.53081510934393639</v>
      </c>
      <c r="M238" s="3" t="s">
        <v>283</v>
      </c>
    </row>
    <row r="239" spans="1:13">
      <c r="A239" s="3" t="s">
        <v>546</v>
      </c>
      <c r="B239" s="3" t="s">
        <v>547</v>
      </c>
      <c r="C239" s="3" t="s">
        <v>71</v>
      </c>
      <c r="D239" s="3" t="s">
        <v>168</v>
      </c>
      <c r="E239" s="8">
        <v>246.46</v>
      </c>
      <c r="F239" s="8">
        <v>237.49</v>
      </c>
      <c r="G239" s="8">
        <v>243.8500061035156</v>
      </c>
      <c r="H239" s="5">
        <f t="shared" si="6"/>
        <v>2.6780100650619421E-2</v>
      </c>
      <c r="I239" s="5">
        <f t="shared" si="7"/>
        <v>-1.0589928980298646E-2</v>
      </c>
      <c r="J239" s="5">
        <v>-3.6395358273147771E-2</v>
      </c>
      <c r="K239" s="5">
        <v>0.92445328031809149</v>
      </c>
      <c r="L239" s="5">
        <v>0.52882703777335982</v>
      </c>
      <c r="M239" s="3" t="s">
        <v>283</v>
      </c>
    </row>
    <row r="240" spans="1:13">
      <c r="A240" s="3" t="s">
        <v>548</v>
      </c>
      <c r="B240" s="3" t="s">
        <v>549</v>
      </c>
      <c r="C240" s="3" t="s">
        <v>164</v>
      </c>
      <c r="D240" s="3" t="s">
        <v>165</v>
      </c>
      <c r="E240" s="8">
        <v>24.32</v>
      </c>
      <c r="F240" s="8">
        <v>24.12</v>
      </c>
      <c r="G240" s="8">
        <v>24.059999465942379</v>
      </c>
      <c r="H240" s="5">
        <f t="shared" si="6"/>
        <v>-2.487584330747139E-3</v>
      </c>
      <c r="I240" s="5">
        <f t="shared" si="7"/>
        <v>-1.0690811433290315E-2</v>
      </c>
      <c r="J240" s="5">
        <v>-2.5082236842105199E-2</v>
      </c>
      <c r="K240" s="5">
        <v>0.27435387673956257</v>
      </c>
      <c r="L240" s="5">
        <v>0.52683896620278325</v>
      </c>
      <c r="M240" s="3" t="s">
        <v>63</v>
      </c>
    </row>
    <row r="241" spans="1:13">
      <c r="A241" s="3" t="s">
        <v>550</v>
      </c>
      <c r="B241" s="3" t="s">
        <v>551</v>
      </c>
      <c r="C241" s="3" t="s">
        <v>45</v>
      </c>
      <c r="D241" s="3" t="s">
        <v>254</v>
      </c>
      <c r="E241" s="8">
        <v>36.26</v>
      </c>
      <c r="F241" s="8">
        <v>36.19</v>
      </c>
      <c r="G241" s="8">
        <v>35.869998931884773</v>
      </c>
      <c r="H241" s="5">
        <f t="shared" si="6"/>
        <v>-8.8422511222775446E-3</v>
      </c>
      <c r="I241" s="5">
        <f t="shared" si="7"/>
        <v>-1.0755683069917921E-2</v>
      </c>
      <c r="J241" s="5">
        <v>-3.7305450029930909E-2</v>
      </c>
      <c r="K241" s="5">
        <v>0.1351888667992048</v>
      </c>
      <c r="L241" s="5">
        <v>0.5248508946322068</v>
      </c>
      <c r="M241" s="3" t="s">
        <v>63</v>
      </c>
    </row>
    <row r="242" spans="1:13">
      <c r="A242" s="3" t="s">
        <v>552</v>
      </c>
      <c r="B242" s="3" t="s">
        <v>553</v>
      </c>
      <c r="C242" s="3" t="s">
        <v>95</v>
      </c>
      <c r="D242" s="3" t="s">
        <v>99</v>
      </c>
      <c r="E242" s="8">
        <v>142.58000000000001</v>
      </c>
      <c r="F242" s="8">
        <v>139.79</v>
      </c>
      <c r="G242" s="8">
        <v>140.93499755859381</v>
      </c>
      <c r="H242" s="5">
        <f t="shared" si="6"/>
        <v>8.1908402503312328E-3</v>
      </c>
      <c r="I242" s="5">
        <f t="shared" si="7"/>
        <v>-1.1537399645154989E-2</v>
      </c>
      <c r="J242" s="5">
        <v>-3.4215801479228543E-2</v>
      </c>
      <c r="K242" s="5">
        <v>0.59045725646123259</v>
      </c>
      <c r="L242" s="5">
        <v>0.52286282306163023</v>
      </c>
      <c r="M242" s="3" t="s">
        <v>63</v>
      </c>
    </row>
    <row r="243" spans="1:13">
      <c r="A243" s="3" t="s">
        <v>554</v>
      </c>
      <c r="B243" s="3" t="s">
        <v>555</v>
      </c>
      <c r="C243" s="3" t="s">
        <v>71</v>
      </c>
      <c r="D243" s="3" t="s">
        <v>168</v>
      </c>
      <c r="E243" s="8">
        <v>22.1</v>
      </c>
      <c r="F243" s="8">
        <v>21.21</v>
      </c>
      <c r="G243" s="8">
        <v>21.840000152587891</v>
      </c>
      <c r="H243" s="5">
        <f t="shared" si="6"/>
        <v>2.9702977491178117E-2</v>
      </c>
      <c r="I243" s="5">
        <f t="shared" si="7"/>
        <v>-1.1764698977923538E-2</v>
      </c>
      <c r="J243" s="5">
        <v>-4.0271493212669651E-2</v>
      </c>
      <c r="K243" s="5">
        <v>0.9562624254473161</v>
      </c>
      <c r="L243" s="5">
        <v>0.52087475149105367</v>
      </c>
      <c r="M243" s="3" t="s">
        <v>283</v>
      </c>
    </row>
    <row r="244" spans="1:13">
      <c r="A244" s="3" t="s">
        <v>556</v>
      </c>
      <c r="B244" s="3" t="s">
        <v>557</v>
      </c>
      <c r="C244" s="3" t="s">
        <v>95</v>
      </c>
      <c r="D244" s="3" t="s">
        <v>99</v>
      </c>
      <c r="E244" s="8">
        <v>189.93</v>
      </c>
      <c r="F244" s="8">
        <v>187.15</v>
      </c>
      <c r="G244" s="8">
        <v>187.66999816894531</v>
      </c>
      <c r="H244" s="5">
        <f t="shared" si="6"/>
        <v>2.7785101199322426E-3</v>
      </c>
      <c r="I244" s="5">
        <f t="shared" si="7"/>
        <v>-1.1899130369371291E-2</v>
      </c>
      <c r="J244" s="5">
        <v>-3.5806285419886619E-2</v>
      </c>
      <c r="K244" s="5">
        <v>0.45129224652087468</v>
      </c>
      <c r="L244" s="5">
        <v>0.5188866799204771</v>
      </c>
      <c r="M244" s="3" t="s">
        <v>63</v>
      </c>
    </row>
    <row r="245" spans="1:13">
      <c r="A245" s="3" t="s">
        <v>558</v>
      </c>
      <c r="B245" s="3" t="s">
        <v>559</v>
      </c>
      <c r="C245" s="3" t="s">
        <v>61</v>
      </c>
      <c r="D245" s="3" t="s">
        <v>77</v>
      </c>
      <c r="E245" s="8">
        <v>442.36</v>
      </c>
      <c r="F245" s="8">
        <v>438.12</v>
      </c>
      <c r="G245" s="8">
        <v>436.8599853515625</v>
      </c>
      <c r="H245" s="5">
        <f t="shared" si="6"/>
        <v>-2.875957839033827E-3</v>
      </c>
      <c r="I245" s="5">
        <f t="shared" si="7"/>
        <v>-1.2433345348669689E-2</v>
      </c>
      <c r="J245" s="5">
        <v>-3.1452775775054009E-2</v>
      </c>
      <c r="K245" s="5">
        <v>0.25646123260437381</v>
      </c>
      <c r="L245" s="5">
        <v>0.51689860834990065</v>
      </c>
      <c r="M245" s="3" t="s">
        <v>63</v>
      </c>
    </row>
    <row r="246" spans="1:13">
      <c r="A246" s="3" t="s">
        <v>560</v>
      </c>
      <c r="B246" s="3" t="s">
        <v>561</v>
      </c>
      <c r="C246" s="3" t="s">
        <v>80</v>
      </c>
      <c r="D246" s="3" t="s">
        <v>81</v>
      </c>
      <c r="E246" s="8">
        <v>87.43</v>
      </c>
      <c r="F246" s="8">
        <v>86.09</v>
      </c>
      <c r="G246" s="8">
        <v>86.339996337890625</v>
      </c>
      <c r="H246" s="5">
        <f t="shared" si="6"/>
        <v>2.9038952014244224E-3</v>
      </c>
      <c r="I246" s="5">
        <f t="shared" si="7"/>
        <v>-1.2467158436570758E-2</v>
      </c>
      <c r="J246" s="5">
        <v>-3.2044074657072152E-2</v>
      </c>
      <c r="K246" s="5">
        <v>0.45526838966202782</v>
      </c>
      <c r="L246" s="5">
        <v>0.51491053677932408</v>
      </c>
      <c r="M246" s="3" t="s">
        <v>63</v>
      </c>
    </row>
    <row r="247" spans="1:13">
      <c r="A247" s="3" t="s">
        <v>562</v>
      </c>
      <c r="B247" s="3" t="s">
        <v>563</v>
      </c>
      <c r="C247" s="3" t="s">
        <v>61</v>
      </c>
      <c r="D247" s="3" t="s">
        <v>77</v>
      </c>
      <c r="E247" s="8">
        <v>152.19999999999999</v>
      </c>
      <c r="F247" s="8">
        <v>149.86000000000001</v>
      </c>
      <c r="G247" s="8">
        <v>150.30000305175781</v>
      </c>
      <c r="H247" s="5">
        <f t="shared" si="6"/>
        <v>2.9360940328160279E-3</v>
      </c>
      <c r="I247" s="5">
        <f t="shared" si="7"/>
        <v>-1.2483554193444046E-2</v>
      </c>
      <c r="J247" s="5">
        <v>-5.5544902524768291E-2</v>
      </c>
      <c r="K247" s="5">
        <v>0.45924453280318089</v>
      </c>
      <c r="L247" s="5">
        <v>0.51292246520874751</v>
      </c>
      <c r="M247" s="3" t="s">
        <v>63</v>
      </c>
    </row>
    <row r="248" spans="1:13">
      <c r="A248" s="3" t="s">
        <v>564</v>
      </c>
      <c r="B248" s="3" t="s">
        <v>565</v>
      </c>
      <c r="C248" s="3" t="s">
        <v>71</v>
      </c>
      <c r="D248" s="3" t="s">
        <v>168</v>
      </c>
      <c r="E248" s="8">
        <v>17.170000000000002</v>
      </c>
      <c r="F248" s="8">
        <v>16.420000000000002</v>
      </c>
      <c r="G248" s="8">
        <v>16.954999923706051</v>
      </c>
      <c r="H248" s="5">
        <f t="shared" si="6"/>
        <v>3.2582212162366009E-2</v>
      </c>
      <c r="I248" s="5">
        <f t="shared" si="7"/>
        <v>-1.2521844862781073E-2</v>
      </c>
      <c r="J248" s="5">
        <v>-4.3680838672102477E-2</v>
      </c>
      <c r="K248" s="5">
        <v>0.96620278330019882</v>
      </c>
      <c r="L248" s="5">
        <v>0.51093439363817095</v>
      </c>
      <c r="M248" s="3" t="s">
        <v>283</v>
      </c>
    </row>
    <row r="249" spans="1:13">
      <c r="A249" s="3" t="s">
        <v>566</v>
      </c>
      <c r="B249" s="3" t="s">
        <v>567</v>
      </c>
      <c r="C249" s="3" t="s">
        <v>251</v>
      </c>
      <c r="D249" s="3" t="s">
        <v>251</v>
      </c>
      <c r="E249" s="8">
        <v>138.71</v>
      </c>
      <c r="F249" s="8">
        <v>137.4</v>
      </c>
      <c r="G249" s="8">
        <v>136.94000244140619</v>
      </c>
      <c r="H249" s="5">
        <f t="shared" si="6"/>
        <v>-3.347871605486219E-3</v>
      </c>
      <c r="I249" s="5">
        <f t="shared" si="7"/>
        <v>-1.276041784005344E-2</v>
      </c>
      <c r="J249" s="5">
        <v>-2.3934828058539529E-2</v>
      </c>
      <c r="K249" s="5">
        <v>0.2485089463220676</v>
      </c>
      <c r="L249" s="5">
        <v>0.50894632206759438</v>
      </c>
      <c r="M249" s="3" t="s">
        <v>63</v>
      </c>
    </row>
    <row r="250" spans="1:13">
      <c r="A250" s="3" t="s">
        <v>568</v>
      </c>
      <c r="B250" s="3" t="s">
        <v>569</v>
      </c>
      <c r="C250" s="3" t="s">
        <v>71</v>
      </c>
      <c r="D250" s="3" t="s">
        <v>146</v>
      </c>
      <c r="E250" s="8">
        <v>111.19</v>
      </c>
      <c r="F250" s="8">
        <v>108.71</v>
      </c>
      <c r="G250" s="8">
        <v>109.75</v>
      </c>
      <c r="H250" s="5">
        <f t="shared" si="6"/>
        <v>9.5667371906908993E-3</v>
      </c>
      <c r="I250" s="5">
        <f t="shared" si="7"/>
        <v>-1.2950804928500759E-2</v>
      </c>
      <c r="J250" s="5">
        <v>-2.835352175863615E-2</v>
      </c>
      <c r="K250" s="5">
        <v>0.62624254473161034</v>
      </c>
      <c r="L250" s="5">
        <v>0.50695825049701793</v>
      </c>
      <c r="M250" s="3" t="s">
        <v>283</v>
      </c>
    </row>
    <row r="251" spans="1:13">
      <c r="A251" s="3" t="s">
        <v>570</v>
      </c>
      <c r="B251" s="3" t="s">
        <v>571</v>
      </c>
      <c r="C251" s="3" t="s">
        <v>40</v>
      </c>
      <c r="D251" s="3" t="s">
        <v>68</v>
      </c>
      <c r="E251" s="8">
        <v>110.55</v>
      </c>
      <c r="F251" s="8">
        <v>109.74</v>
      </c>
      <c r="G251" s="8">
        <v>109.09999847412109</v>
      </c>
      <c r="H251" s="5">
        <f t="shared" si="6"/>
        <v>-5.8319803706843309E-3</v>
      </c>
      <c r="I251" s="5">
        <f t="shared" si="7"/>
        <v>-1.3116250799447338E-2</v>
      </c>
      <c r="J251" s="5">
        <v>-2.9013897524732161E-2</v>
      </c>
      <c r="K251" s="5">
        <v>0.19880715705765409</v>
      </c>
      <c r="L251" s="5">
        <v>0.50497017892644136</v>
      </c>
      <c r="M251" s="3" t="s">
        <v>63</v>
      </c>
    </row>
    <row r="252" spans="1:13">
      <c r="A252" s="3" t="s">
        <v>572</v>
      </c>
      <c r="B252" s="3" t="s">
        <v>573</v>
      </c>
      <c r="C252" s="3" t="s">
        <v>57</v>
      </c>
      <c r="D252" s="3" t="s">
        <v>112</v>
      </c>
      <c r="E252" s="8">
        <v>35.44</v>
      </c>
      <c r="F252" s="8">
        <v>34.71</v>
      </c>
      <c r="G252" s="8">
        <v>34.974998474121087</v>
      </c>
      <c r="H252" s="5">
        <f t="shared" si="6"/>
        <v>7.6346434491814108E-3</v>
      </c>
      <c r="I252" s="5">
        <f t="shared" si="7"/>
        <v>-1.3120810549630657E-2</v>
      </c>
      <c r="J252" s="5">
        <v>-3.3964365256124673E-2</v>
      </c>
      <c r="K252" s="5">
        <v>0.57455268389662029</v>
      </c>
      <c r="L252" s="5">
        <v>0.50298210735586479</v>
      </c>
      <c r="M252" s="3" t="s">
        <v>63</v>
      </c>
    </row>
    <row r="253" spans="1:13">
      <c r="A253" s="3" t="s">
        <v>574</v>
      </c>
      <c r="B253" s="3" t="s">
        <v>575</v>
      </c>
      <c r="C253" s="3" t="s">
        <v>90</v>
      </c>
      <c r="D253" s="3" t="s">
        <v>90</v>
      </c>
      <c r="E253" s="8">
        <v>297.08999999999997</v>
      </c>
      <c r="F253" s="8">
        <v>296.06</v>
      </c>
      <c r="G253" s="8">
        <v>293.10000610351562</v>
      </c>
      <c r="H253" s="5">
        <f t="shared" si="6"/>
        <v>-9.997952767967222E-3</v>
      </c>
      <c r="I253" s="5">
        <f t="shared" si="7"/>
        <v>-1.3430253110115919E-2</v>
      </c>
      <c r="J253" s="5">
        <v>-5.0752688172042933E-2</v>
      </c>
      <c r="K253" s="5">
        <v>0.11530815109343941</v>
      </c>
      <c r="L253" s="5">
        <v>0.50099403578528823</v>
      </c>
      <c r="M253" s="3" t="s">
        <v>47</v>
      </c>
    </row>
    <row r="254" spans="1:13">
      <c r="A254" s="3" t="s">
        <v>576</v>
      </c>
      <c r="B254" s="3" t="s">
        <v>577</v>
      </c>
      <c r="C254" s="3" t="s">
        <v>61</v>
      </c>
      <c r="D254" s="3" t="s">
        <v>77</v>
      </c>
      <c r="E254" s="8">
        <v>290</v>
      </c>
      <c r="F254" s="8">
        <v>282.33999999999997</v>
      </c>
      <c r="G254" s="8">
        <v>286.10000610351562</v>
      </c>
      <c r="H254" s="5">
        <f t="shared" si="6"/>
        <v>1.3317298659473176E-2</v>
      </c>
      <c r="I254" s="5">
        <f t="shared" si="7"/>
        <v>-1.3448254815463412E-2</v>
      </c>
      <c r="J254" s="5">
        <v>-5.4390783039721342E-2</v>
      </c>
      <c r="K254" s="5">
        <v>0.71570576540755471</v>
      </c>
      <c r="L254" s="5">
        <v>0.49900596421471172</v>
      </c>
      <c r="M254" s="3" t="s">
        <v>283</v>
      </c>
    </row>
    <row r="255" spans="1:13">
      <c r="A255" s="3" t="s">
        <v>578</v>
      </c>
      <c r="B255" s="3" t="s">
        <v>579</v>
      </c>
      <c r="C255" s="3" t="s">
        <v>90</v>
      </c>
      <c r="D255" s="3" t="s">
        <v>90</v>
      </c>
      <c r="E255" s="8">
        <v>149.47999999999999</v>
      </c>
      <c r="F255" s="8">
        <v>148.35</v>
      </c>
      <c r="G255" s="8">
        <v>147.44000244140619</v>
      </c>
      <c r="H255" s="5">
        <f t="shared" si="6"/>
        <v>-6.1341257741408528E-3</v>
      </c>
      <c r="I255" s="5">
        <f t="shared" si="7"/>
        <v>-1.3647294344352412E-2</v>
      </c>
      <c r="J255" s="5">
        <v>-6.3377981051943921E-2</v>
      </c>
      <c r="K255" s="5">
        <v>0.1868787276341948</v>
      </c>
      <c r="L255" s="5">
        <v>0.49701789264413521</v>
      </c>
      <c r="M255" s="3" t="s">
        <v>63</v>
      </c>
    </row>
    <row r="256" spans="1:13">
      <c r="A256" s="3" t="s">
        <v>580</v>
      </c>
      <c r="B256" s="3" t="s">
        <v>581</v>
      </c>
      <c r="C256" s="3" t="s">
        <v>50</v>
      </c>
      <c r="D256" s="3" t="s">
        <v>50</v>
      </c>
      <c r="E256" s="8">
        <v>31.75</v>
      </c>
      <c r="F256" s="8">
        <v>30.46</v>
      </c>
      <c r="G256" s="8">
        <v>31.315000534057621</v>
      </c>
      <c r="H256" s="5">
        <f t="shared" si="6"/>
        <v>2.8069617007800973E-2</v>
      </c>
      <c r="I256" s="5">
        <f t="shared" si="7"/>
        <v>-1.3700770580862387E-2</v>
      </c>
      <c r="J256" s="5">
        <v>-8.3282674772036436E-2</v>
      </c>
      <c r="K256" s="5">
        <v>0.94433399602385681</v>
      </c>
      <c r="L256" s="5">
        <v>0.49502982107355858</v>
      </c>
      <c r="M256" s="3" t="s">
        <v>283</v>
      </c>
    </row>
    <row r="257" spans="1:13">
      <c r="A257" s="3" t="s">
        <v>582</v>
      </c>
      <c r="B257" s="3" t="s">
        <v>583</v>
      </c>
      <c r="C257" s="3" t="s">
        <v>71</v>
      </c>
      <c r="D257" s="3" t="s">
        <v>72</v>
      </c>
      <c r="E257" s="8">
        <v>110.88</v>
      </c>
      <c r="F257" s="8">
        <v>108.28</v>
      </c>
      <c r="G257" s="8">
        <v>109.2900009155273</v>
      </c>
      <c r="H257" s="5">
        <f t="shared" si="6"/>
        <v>9.3276774614639013E-3</v>
      </c>
      <c r="I257" s="5">
        <f t="shared" si="7"/>
        <v>-1.4339818582906672E-2</v>
      </c>
      <c r="J257" s="5">
        <v>-4.9274087109546949E-2</v>
      </c>
      <c r="K257" s="5">
        <v>0.62226640159045721</v>
      </c>
      <c r="L257" s="5">
        <v>0.49304174950298207</v>
      </c>
      <c r="M257" s="3" t="s">
        <v>63</v>
      </c>
    </row>
    <row r="258" spans="1:13">
      <c r="A258" s="3" t="s">
        <v>584</v>
      </c>
      <c r="B258" s="3" t="s">
        <v>585</v>
      </c>
      <c r="C258" s="3" t="s">
        <v>95</v>
      </c>
      <c r="D258" s="3" t="s">
        <v>181</v>
      </c>
      <c r="E258" s="8">
        <v>19.13</v>
      </c>
      <c r="F258" s="8">
        <v>18.75</v>
      </c>
      <c r="G258" s="8">
        <v>18.85000038146973</v>
      </c>
      <c r="H258" s="5">
        <f t="shared" ref="H258:H321" si="8">IFERROR(G258/F258-1,"")</f>
        <v>5.3333536783854996E-3</v>
      </c>
      <c r="I258" s="5">
        <f t="shared" ref="I258:I321" si="9">IFERROR(G258/E258-1,"")</f>
        <v>-1.4636676347635547E-2</v>
      </c>
      <c r="J258" s="5">
        <v>-3.4997426659804431E-2</v>
      </c>
      <c r="K258" s="5">
        <v>0.52683896620278325</v>
      </c>
      <c r="L258" s="5">
        <v>0.49105367793240562</v>
      </c>
      <c r="M258" s="3" t="s">
        <v>63</v>
      </c>
    </row>
    <row r="259" spans="1:13">
      <c r="A259" s="3" t="s">
        <v>586</v>
      </c>
      <c r="B259" s="3" t="s">
        <v>587</v>
      </c>
      <c r="C259" s="3" t="s">
        <v>45</v>
      </c>
      <c r="D259" s="3" t="s">
        <v>46</v>
      </c>
      <c r="E259" s="8">
        <v>71.95</v>
      </c>
      <c r="F259" s="8">
        <v>70.599999999999994</v>
      </c>
      <c r="G259" s="8">
        <v>70.839996337890625</v>
      </c>
      <c r="H259" s="5">
        <f t="shared" si="8"/>
        <v>3.3993815565245278E-3</v>
      </c>
      <c r="I259" s="5">
        <f t="shared" si="9"/>
        <v>-1.5427431023062876E-2</v>
      </c>
      <c r="J259" s="5">
        <v>-2.4322830292979662E-2</v>
      </c>
      <c r="K259" s="5">
        <v>0.47713717693836982</v>
      </c>
      <c r="L259" s="5">
        <v>0.48906560636182911</v>
      </c>
      <c r="M259" s="3" t="s">
        <v>63</v>
      </c>
    </row>
    <row r="260" spans="1:13">
      <c r="A260" s="3" t="s">
        <v>588</v>
      </c>
      <c r="B260" s="3" t="s">
        <v>589</v>
      </c>
      <c r="C260" s="3" t="s">
        <v>251</v>
      </c>
      <c r="D260" s="3" t="s">
        <v>251</v>
      </c>
      <c r="E260" s="8">
        <v>41.63</v>
      </c>
      <c r="F260" s="8">
        <v>40.96</v>
      </c>
      <c r="G260" s="8">
        <v>40.985000610351563</v>
      </c>
      <c r="H260" s="5">
        <f t="shared" si="8"/>
        <v>6.1036646366119385E-4</v>
      </c>
      <c r="I260" s="5">
        <f t="shared" si="9"/>
        <v>-1.5493619736931086E-2</v>
      </c>
      <c r="J260" s="5">
        <v>-2.5696445725264191E-2</v>
      </c>
      <c r="K260" s="5">
        <v>0.38568588469184889</v>
      </c>
      <c r="L260" s="5">
        <v>0.48707753479125249</v>
      </c>
      <c r="M260" s="3" t="s">
        <v>63</v>
      </c>
    </row>
    <row r="261" spans="1:13">
      <c r="A261" s="3" t="s">
        <v>590</v>
      </c>
      <c r="B261" s="3" t="s">
        <v>591</v>
      </c>
      <c r="C261" s="3" t="s">
        <v>71</v>
      </c>
      <c r="D261" s="3" t="s">
        <v>168</v>
      </c>
      <c r="E261" s="8">
        <v>30.59</v>
      </c>
      <c r="F261" s="8">
        <v>29.29</v>
      </c>
      <c r="G261" s="8">
        <v>30.10000038146973</v>
      </c>
      <c r="H261" s="5">
        <f t="shared" si="8"/>
        <v>2.7654502610779508E-2</v>
      </c>
      <c r="I261" s="5">
        <f t="shared" si="9"/>
        <v>-1.6018294165749292E-2</v>
      </c>
      <c r="J261" s="5">
        <v>-4.5928338762215033E-2</v>
      </c>
      <c r="K261" s="5">
        <v>0.93836978131212723</v>
      </c>
      <c r="L261" s="5">
        <v>0.48508946322067592</v>
      </c>
      <c r="M261" s="3" t="s">
        <v>283</v>
      </c>
    </row>
    <row r="262" spans="1:13">
      <c r="A262" s="3" t="s">
        <v>592</v>
      </c>
      <c r="B262" s="3" t="s">
        <v>593</v>
      </c>
      <c r="C262" s="3" t="s">
        <v>50</v>
      </c>
      <c r="D262" s="3" t="s">
        <v>50</v>
      </c>
      <c r="E262" s="8">
        <v>47.45</v>
      </c>
      <c r="F262" s="8">
        <v>45.82</v>
      </c>
      <c r="G262" s="8">
        <v>46.669998168945313</v>
      </c>
      <c r="H262" s="5">
        <f t="shared" si="8"/>
        <v>1.8550811194790739E-2</v>
      </c>
      <c r="I262" s="5">
        <f t="shared" si="9"/>
        <v>-1.6438394753523489E-2</v>
      </c>
      <c r="J262" s="5">
        <v>-5.7007614735542389E-2</v>
      </c>
      <c r="K262" s="5">
        <v>0.81312127236580511</v>
      </c>
      <c r="L262" s="5">
        <v>0.48310139165009941</v>
      </c>
      <c r="M262" s="3" t="s">
        <v>283</v>
      </c>
    </row>
    <row r="263" spans="1:13">
      <c r="A263" s="3" t="s">
        <v>594</v>
      </c>
      <c r="B263" s="3" t="s">
        <v>595</v>
      </c>
      <c r="C263" s="3" t="s">
        <v>71</v>
      </c>
      <c r="D263" s="3" t="s">
        <v>72</v>
      </c>
      <c r="E263" s="8">
        <v>112.23</v>
      </c>
      <c r="F263" s="8">
        <v>108.97499999999999</v>
      </c>
      <c r="G263" s="8">
        <v>110.36000061035161</v>
      </c>
      <c r="H263" s="5">
        <f t="shared" si="8"/>
        <v>1.2709342604740659E-2</v>
      </c>
      <c r="I263" s="5">
        <f t="shared" si="9"/>
        <v>-1.6662206091494269E-2</v>
      </c>
      <c r="J263" s="5">
        <v>-3.4508726853902827E-2</v>
      </c>
      <c r="K263" s="5">
        <v>0.70974155069582501</v>
      </c>
      <c r="L263" s="5">
        <v>0.48111332007952279</v>
      </c>
      <c r="M263" s="3" t="s">
        <v>283</v>
      </c>
    </row>
    <row r="264" spans="1:13">
      <c r="A264" s="3" t="s">
        <v>596</v>
      </c>
      <c r="B264" s="3" t="s">
        <v>597</v>
      </c>
      <c r="C264" s="3" t="s">
        <v>57</v>
      </c>
      <c r="D264" s="3" t="s">
        <v>338</v>
      </c>
      <c r="E264" s="8">
        <v>6418.86</v>
      </c>
      <c r="F264" s="8">
        <v>6275.82</v>
      </c>
      <c r="G264" s="8">
        <v>6311.64013671875</v>
      </c>
      <c r="H264" s="5">
        <f t="shared" si="8"/>
        <v>5.7076424624591393E-3</v>
      </c>
      <c r="I264" s="5">
        <f t="shared" si="9"/>
        <v>-1.6703879393108689E-2</v>
      </c>
      <c r="J264" s="5">
        <v>-2.4545598672001009E-2</v>
      </c>
      <c r="K264" s="5">
        <v>0.53280318091451295</v>
      </c>
      <c r="L264" s="5">
        <v>0.47912524850894628</v>
      </c>
      <c r="M264" s="3" t="s">
        <v>63</v>
      </c>
    </row>
    <row r="265" spans="1:13">
      <c r="A265" s="3" t="s">
        <v>598</v>
      </c>
      <c r="B265" s="3" t="s">
        <v>599</v>
      </c>
      <c r="C265" s="3" t="s">
        <v>61</v>
      </c>
      <c r="D265" s="3" t="s">
        <v>62</v>
      </c>
      <c r="E265" s="8">
        <v>172.33</v>
      </c>
      <c r="F265" s="8">
        <v>170.75</v>
      </c>
      <c r="G265" s="8">
        <v>169.44000244140619</v>
      </c>
      <c r="H265" s="5">
        <f t="shared" si="8"/>
        <v>-7.6720208409593038E-3</v>
      </c>
      <c r="I265" s="5">
        <f t="shared" si="9"/>
        <v>-1.6770136126001423E-2</v>
      </c>
      <c r="J265" s="5">
        <v>-5.1765613960455537E-2</v>
      </c>
      <c r="K265" s="5">
        <v>0.14910536779324049</v>
      </c>
      <c r="L265" s="5">
        <v>0.47713717693836982</v>
      </c>
      <c r="M265" s="3" t="s">
        <v>63</v>
      </c>
    </row>
    <row r="266" spans="1:13">
      <c r="A266" s="3" t="s">
        <v>600</v>
      </c>
      <c r="B266" s="3" t="s">
        <v>601</v>
      </c>
      <c r="C266" s="3" t="s">
        <v>57</v>
      </c>
      <c r="D266" s="3" t="s">
        <v>112</v>
      </c>
      <c r="E266" s="8">
        <v>234.69</v>
      </c>
      <c r="F266" s="8">
        <v>229.24</v>
      </c>
      <c r="G266" s="8">
        <v>230.75</v>
      </c>
      <c r="H266" s="5">
        <f t="shared" si="8"/>
        <v>6.5869830745071134E-3</v>
      </c>
      <c r="I266" s="5">
        <f t="shared" si="9"/>
        <v>-1.6788103455622316E-2</v>
      </c>
      <c r="J266" s="5">
        <v>-5.3742961245445531E-2</v>
      </c>
      <c r="K266" s="5">
        <v>0.55069582504970183</v>
      </c>
      <c r="L266" s="5">
        <v>0.47514910536779331</v>
      </c>
      <c r="M266" s="3" t="s">
        <v>63</v>
      </c>
    </row>
    <row r="267" spans="1:13">
      <c r="A267" s="3" t="s">
        <v>602</v>
      </c>
      <c r="B267" s="3" t="s">
        <v>603</v>
      </c>
      <c r="C267" s="3" t="s">
        <v>45</v>
      </c>
      <c r="D267" s="3" t="s">
        <v>345</v>
      </c>
      <c r="E267" s="8">
        <v>328.38</v>
      </c>
      <c r="F267" s="8">
        <v>324.88</v>
      </c>
      <c r="G267" s="8">
        <v>322.83999633789062</v>
      </c>
      <c r="H267" s="5">
        <f t="shared" si="8"/>
        <v>-6.2792528383075474E-3</v>
      </c>
      <c r="I267" s="5">
        <f t="shared" si="9"/>
        <v>-1.6870709732959899E-2</v>
      </c>
      <c r="J267" s="5">
        <v>-3.913808048486378E-2</v>
      </c>
      <c r="K267" s="5">
        <v>0.18091451292246519</v>
      </c>
      <c r="L267" s="5">
        <v>0.47316103379721669</v>
      </c>
      <c r="M267" s="3" t="s">
        <v>63</v>
      </c>
    </row>
    <row r="268" spans="1:13">
      <c r="A268" s="3" t="s">
        <v>604</v>
      </c>
      <c r="B268" s="3" t="s">
        <v>605</v>
      </c>
      <c r="C268" s="3" t="s">
        <v>61</v>
      </c>
      <c r="D268" s="3" t="s">
        <v>77</v>
      </c>
      <c r="E268" s="8">
        <v>128.47</v>
      </c>
      <c r="F268" s="8">
        <v>125.01</v>
      </c>
      <c r="G268" s="8">
        <v>126.3000030517578</v>
      </c>
      <c r="H268" s="5">
        <f t="shared" si="8"/>
        <v>1.0319198878152136E-2</v>
      </c>
      <c r="I268" s="5">
        <f t="shared" si="9"/>
        <v>-1.6891079226607042E-2</v>
      </c>
      <c r="J268" s="5">
        <v>-5.010792476102377E-2</v>
      </c>
      <c r="K268" s="5">
        <v>0.6500994035785288</v>
      </c>
      <c r="L268" s="5">
        <v>0.47117296222664018</v>
      </c>
      <c r="M268" s="3" t="s">
        <v>283</v>
      </c>
    </row>
    <row r="269" spans="1:13">
      <c r="A269" s="3" t="s">
        <v>606</v>
      </c>
      <c r="B269" s="3" t="s">
        <v>607</v>
      </c>
      <c r="C269" s="3" t="s">
        <v>45</v>
      </c>
      <c r="D269" s="3" t="s">
        <v>254</v>
      </c>
      <c r="E269" s="8">
        <v>203.08</v>
      </c>
      <c r="F269" s="8">
        <v>200.59</v>
      </c>
      <c r="G269" s="8">
        <v>199.5899963378906</v>
      </c>
      <c r="H269" s="5">
        <f t="shared" si="8"/>
        <v>-4.9853116412055254E-3</v>
      </c>
      <c r="I269" s="5">
        <f t="shared" si="9"/>
        <v>-1.718536370942203E-2</v>
      </c>
      <c r="J269" s="5">
        <v>-3.7656719682301887E-2</v>
      </c>
      <c r="K269" s="5">
        <v>0.21073558648111329</v>
      </c>
      <c r="L269" s="5">
        <v>0.46918489065606361</v>
      </c>
      <c r="M269" s="3" t="s">
        <v>63</v>
      </c>
    </row>
    <row r="270" spans="1:13">
      <c r="A270" s="3" t="s">
        <v>608</v>
      </c>
      <c r="B270" s="3" t="s">
        <v>609</v>
      </c>
      <c r="C270" s="3" t="s">
        <v>164</v>
      </c>
      <c r="D270" s="3" t="s">
        <v>165</v>
      </c>
      <c r="E270" s="8">
        <v>131.47</v>
      </c>
      <c r="F270" s="8">
        <v>129.36000000000001</v>
      </c>
      <c r="G270" s="8">
        <v>129.19999694824219</v>
      </c>
      <c r="H270" s="5">
        <f t="shared" si="8"/>
        <v>-1.2368819709169809E-3</v>
      </c>
      <c r="I270" s="5">
        <f t="shared" si="9"/>
        <v>-1.726631970607595E-2</v>
      </c>
      <c r="J270" s="5">
        <v>-3.2817662961850402E-2</v>
      </c>
      <c r="K270" s="5">
        <v>0.33200795228628233</v>
      </c>
      <c r="L270" s="5">
        <v>0.4671968190854871</v>
      </c>
      <c r="M270" s="3" t="s">
        <v>63</v>
      </c>
    </row>
    <row r="271" spans="1:13">
      <c r="A271" s="3" t="s">
        <v>610</v>
      </c>
      <c r="B271" s="3" t="s">
        <v>611</v>
      </c>
      <c r="C271" s="3" t="s">
        <v>71</v>
      </c>
      <c r="D271" s="3" t="s">
        <v>72</v>
      </c>
      <c r="E271" s="8">
        <v>33.979999999999997</v>
      </c>
      <c r="F271" s="8">
        <v>33.1</v>
      </c>
      <c r="G271" s="8">
        <v>33.389999389648437</v>
      </c>
      <c r="H271" s="5">
        <f t="shared" si="8"/>
        <v>8.7613108655115735E-3</v>
      </c>
      <c r="I271" s="5">
        <f t="shared" si="9"/>
        <v>-1.7363172759021772E-2</v>
      </c>
      <c r="J271" s="5">
        <v>-5.509563231515846E-2</v>
      </c>
      <c r="K271" s="5">
        <v>0.60834990059642147</v>
      </c>
      <c r="L271" s="5">
        <v>0.46520874751491048</v>
      </c>
      <c r="M271" s="3" t="s">
        <v>63</v>
      </c>
    </row>
    <row r="272" spans="1:13">
      <c r="A272" s="3" t="s">
        <v>612</v>
      </c>
      <c r="B272" s="3" t="s">
        <v>613</v>
      </c>
      <c r="C272" s="3" t="s">
        <v>71</v>
      </c>
      <c r="D272" s="3" t="s">
        <v>146</v>
      </c>
      <c r="E272" s="8">
        <v>122.22</v>
      </c>
      <c r="F272" s="8">
        <v>117.14</v>
      </c>
      <c r="G272" s="8">
        <v>120.05999755859381</v>
      </c>
      <c r="H272" s="5">
        <f t="shared" si="8"/>
        <v>2.4927416412786396E-2</v>
      </c>
      <c r="I272" s="5">
        <f t="shared" si="9"/>
        <v>-1.7673068576388395E-2</v>
      </c>
      <c r="J272" s="5">
        <v>-4.508029673106706E-2</v>
      </c>
      <c r="K272" s="5">
        <v>0.90059642147117291</v>
      </c>
      <c r="L272" s="5">
        <v>0.46322067594433403</v>
      </c>
      <c r="M272" s="3" t="s">
        <v>283</v>
      </c>
    </row>
    <row r="273" spans="1:13">
      <c r="A273" s="3" t="s">
        <v>614</v>
      </c>
      <c r="B273" s="3" t="s">
        <v>615</v>
      </c>
      <c r="C273" s="3" t="s">
        <v>45</v>
      </c>
      <c r="D273" s="3" t="s">
        <v>46</v>
      </c>
      <c r="E273" s="8">
        <v>261</v>
      </c>
      <c r="F273" s="8">
        <v>255.97</v>
      </c>
      <c r="G273" s="8">
        <v>256.32998657226562</v>
      </c>
      <c r="H273" s="5">
        <f t="shared" si="8"/>
        <v>1.4063623560012228E-3</v>
      </c>
      <c r="I273" s="5">
        <f t="shared" si="9"/>
        <v>-1.7892771753771575E-2</v>
      </c>
      <c r="J273" s="5">
        <v>-4.9428104575163327E-2</v>
      </c>
      <c r="K273" s="5">
        <v>0.40755467196819078</v>
      </c>
      <c r="L273" s="5">
        <v>0.46123260437375752</v>
      </c>
      <c r="M273" s="3" t="s">
        <v>63</v>
      </c>
    </row>
    <row r="274" spans="1:13">
      <c r="A274" s="3" t="s">
        <v>616</v>
      </c>
      <c r="B274" s="3" t="s">
        <v>617</v>
      </c>
      <c r="C274" s="3" t="s">
        <v>45</v>
      </c>
      <c r="D274" s="3" t="s">
        <v>46</v>
      </c>
      <c r="E274" s="8">
        <v>433.27</v>
      </c>
      <c r="F274" s="8">
        <v>417.53</v>
      </c>
      <c r="G274" s="8">
        <v>425.41000366210937</v>
      </c>
      <c r="H274" s="5">
        <f t="shared" si="8"/>
        <v>1.8872904131701729E-2</v>
      </c>
      <c r="I274" s="5">
        <f t="shared" si="9"/>
        <v>-1.8141104479633019E-2</v>
      </c>
      <c r="J274" s="5">
        <v>-4.4728653793355888E-2</v>
      </c>
      <c r="K274" s="5">
        <v>0.82107355864811138</v>
      </c>
      <c r="L274" s="5">
        <v>0.45924453280318089</v>
      </c>
      <c r="M274" s="3" t="s">
        <v>283</v>
      </c>
    </row>
    <row r="275" spans="1:13">
      <c r="A275" s="3" t="s">
        <v>618</v>
      </c>
      <c r="B275" s="3" t="s">
        <v>619</v>
      </c>
      <c r="C275" s="3" t="s">
        <v>71</v>
      </c>
      <c r="D275" s="3" t="s">
        <v>72</v>
      </c>
      <c r="E275" s="8">
        <v>143.1</v>
      </c>
      <c r="F275" s="8">
        <v>139.09</v>
      </c>
      <c r="G275" s="8">
        <v>140.5</v>
      </c>
      <c r="H275" s="5">
        <f t="shared" si="8"/>
        <v>1.013732115896171E-2</v>
      </c>
      <c r="I275" s="5">
        <f t="shared" si="9"/>
        <v>-1.8169112508735097E-2</v>
      </c>
      <c r="J275" s="5">
        <v>-2.8497590277292591E-2</v>
      </c>
      <c r="K275" s="5">
        <v>0.64811133200795223</v>
      </c>
      <c r="L275" s="5">
        <v>0.45725646123260438</v>
      </c>
      <c r="M275" s="3" t="s">
        <v>283</v>
      </c>
    </row>
    <row r="276" spans="1:13">
      <c r="A276" s="3" t="s">
        <v>620</v>
      </c>
      <c r="B276" s="3" t="s">
        <v>621</v>
      </c>
      <c r="C276" s="3" t="s">
        <v>61</v>
      </c>
      <c r="D276" s="3" t="s">
        <v>62</v>
      </c>
      <c r="E276" s="8">
        <v>163.04</v>
      </c>
      <c r="F276" s="8">
        <v>154.96</v>
      </c>
      <c r="G276" s="8">
        <v>160.03999328613281</v>
      </c>
      <c r="H276" s="5">
        <f t="shared" si="8"/>
        <v>3.2782610261569367E-2</v>
      </c>
      <c r="I276" s="5">
        <f t="shared" si="9"/>
        <v>-1.8400433720971443E-2</v>
      </c>
      <c r="J276" s="5">
        <v>-4.9558390578998912E-2</v>
      </c>
      <c r="K276" s="5">
        <v>0.96819085487077539</v>
      </c>
      <c r="L276" s="5">
        <v>0.45526838966202782</v>
      </c>
      <c r="M276" s="3" t="s">
        <v>283</v>
      </c>
    </row>
    <row r="277" spans="1:13">
      <c r="A277" s="3" t="s">
        <v>622</v>
      </c>
      <c r="B277" s="3" t="s">
        <v>623</v>
      </c>
      <c r="C277" s="3" t="s">
        <v>50</v>
      </c>
      <c r="D277" s="3" t="s">
        <v>50</v>
      </c>
      <c r="E277" s="8">
        <v>113.92</v>
      </c>
      <c r="F277" s="8">
        <v>109.7</v>
      </c>
      <c r="G277" s="8">
        <v>111.76999664306641</v>
      </c>
      <c r="H277" s="5">
        <f t="shared" si="8"/>
        <v>1.8869613883923497E-2</v>
      </c>
      <c r="I277" s="5">
        <f t="shared" si="9"/>
        <v>-1.8872922725891805E-2</v>
      </c>
      <c r="J277" s="5">
        <v>-4.1251529452892788E-2</v>
      </c>
      <c r="K277" s="5">
        <v>0.81709741550695825</v>
      </c>
      <c r="L277" s="5">
        <v>0.45328031809145131</v>
      </c>
      <c r="M277" s="3" t="s">
        <v>283</v>
      </c>
    </row>
    <row r="278" spans="1:13">
      <c r="A278" s="3" t="s">
        <v>624</v>
      </c>
      <c r="B278" s="3" t="s">
        <v>625</v>
      </c>
      <c r="C278" s="3" t="s">
        <v>57</v>
      </c>
      <c r="D278" s="3" t="s">
        <v>58</v>
      </c>
      <c r="E278" s="8">
        <v>267.45</v>
      </c>
      <c r="F278" s="8">
        <v>261.11</v>
      </c>
      <c r="G278" s="8">
        <v>262.32998657226562</v>
      </c>
      <c r="H278" s="5">
        <f t="shared" si="8"/>
        <v>4.6723088823317216E-3</v>
      </c>
      <c r="I278" s="5">
        <f t="shared" si="9"/>
        <v>-1.9143815396277297E-2</v>
      </c>
      <c r="J278" s="5">
        <v>-4.5791443457841141E-2</v>
      </c>
      <c r="K278" s="5">
        <v>0.51093439363817095</v>
      </c>
      <c r="L278" s="5">
        <v>0.45129224652087468</v>
      </c>
      <c r="M278" s="3" t="s">
        <v>63</v>
      </c>
    </row>
    <row r="279" spans="1:13">
      <c r="A279" s="3" t="s">
        <v>626</v>
      </c>
      <c r="B279" s="3" t="s">
        <v>627</v>
      </c>
      <c r="C279" s="3" t="s">
        <v>45</v>
      </c>
      <c r="D279" s="3" t="s">
        <v>254</v>
      </c>
      <c r="E279" s="8">
        <v>100.1</v>
      </c>
      <c r="F279" s="8">
        <v>97.05</v>
      </c>
      <c r="G279" s="8">
        <v>98.150001525878906</v>
      </c>
      <c r="H279" s="5">
        <f t="shared" si="8"/>
        <v>1.1334379452641929E-2</v>
      </c>
      <c r="I279" s="5">
        <f t="shared" si="9"/>
        <v>-1.9480504236973895E-2</v>
      </c>
      <c r="J279" s="5">
        <v>-3.0469530469530489E-2</v>
      </c>
      <c r="K279" s="5">
        <v>0.67793240556660039</v>
      </c>
      <c r="L279" s="5">
        <v>0.44930417495029817</v>
      </c>
      <c r="M279" s="3" t="s">
        <v>283</v>
      </c>
    </row>
    <row r="280" spans="1:13">
      <c r="A280" s="3" t="s">
        <v>628</v>
      </c>
      <c r="B280" s="3" t="s">
        <v>629</v>
      </c>
      <c r="C280" s="3" t="s">
        <v>251</v>
      </c>
      <c r="D280" s="3" t="s">
        <v>251</v>
      </c>
      <c r="E280" s="8">
        <v>85.59</v>
      </c>
      <c r="F280" s="8">
        <v>84.26</v>
      </c>
      <c r="G280" s="8">
        <v>83.889999389648438</v>
      </c>
      <c r="H280" s="5">
        <f t="shared" si="8"/>
        <v>-4.3911774311840013E-3</v>
      </c>
      <c r="I280" s="5">
        <f t="shared" si="9"/>
        <v>-1.9862140557910579E-2</v>
      </c>
      <c r="J280" s="5">
        <v>-6.5003433279926637E-2</v>
      </c>
      <c r="K280" s="5">
        <v>0.22067594433399601</v>
      </c>
      <c r="L280" s="5">
        <v>0.44731610337972172</v>
      </c>
      <c r="M280" s="3" t="s">
        <v>63</v>
      </c>
    </row>
    <row r="281" spans="1:13">
      <c r="A281" s="3" t="s">
        <v>630</v>
      </c>
      <c r="B281" s="3" t="s">
        <v>631</v>
      </c>
      <c r="C281" s="3" t="s">
        <v>71</v>
      </c>
      <c r="D281" s="3" t="s">
        <v>146</v>
      </c>
      <c r="E281" s="8">
        <v>69.61</v>
      </c>
      <c r="F281" s="8">
        <v>67.72</v>
      </c>
      <c r="G281" s="8">
        <v>68.180000305175781</v>
      </c>
      <c r="H281" s="5">
        <f t="shared" si="8"/>
        <v>6.792680230002679E-3</v>
      </c>
      <c r="I281" s="5">
        <f t="shared" si="9"/>
        <v>-2.0543021043301524E-2</v>
      </c>
      <c r="J281" s="5">
        <v>-3.0703012912482119E-2</v>
      </c>
      <c r="K281" s="5">
        <v>0.55467196819085485</v>
      </c>
      <c r="L281" s="5">
        <v>0.44532803180914521</v>
      </c>
      <c r="M281" s="3" t="s">
        <v>63</v>
      </c>
    </row>
    <row r="282" spans="1:13">
      <c r="A282" s="3" t="s">
        <v>632</v>
      </c>
      <c r="B282" s="3" t="s">
        <v>633</v>
      </c>
      <c r="C282" s="3" t="s">
        <v>95</v>
      </c>
      <c r="D282" s="3" t="s">
        <v>181</v>
      </c>
      <c r="E282" s="8">
        <v>109.88</v>
      </c>
      <c r="F282" s="8">
        <v>107.08</v>
      </c>
      <c r="G282" s="8">
        <v>107.61000061035161</v>
      </c>
      <c r="H282" s="5">
        <f t="shared" si="8"/>
        <v>4.9495761146023387E-3</v>
      </c>
      <c r="I282" s="5">
        <f t="shared" si="9"/>
        <v>-2.0658895064146199E-2</v>
      </c>
      <c r="J282" s="5">
        <v>-3.8520247822573461E-2</v>
      </c>
      <c r="K282" s="5">
        <v>0.52087475149105367</v>
      </c>
      <c r="L282" s="5">
        <v>0.44333996023856859</v>
      </c>
      <c r="M282" s="3" t="s">
        <v>63</v>
      </c>
    </row>
    <row r="283" spans="1:13">
      <c r="A283" s="3" t="s">
        <v>634</v>
      </c>
      <c r="B283" s="3" t="s">
        <v>635</v>
      </c>
      <c r="C283" s="3" t="s">
        <v>40</v>
      </c>
      <c r="D283" s="3" t="s">
        <v>161</v>
      </c>
      <c r="E283" s="8">
        <v>466.42</v>
      </c>
      <c r="F283" s="8">
        <v>459.61</v>
      </c>
      <c r="G283" s="8">
        <v>456.70001220703119</v>
      </c>
      <c r="H283" s="5">
        <f t="shared" si="8"/>
        <v>-6.33142836963696E-3</v>
      </c>
      <c r="I283" s="5">
        <f t="shared" si="9"/>
        <v>-2.083956046689428E-2</v>
      </c>
      <c r="J283" s="5">
        <v>-5.0381527026737372E-2</v>
      </c>
      <c r="K283" s="5">
        <v>0.17693836978131211</v>
      </c>
      <c r="L283" s="5">
        <v>0.44135188866799202</v>
      </c>
      <c r="M283" s="3" t="s">
        <v>63</v>
      </c>
    </row>
    <row r="284" spans="1:13">
      <c r="A284" s="3" t="s">
        <v>636</v>
      </c>
      <c r="B284" s="3" t="s">
        <v>637</v>
      </c>
      <c r="C284" s="3" t="s">
        <v>251</v>
      </c>
      <c r="D284" s="3" t="s">
        <v>251</v>
      </c>
      <c r="E284" s="8">
        <v>40.4</v>
      </c>
      <c r="F284" s="8">
        <v>39.47</v>
      </c>
      <c r="G284" s="8">
        <v>39.549999237060547</v>
      </c>
      <c r="H284" s="5">
        <f t="shared" si="8"/>
        <v>2.0268365102749097E-3</v>
      </c>
      <c r="I284" s="5">
        <f t="shared" si="9"/>
        <v>-2.103962284503591E-2</v>
      </c>
      <c r="J284" s="5">
        <v>-4.0346534653465271E-2</v>
      </c>
      <c r="K284" s="5">
        <v>0.4234592445328032</v>
      </c>
      <c r="L284" s="5">
        <v>0.43936381709741551</v>
      </c>
      <c r="M284" s="3" t="s">
        <v>63</v>
      </c>
    </row>
    <row r="285" spans="1:13">
      <c r="A285" s="3" t="s">
        <v>638</v>
      </c>
      <c r="B285" s="3" t="s">
        <v>639</v>
      </c>
      <c r="C285" s="3" t="s">
        <v>251</v>
      </c>
      <c r="D285" s="3" t="s">
        <v>251</v>
      </c>
      <c r="E285" s="8">
        <v>142.69999999999999</v>
      </c>
      <c r="F285" s="8">
        <v>138.08000000000001</v>
      </c>
      <c r="G285" s="8">
        <v>139.69000244140619</v>
      </c>
      <c r="H285" s="5">
        <f t="shared" si="8"/>
        <v>1.1659924981215042E-2</v>
      </c>
      <c r="I285" s="5">
        <f t="shared" si="9"/>
        <v>-2.1093185414112092E-2</v>
      </c>
      <c r="J285" s="5">
        <v>-4.9334267694463807E-2</v>
      </c>
      <c r="K285" s="5">
        <v>0.68986083499005968</v>
      </c>
      <c r="L285" s="5">
        <v>0.43737574552683889</v>
      </c>
      <c r="M285" s="3" t="s">
        <v>283</v>
      </c>
    </row>
    <row r="286" spans="1:13">
      <c r="A286" s="3" t="s">
        <v>640</v>
      </c>
      <c r="B286" s="3" t="s">
        <v>641</v>
      </c>
      <c r="C286" s="3" t="s">
        <v>95</v>
      </c>
      <c r="D286" s="3" t="s">
        <v>99</v>
      </c>
      <c r="E286" s="8">
        <v>90.35</v>
      </c>
      <c r="F286" s="8">
        <v>88</v>
      </c>
      <c r="G286" s="8">
        <v>88.44000244140625</v>
      </c>
      <c r="H286" s="5">
        <f t="shared" si="8"/>
        <v>5.0000277432529217E-3</v>
      </c>
      <c r="I286" s="5">
        <f t="shared" si="9"/>
        <v>-2.1139984046416704E-2</v>
      </c>
      <c r="J286" s="5">
        <v>-4.3374279813023109E-2</v>
      </c>
      <c r="K286" s="5">
        <v>0.52286282306163023</v>
      </c>
      <c r="L286" s="5">
        <v>0.43538767395626238</v>
      </c>
      <c r="M286" s="3" t="s">
        <v>63</v>
      </c>
    </row>
    <row r="287" spans="1:13">
      <c r="A287" s="3" t="s">
        <v>642</v>
      </c>
      <c r="B287" s="3" t="s">
        <v>643</v>
      </c>
      <c r="C287" s="3" t="s">
        <v>40</v>
      </c>
      <c r="D287" s="3" t="s">
        <v>41</v>
      </c>
      <c r="E287" s="8">
        <v>314.98</v>
      </c>
      <c r="F287" s="8">
        <v>313.04000000000002</v>
      </c>
      <c r="G287" s="8">
        <v>308.239990234375</v>
      </c>
      <c r="H287" s="5">
        <f t="shared" si="8"/>
        <v>-1.5333534901689982E-2</v>
      </c>
      <c r="I287" s="5">
        <f t="shared" si="9"/>
        <v>-2.1398215015635991E-2</v>
      </c>
      <c r="J287" s="5">
        <v>-0.1131060560081284</v>
      </c>
      <c r="K287" s="5">
        <v>5.9642147117296221E-2</v>
      </c>
      <c r="L287" s="5">
        <v>0.43339960238568592</v>
      </c>
      <c r="M287" s="3" t="s">
        <v>47</v>
      </c>
    </row>
    <row r="288" spans="1:13">
      <c r="A288" s="3" t="s">
        <v>644</v>
      </c>
      <c r="B288" s="3" t="s">
        <v>645</v>
      </c>
      <c r="C288" s="3" t="s">
        <v>40</v>
      </c>
      <c r="D288" s="3" t="s">
        <v>68</v>
      </c>
      <c r="E288" s="8">
        <v>36.58</v>
      </c>
      <c r="F288" s="8">
        <v>36.71</v>
      </c>
      <c r="G288" s="8">
        <v>35.790000915527337</v>
      </c>
      <c r="H288" s="5">
        <f t="shared" si="8"/>
        <v>-2.506126626185412E-2</v>
      </c>
      <c r="I288" s="5">
        <f t="shared" si="9"/>
        <v>-2.1596475792035608E-2</v>
      </c>
      <c r="J288" s="5">
        <v>-6.9422753106413548E-2</v>
      </c>
      <c r="K288" s="5">
        <v>3.1809145129224649E-2</v>
      </c>
      <c r="L288" s="5">
        <v>0.43141153081510941</v>
      </c>
      <c r="M288" s="3" t="s">
        <v>47</v>
      </c>
    </row>
    <row r="289" spans="1:13">
      <c r="A289" s="3" t="s">
        <v>646</v>
      </c>
      <c r="B289" s="3" t="s">
        <v>647</v>
      </c>
      <c r="C289" s="3" t="s">
        <v>251</v>
      </c>
      <c r="D289" s="3" t="s">
        <v>251</v>
      </c>
      <c r="E289" s="8">
        <v>99.43</v>
      </c>
      <c r="F289" s="8">
        <v>97.66</v>
      </c>
      <c r="G289" s="8">
        <v>97.279998779296875</v>
      </c>
      <c r="H289" s="5">
        <f t="shared" si="8"/>
        <v>-3.8910630831775483E-3</v>
      </c>
      <c r="I289" s="5">
        <f t="shared" si="9"/>
        <v>-2.1623264816485244E-2</v>
      </c>
      <c r="J289" s="5">
        <v>-2.162326481648524E-2</v>
      </c>
      <c r="K289" s="5">
        <v>0.23459244532803181</v>
      </c>
      <c r="L289" s="5">
        <v>0.42942345924453279</v>
      </c>
      <c r="M289" s="3" t="s">
        <v>63</v>
      </c>
    </row>
    <row r="290" spans="1:13">
      <c r="A290" s="3" t="s">
        <v>648</v>
      </c>
      <c r="B290" s="3" t="s">
        <v>649</v>
      </c>
      <c r="C290" s="3" t="s">
        <v>40</v>
      </c>
      <c r="D290" s="3" t="s">
        <v>68</v>
      </c>
      <c r="E290" s="8">
        <v>1568.87</v>
      </c>
      <c r="F290" s="8">
        <v>1536.87</v>
      </c>
      <c r="G290" s="8">
        <v>1534.68994140625</v>
      </c>
      <c r="H290" s="5">
        <f t="shared" si="8"/>
        <v>-1.4185055299080762E-3</v>
      </c>
      <c r="I290" s="5">
        <f t="shared" si="9"/>
        <v>-2.1786418628535142E-2</v>
      </c>
      <c r="J290" s="5">
        <v>-7.4877235071409753E-2</v>
      </c>
      <c r="K290" s="5">
        <v>0.31610337972167002</v>
      </c>
      <c r="L290" s="5">
        <v>0.42743538767395628</v>
      </c>
      <c r="M290" s="3" t="s">
        <v>63</v>
      </c>
    </row>
    <row r="291" spans="1:13">
      <c r="A291" s="3" t="s">
        <v>650</v>
      </c>
      <c r="B291" s="3" t="s">
        <v>651</v>
      </c>
      <c r="C291" s="3" t="s">
        <v>71</v>
      </c>
      <c r="D291" s="3" t="s">
        <v>72</v>
      </c>
      <c r="E291" s="8">
        <v>110.46</v>
      </c>
      <c r="F291" s="8">
        <v>106.41</v>
      </c>
      <c r="G291" s="8">
        <v>108.0500030517578</v>
      </c>
      <c r="H291" s="5">
        <f t="shared" si="8"/>
        <v>1.5412114009564881E-2</v>
      </c>
      <c r="I291" s="5">
        <f t="shared" si="9"/>
        <v>-2.1817824988613066E-2</v>
      </c>
      <c r="J291" s="5">
        <v>-3.6664856056491058E-2</v>
      </c>
      <c r="K291" s="5">
        <v>0.76540755467196819</v>
      </c>
      <c r="L291" s="5">
        <v>0.42544731610337971</v>
      </c>
      <c r="M291" s="3" t="s">
        <v>283</v>
      </c>
    </row>
    <row r="292" spans="1:13">
      <c r="A292" s="3" t="s">
        <v>652</v>
      </c>
      <c r="B292" s="3" t="s">
        <v>653</v>
      </c>
      <c r="C292" s="3" t="s">
        <v>61</v>
      </c>
      <c r="D292" s="3" t="s">
        <v>62</v>
      </c>
      <c r="E292" s="8">
        <v>151.51</v>
      </c>
      <c r="F292" s="8">
        <v>148.38</v>
      </c>
      <c r="G292" s="8">
        <v>148.16999816894531</v>
      </c>
      <c r="H292" s="5">
        <f t="shared" si="8"/>
        <v>-1.4152974191581347E-3</v>
      </c>
      <c r="I292" s="5">
        <f t="shared" si="9"/>
        <v>-2.2044761606855534E-2</v>
      </c>
      <c r="J292" s="5">
        <v>-5.5837898488548483E-2</v>
      </c>
      <c r="K292" s="5">
        <v>0.31809145129224647</v>
      </c>
      <c r="L292" s="5">
        <v>0.4234592445328032</v>
      </c>
      <c r="M292" s="3" t="s">
        <v>63</v>
      </c>
    </row>
    <row r="293" spans="1:13">
      <c r="A293" s="3" t="s">
        <v>654</v>
      </c>
      <c r="B293" s="3" t="s">
        <v>655</v>
      </c>
      <c r="C293" s="3" t="s">
        <v>61</v>
      </c>
      <c r="D293" s="3" t="s">
        <v>62</v>
      </c>
      <c r="E293" s="8">
        <v>562.20000000000005</v>
      </c>
      <c r="F293" s="8">
        <v>545.16</v>
      </c>
      <c r="G293" s="8">
        <v>549.67999267578125</v>
      </c>
      <c r="H293" s="5">
        <f t="shared" si="8"/>
        <v>8.2911304493749061E-3</v>
      </c>
      <c r="I293" s="5">
        <f t="shared" si="9"/>
        <v>-2.2269667954853745E-2</v>
      </c>
      <c r="J293" s="5">
        <v>-3.0451796513696231E-2</v>
      </c>
      <c r="K293" s="5">
        <v>0.59443339960238573</v>
      </c>
      <c r="L293" s="5">
        <v>0.42147117296222658</v>
      </c>
      <c r="M293" s="3" t="s">
        <v>63</v>
      </c>
    </row>
    <row r="294" spans="1:13">
      <c r="A294" s="3" t="s">
        <v>656</v>
      </c>
      <c r="B294" s="3" t="s">
        <v>657</v>
      </c>
      <c r="C294" s="3" t="s">
        <v>164</v>
      </c>
      <c r="D294" s="3" t="s">
        <v>165</v>
      </c>
      <c r="E294" s="8">
        <v>37.51</v>
      </c>
      <c r="F294" s="8">
        <v>36.869999999999997</v>
      </c>
      <c r="G294" s="8">
        <v>36.669998168945313</v>
      </c>
      <c r="H294" s="5">
        <f t="shared" si="8"/>
        <v>-5.4245139966011546E-3</v>
      </c>
      <c r="I294" s="5">
        <f t="shared" si="9"/>
        <v>-2.2394077074238461E-2</v>
      </c>
      <c r="J294" s="5">
        <v>-4.4803381897751682E-2</v>
      </c>
      <c r="K294" s="5">
        <v>0.20278330019880719</v>
      </c>
      <c r="L294" s="5">
        <v>0.41948310139165013</v>
      </c>
      <c r="M294" s="3" t="s">
        <v>63</v>
      </c>
    </row>
    <row r="295" spans="1:13">
      <c r="A295" s="3" t="s">
        <v>658</v>
      </c>
      <c r="B295" s="3" t="s">
        <v>659</v>
      </c>
      <c r="C295" s="3" t="s">
        <v>45</v>
      </c>
      <c r="D295" s="3" t="s">
        <v>345</v>
      </c>
      <c r="E295" s="8">
        <v>78.040000000000006</v>
      </c>
      <c r="F295" s="8">
        <v>75.239999999999995</v>
      </c>
      <c r="G295" s="8">
        <v>76.25</v>
      </c>
      <c r="H295" s="5">
        <f t="shared" si="8"/>
        <v>1.3423710792132004E-2</v>
      </c>
      <c r="I295" s="5">
        <f t="shared" si="9"/>
        <v>-2.2936955407483417E-2</v>
      </c>
      <c r="J295" s="5">
        <v>-6.3596764156813923E-2</v>
      </c>
      <c r="K295" s="5">
        <v>0.71769383697813116</v>
      </c>
      <c r="L295" s="5">
        <v>0.41749502982107362</v>
      </c>
      <c r="M295" s="3" t="s">
        <v>283</v>
      </c>
    </row>
    <row r="296" spans="1:13">
      <c r="A296" s="3" t="s">
        <v>660</v>
      </c>
      <c r="B296" s="3" t="s">
        <v>661</v>
      </c>
      <c r="C296" s="3" t="s">
        <v>40</v>
      </c>
      <c r="D296" s="3" t="s">
        <v>41</v>
      </c>
      <c r="E296" s="8">
        <v>175.19</v>
      </c>
      <c r="F296" s="8">
        <v>179.92</v>
      </c>
      <c r="G296" s="8">
        <v>171.1199951171875</v>
      </c>
      <c r="H296" s="5">
        <f t="shared" si="8"/>
        <v>-4.8910654084106775E-2</v>
      </c>
      <c r="I296" s="5">
        <f t="shared" si="9"/>
        <v>-2.3231947501641037E-2</v>
      </c>
      <c r="J296" s="5">
        <v>-8.1875763938257795E-2</v>
      </c>
      <c r="K296" s="5">
        <v>7.9522862823061622E-3</v>
      </c>
      <c r="L296" s="5">
        <v>0.41550695825049699</v>
      </c>
      <c r="M296" s="3" t="s">
        <v>47</v>
      </c>
    </row>
    <row r="297" spans="1:13">
      <c r="A297" s="3" t="s">
        <v>662</v>
      </c>
      <c r="B297" s="3" t="s">
        <v>663</v>
      </c>
      <c r="C297" s="3" t="s">
        <v>251</v>
      </c>
      <c r="D297" s="3" t="s">
        <v>251</v>
      </c>
      <c r="E297" s="8">
        <v>171.31</v>
      </c>
      <c r="F297" s="8">
        <v>167.7</v>
      </c>
      <c r="G297" s="8">
        <v>167.33000183105469</v>
      </c>
      <c r="H297" s="5">
        <f t="shared" si="8"/>
        <v>-2.2063098923392754E-3</v>
      </c>
      <c r="I297" s="5">
        <f t="shared" si="9"/>
        <v>-2.3232725287171241E-2</v>
      </c>
      <c r="J297" s="5">
        <v>-3.0237580993520589E-2</v>
      </c>
      <c r="K297" s="5">
        <v>0.28031809145129227</v>
      </c>
      <c r="L297" s="5">
        <v>0.41351888667992048</v>
      </c>
      <c r="M297" s="3" t="s">
        <v>63</v>
      </c>
    </row>
    <row r="298" spans="1:13">
      <c r="A298" s="3" t="s">
        <v>664</v>
      </c>
      <c r="B298" s="3" t="s">
        <v>665</v>
      </c>
      <c r="C298" s="3" t="s">
        <v>61</v>
      </c>
      <c r="D298" s="3" t="s">
        <v>62</v>
      </c>
      <c r="E298" s="8">
        <v>114.43</v>
      </c>
      <c r="F298" s="8">
        <v>108.93</v>
      </c>
      <c r="G298" s="8">
        <v>111.7200012207031</v>
      </c>
      <c r="H298" s="5">
        <f t="shared" si="8"/>
        <v>2.5612790055109524E-2</v>
      </c>
      <c r="I298" s="5">
        <f t="shared" si="9"/>
        <v>-2.3682590048911267E-2</v>
      </c>
      <c r="J298" s="5">
        <v>-6.6340961686808919E-2</v>
      </c>
      <c r="K298" s="5">
        <v>0.91053677932405563</v>
      </c>
      <c r="L298" s="5">
        <v>0.41153081510934392</v>
      </c>
      <c r="M298" s="3" t="s">
        <v>283</v>
      </c>
    </row>
    <row r="299" spans="1:13">
      <c r="A299" s="3" t="s">
        <v>666</v>
      </c>
      <c r="B299" s="3" t="s">
        <v>667</v>
      </c>
      <c r="C299" s="3" t="s">
        <v>80</v>
      </c>
      <c r="D299" s="3" t="s">
        <v>81</v>
      </c>
      <c r="E299" s="8">
        <v>184.19</v>
      </c>
      <c r="F299" s="8">
        <v>177.2</v>
      </c>
      <c r="G299" s="8">
        <v>179.77000427246091</v>
      </c>
      <c r="H299" s="5">
        <f t="shared" si="8"/>
        <v>1.4503410115467963E-2</v>
      </c>
      <c r="I299" s="5">
        <f t="shared" si="9"/>
        <v>-2.3996936465275454E-2</v>
      </c>
      <c r="J299" s="5">
        <v>-5.1239492423836963E-2</v>
      </c>
      <c r="K299" s="5">
        <v>0.74353876739562619</v>
      </c>
      <c r="L299" s="5">
        <v>0.40954274353876741</v>
      </c>
      <c r="M299" s="3" t="s">
        <v>283</v>
      </c>
    </row>
    <row r="300" spans="1:13">
      <c r="A300" s="3" t="s">
        <v>668</v>
      </c>
      <c r="B300" s="3" t="s">
        <v>669</v>
      </c>
      <c r="C300" s="3" t="s">
        <v>95</v>
      </c>
      <c r="D300" s="3" t="s">
        <v>96</v>
      </c>
      <c r="E300" s="8">
        <v>956.99</v>
      </c>
      <c r="F300" s="8">
        <v>939.96</v>
      </c>
      <c r="G300" s="8">
        <v>933.78497314453125</v>
      </c>
      <c r="H300" s="5">
        <f t="shared" si="8"/>
        <v>-6.5694570571820377E-3</v>
      </c>
      <c r="I300" s="5">
        <f t="shared" si="9"/>
        <v>-2.4247930339364787E-2</v>
      </c>
      <c r="J300" s="5">
        <v>-3.8722490071514071E-2</v>
      </c>
      <c r="K300" s="5">
        <v>0.16898608349900601</v>
      </c>
      <c r="L300" s="5">
        <v>0.40755467196819078</v>
      </c>
      <c r="M300" s="3" t="s">
        <v>63</v>
      </c>
    </row>
    <row r="301" spans="1:13">
      <c r="A301" s="3" t="s">
        <v>670</v>
      </c>
      <c r="B301" s="3" t="s">
        <v>671</v>
      </c>
      <c r="C301" s="3" t="s">
        <v>251</v>
      </c>
      <c r="D301" s="3" t="s">
        <v>251</v>
      </c>
      <c r="E301" s="8">
        <v>71.989999999999995</v>
      </c>
      <c r="F301" s="8">
        <v>70.5</v>
      </c>
      <c r="G301" s="8">
        <v>70.239997863769531</v>
      </c>
      <c r="H301" s="5">
        <f t="shared" si="8"/>
        <v>-3.6879735635527711E-3</v>
      </c>
      <c r="I301" s="5">
        <f t="shared" si="9"/>
        <v>-2.4308961470071777E-2</v>
      </c>
      <c r="J301" s="5">
        <v>-2.7858627858627919E-2</v>
      </c>
      <c r="K301" s="5">
        <v>0.24055666003976139</v>
      </c>
      <c r="L301" s="5">
        <v>0.40556660039761427</v>
      </c>
      <c r="M301" s="3" t="s">
        <v>63</v>
      </c>
    </row>
    <row r="302" spans="1:13">
      <c r="A302" s="3" t="s">
        <v>672</v>
      </c>
      <c r="B302" s="3" t="s">
        <v>673</v>
      </c>
      <c r="C302" s="3" t="s">
        <v>40</v>
      </c>
      <c r="D302" s="3" t="s">
        <v>41</v>
      </c>
      <c r="E302" s="8">
        <v>192.82</v>
      </c>
      <c r="F302" s="8">
        <v>189.93</v>
      </c>
      <c r="G302" s="8">
        <v>188.11000061035159</v>
      </c>
      <c r="H302" s="5">
        <f t="shared" si="8"/>
        <v>-9.5824745414015977E-3</v>
      </c>
      <c r="I302" s="5">
        <f t="shared" si="9"/>
        <v>-2.4426923501962516E-2</v>
      </c>
      <c r="J302" s="5">
        <v>-7.2344409654050756E-2</v>
      </c>
      <c r="K302" s="5">
        <v>0.12127236580516899</v>
      </c>
      <c r="L302" s="5">
        <v>0.40357852882703782</v>
      </c>
      <c r="M302" s="3" t="s">
        <v>47</v>
      </c>
    </row>
    <row r="303" spans="1:13">
      <c r="A303" s="3" t="s">
        <v>674</v>
      </c>
      <c r="B303" s="3" t="s">
        <v>675</v>
      </c>
      <c r="C303" s="3" t="s">
        <v>164</v>
      </c>
      <c r="D303" s="3" t="s">
        <v>165</v>
      </c>
      <c r="E303" s="8">
        <v>108.4</v>
      </c>
      <c r="F303" s="8">
        <v>105.96</v>
      </c>
      <c r="G303" s="8">
        <v>105.7399978637695</v>
      </c>
      <c r="H303" s="5">
        <f t="shared" si="8"/>
        <v>-2.0762753513636767E-3</v>
      </c>
      <c r="I303" s="5">
        <f t="shared" si="9"/>
        <v>-2.4538765094377357E-2</v>
      </c>
      <c r="J303" s="5">
        <v>-3.1241430473939569E-2</v>
      </c>
      <c r="K303" s="5">
        <v>0.28628230616302192</v>
      </c>
      <c r="L303" s="5">
        <v>0.40159045725646131</v>
      </c>
      <c r="M303" s="3" t="s">
        <v>63</v>
      </c>
    </row>
    <row r="304" spans="1:13">
      <c r="A304" s="3" t="s">
        <v>676</v>
      </c>
      <c r="B304" s="3" t="s">
        <v>677</v>
      </c>
      <c r="C304" s="3" t="s">
        <v>40</v>
      </c>
      <c r="D304" s="3" t="s">
        <v>41</v>
      </c>
      <c r="E304" s="8">
        <v>237.16</v>
      </c>
      <c r="F304" s="8">
        <v>231.4</v>
      </c>
      <c r="G304" s="8">
        <v>231.16999816894531</v>
      </c>
      <c r="H304" s="5">
        <f t="shared" si="8"/>
        <v>-9.9395778329602891E-4</v>
      </c>
      <c r="I304" s="5">
        <f t="shared" si="9"/>
        <v>-2.5257218042902152E-2</v>
      </c>
      <c r="J304" s="5">
        <v>-3.1910891708424427E-2</v>
      </c>
      <c r="K304" s="5">
        <v>0.33996023856858848</v>
      </c>
      <c r="L304" s="5">
        <v>0.39960238568588469</v>
      </c>
      <c r="M304" s="3" t="s">
        <v>63</v>
      </c>
    </row>
    <row r="305" spans="1:13">
      <c r="A305" s="3" t="s">
        <v>678</v>
      </c>
      <c r="B305" s="3" t="s">
        <v>679</v>
      </c>
      <c r="C305" s="3" t="s">
        <v>80</v>
      </c>
      <c r="D305" s="3" t="s">
        <v>81</v>
      </c>
      <c r="E305" s="8">
        <v>344.72</v>
      </c>
      <c r="F305" s="8">
        <v>335.02</v>
      </c>
      <c r="G305" s="8">
        <v>335.98001098632812</v>
      </c>
      <c r="H305" s="5">
        <f t="shared" si="8"/>
        <v>2.8655333601819155E-3</v>
      </c>
      <c r="I305" s="5">
        <f t="shared" si="9"/>
        <v>-2.5353878549756015E-2</v>
      </c>
      <c r="J305" s="5">
        <v>-3.7464804918692203E-2</v>
      </c>
      <c r="K305" s="5">
        <v>0.45328031809145131</v>
      </c>
      <c r="L305" s="5">
        <v>0.39761431411530818</v>
      </c>
      <c r="M305" s="3" t="s">
        <v>63</v>
      </c>
    </row>
    <row r="306" spans="1:13">
      <c r="A306" s="3" t="s">
        <v>680</v>
      </c>
      <c r="B306" s="3" t="s">
        <v>681</v>
      </c>
      <c r="C306" s="3" t="s">
        <v>251</v>
      </c>
      <c r="D306" s="3" t="s">
        <v>251</v>
      </c>
      <c r="E306" s="8">
        <v>139.18</v>
      </c>
      <c r="F306" s="8">
        <v>136.06</v>
      </c>
      <c r="G306" s="8">
        <v>135.6499938964844</v>
      </c>
      <c r="H306" s="5">
        <f t="shared" si="8"/>
        <v>-3.0134213105659224E-3</v>
      </c>
      <c r="I306" s="5">
        <f t="shared" si="9"/>
        <v>-2.5362883341827902E-2</v>
      </c>
      <c r="J306" s="5">
        <v>-2.8452363845380191E-2</v>
      </c>
      <c r="K306" s="5">
        <v>0.25248508946322068</v>
      </c>
      <c r="L306" s="5">
        <v>0.39562624254473161</v>
      </c>
      <c r="M306" s="3" t="s">
        <v>63</v>
      </c>
    </row>
    <row r="307" spans="1:13">
      <c r="A307" s="3" t="s">
        <v>682</v>
      </c>
      <c r="B307" s="3" t="s">
        <v>683</v>
      </c>
      <c r="C307" s="3" t="s">
        <v>50</v>
      </c>
      <c r="D307" s="3" t="s">
        <v>50</v>
      </c>
      <c r="E307" s="8">
        <v>94.74</v>
      </c>
      <c r="F307" s="8">
        <v>91.2</v>
      </c>
      <c r="G307" s="8">
        <v>92.300003051757813</v>
      </c>
      <c r="H307" s="5">
        <f t="shared" si="8"/>
        <v>1.2061436971028572E-2</v>
      </c>
      <c r="I307" s="5">
        <f t="shared" si="9"/>
        <v>-2.5754664853727904E-2</v>
      </c>
      <c r="J307" s="5">
        <v>-6.0278207109737192E-2</v>
      </c>
      <c r="K307" s="5">
        <v>0.6998011928429424</v>
      </c>
      <c r="L307" s="5">
        <v>0.39363817097415499</v>
      </c>
      <c r="M307" s="3" t="s">
        <v>283</v>
      </c>
    </row>
    <row r="308" spans="1:13">
      <c r="A308" s="3" t="s">
        <v>684</v>
      </c>
      <c r="B308" s="3" t="s">
        <v>685</v>
      </c>
      <c r="C308" s="3" t="s">
        <v>61</v>
      </c>
      <c r="D308" s="3" t="s">
        <v>77</v>
      </c>
      <c r="E308" s="8">
        <v>155.41</v>
      </c>
      <c r="F308" s="8">
        <v>149.93</v>
      </c>
      <c r="G308" s="8">
        <v>151.3500061035156</v>
      </c>
      <c r="H308" s="5">
        <f t="shared" si="8"/>
        <v>9.4711272161380755E-3</v>
      </c>
      <c r="I308" s="5">
        <f t="shared" si="9"/>
        <v>-2.6124405742773305E-2</v>
      </c>
      <c r="J308" s="5">
        <v>-5.7044025157232607E-2</v>
      </c>
      <c r="K308" s="5">
        <v>0.62425447316103377</v>
      </c>
      <c r="L308" s="5">
        <v>0.39165009940357848</v>
      </c>
      <c r="M308" s="3" t="s">
        <v>283</v>
      </c>
    </row>
    <row r="309" spans="1:13">
      <c r="A309" s="3" t="s">
        <v>686</v>
      </c>
      <c r="B309" s="3" t="s">
        <v>687</v>
      </c>
      <c r="C309" s="3" t="s">
        <v>57</v>
      </c>
      <c r="D309" s="3" t="s">
        <v>58</v>
      </c>
      <c r="E309" s="8">
        <v>186.39</v>
      </c>
      <c r="F309" s="8">
        <v>182.54499999999999</v>
      </c>
      <c r="G309" s="8">
        <v>181.44000244140619</v>
      </c>
      <c r="H309" s="5">
        <f t="shared" si="8"/>
        <v>-6.0532885512820656E-3</v>
      </c>
      <c r="I309" s="5">
        <f t="shared" si="9"/>
        <v>-2.6557205636535186E-2</v>
      </c>
      <c r="J309" s="5">
        <v>-4.7559042302329657E-2</v>
      </c>
      <c r="K309" s="5">
        <v>0.19085487077534791</v>
      </c>
      <c r="L309" s="5">
        <v>0.38966202783300202</v>
      </c>
      <c r="M309" s="3" t="s">
        <v>63</v>
      </c>
    </row>
    <row r="310" spans="1:13">
      <c r="A310" s="3" t="s">
        <v>688</v>
      </c>
      <c r="B310" s="3" t="s">
        <v>689</v>
      </c>
      <c r="C310" s="3" t="s">
        <v>71</v>
      </c>
      <c r="D310" s="3" t="s">
        <v>72</v>
      </c>
      <c r="E310" s="8">
        <v>339.9</v>
      </c>
      <c r="F310" s="8">
        <v>324.19</v>
      </c>
      <c r="G310" s="8">
        <v>330.80999755859381</v>
      </c>
      <c r="H310" s="5">
        <f t="shared" si="8"/>
        <v>2.0420116470569072E-2</v>
      </c>
      <c r="I310" s="5">
        <f t="shared" si="9"/>
        <v>-2.6743166935587426E-2</v>
      </c>
      <c r="J310" s="5">
        <v>-4.6219476316563653E-2</v>
      </c>
      <c r="K310" s="5">
        <v>0.83896620278330025</v>
      </c>
      <c r="L310" s="5">
        <v>0.38767395626242551</v>
      </c>
      <c r="M310" s="3" t="s">
        <v>283</v>
      </c>
    </row>
    <row r="311" spans="1:13">
      <c r="A311" s="3" t="s">
        <v>690</v>
      </c>
      <c r="B311" s="3" t="s">
        <v>691</v>
      </c>
      <c r="C311" s="3" t="s">
        <v>40</v>
      </c>
      <c r="D311" s="3" t="s">
        <v>41</v>
      </c>
      <c r="E311" s="8">
        <v>251.29</v>
      </c>
      <c r="F311" s="8">
        <v>247.69</v>
      </c>
      <c r="G311" s="8">
        <v>244.53999328613281</v>
      </c>
      <c r="H311" s="5">
        <f t="shared" si="8"/>
        <v>-1.2717536896391435E-2</v>
      </c>
      <c r="I311" s="5">
        <f t="shared" si="9"/>
        <v>-2.6861421918369932E-2</v>
      </c>
      <c r="J311" s="5">
        <v>-9.6237736395399454E-2</v>
      </c>
      <c r="K311" s="5">
        <v>8.1510934393638171E-2</v>
      </c>
      <c r="L311" s="5">
        <v>0.38568588469184889</v>
      </c>
      <c r="M311" s="3" t="s">
        <v>47</v>
      </c>
    </row>
    <row r="312" spans="1:13">
      <c r="A312" s="3" t="s">
        <v>692</v>
      </c>
      <c r="B312" s="3" t="s">
        <v>693</v>
      </c>
      <c r="C312" s="3" t="s">
        <v>61</v>
      </c>
      <c r="D312" s="3" t="s">
        <v>77</v>
      </c>
      <c r="E312" s="8">
        <v>265.97000000000003</v>
      </c>
      <c r="F312" s="8">
        <v>259.99</v>
      </c>
      <c r="G312" s="8">
        <v>258.82000732421881</v>
      </c>
      <c r="H312" s="5">
        <f t="shared" si="8"/>
        <v>-4.500144912424342E-3</v>
      </c>
      <c r="I312" s="5">
        <f t="shared" si="9"/>
        <v>-2.6882703597327584E-2</v>
      </c>
      <c r="J312" s="5">
        <v>-3.9440538406587337E-2</v>
      </c>
      <c r="K312" s="5">
        <v>0.2186878727634195</v>
      </c>
      <c r="L312" s="5">
        <v>0.38369781312127238</v>
      </c>
      <c r="M312" s="3" t="s">
        <v>63</v>
      </c>
    </row>
    <row r="313" spans="1:13">
      <c r="A313" s="3" t="s">
        <v>694</v>
      </c>
      <c r="B313" s="3" t="s">
        <v>695</v>
      </c>
      <c r="C313" s="3" t="s">
        <v>251</v>
      </c>
      <c r="D313" s="3" t="s">
        <v>251</v>
      </c>
      <c r="E313" s="8">
        <v>126.27</v>
      </c>
      <c r="F313" s="8">
        <v>122.96</v>
      </c>
      <c r="G313" s="8">
        <v>122.86000061035161</v>
      </c>
      <c r="H313" s="5">
        <f t="shared" si="8"/>
        <v>-8.1326764515610162E-4</v>
      </c>
      <c r="I313" s="5">
        <f t="shared" si="9"/>
        <v>-2.7005618037921897E-2</v>
      </c>
      <c r="J313" s="5">
        <v>-4.221113486972361E-2</v>
      </c>
      <c r="K313" s="5">
        <v>0.34592445328031812</v>
      </c>
      <c r="L313" s="5">
        <v>0.38170974155069581</v>
      </c>
      <c r="M313" s="3" t="s">
        <v>63</v>
      </c>
    </row>
    <row r="314" spans="1:13">
      <c r="A314" s="3" t="s">
        <v>696</v>
      </c>
      <c r="B314" s="3" t="s">
        <v>679</v>
      </c>
      <c r="C314" s="3" t="s">
        <v>80</v>
      </c>
      <c r="D314" s="3" t="s">
        <v>81</v>
      </c>
      <c r="E314" s="8">
        <v>341.7</v>
      </c>
      <c r="F314" s="8">
        <v>332.03</v>
      </c>
      <c r="G314" s="8">
        <v>332.3800048828125</v>
      </c>
      <c r="H314" s="5">
        <f t="shared" si="8"/>
        <v>1.0541363214544575E-3</v>
      </c>
      <c r="I314" s="5">
        <f t="shared" si="9"/>
        <v>-2.7275373477282705E-2</v>
      </c>
      <c r="J314" s="5">
        <v>-3.6449113439159582E-2</v>
      </c>
      <c r="K314" s="5">
        <v>0.39960238568588469</v>
      </c>
      <c r="L314" s="5">
        <v>0.3797216699801193</v>
      </c>
      <c r="M314" s="3" t="s">
        <v>63</v>
      </c>
    </row>
    <row r="315" spans="1:13">
      <c r="A315" s="3" t="s">
        <v>697</v>
      </c>
      <c r="B315" s="3" t="s">
        <v>698</v>
      </c>
      <c r="C315" s="3" t="s">
        <v>251</v>
      </c>
      <c r="D315" s="3" t="s">
        <v>251</v>
      </c>
      <c r="E315" s="8">
        <v>123.6</v>
      </c>
      <c r="F315" s="8">
        <v>120.39</v>
      </c>
      <c r="G315" s="8">
        <v>120.2099990844727</v>
      </c>
      <c r="H315" s="5">
        <f t="shared" si="8"/>
        <v>-1.4951483971036295E-3</v>
      </c>
      <c r="I315" s="5">
        <f t="shared" si="9"/>
        <v>-2.7427191873198198E-2</v>
      </c>
      <c r="J315" s="5">
        <v>-3.033980582524276E-2</v>
      </c>
      <c r="K315" s="5">
        <v>0.31212723658051689</v>
      </c>
      <c r="L315" s="5">
        <v>0.37773359840954268</v>
      </c>
      <c r="M315" s="3" t="s">
        <v>63</v>
      </c>
    </row>
    <row r="316" spans="1:13">
      <c r="A316" s="3" t="s">
        <v>699</v>
      </c>
      <c r="B316" s="3" t="s">
        <v>700</v>
      </c>
      <c r="C316" s="3" t="s">
        <v>71</v>
      </c>
      <c r="D316" s="3" t="s">
        <v>72</v>
      </c>
      <c r="E316" s="8">
        <v>1158.92</v>
      </c>
      <c r="F316" s="8">
        <v>1128.0999999999999</v>
      </c>
      <c r="G316" s="8">
        <v>1127.010009765625</v>
      </c>
      <c r="H316" s="5">
        <f t="shared" si="8"/>
        <v>-9.6621774166727459E-4</v>
      </c>
      <c r="I316" s="5">
        <f t="shared" si="9"/>
        <v>-2.7534247604990014E-2</v>
      </c>
      <c r="J316" s="5">
        <v>-4.2179417863046582E-2</v>
      </c>
      <c r="K316" s="5">
        <v>0.34194831013916499</v>
      </c>
      <c r="L316" s="5">
        <v>0.37574552683896623</v>
      </c>
      <c r="M316" s="3" t="s">
        <v>63</v>
      </c>
    </row>
    <row r="317" spans="1:13">
      <c r="A317" s="3" t="s">
        <v>701</v>
      </c>
      <c r="B317" s="3" t="s">
        <v>702</v>
      </c>
      <c r="C317" s="3" t="s">
        <v>251</v>
      </c>
      <c r="D317" s="3" t="s">
        <v>251</v>
      </c>
      <c r="E317" s="8">
        <v>75.33</v>
      </c>
      <c r="F317" s="8">
        <v>73.48</v>
      </c>
      <c r="G317" s="8">
        <v>73.25</v>
      </c>
      <c r="H317" s="5">
        <f t="shared" si="8"/>
        <v>-3.1301034295047048E-3</v>
      </c>
      <c r="I317" s="5">
        <f t="shared" si="9"/>
        <v>-2.7611841231912848E-2</v>
      </c>
      <c r="J317" s="5">
        <v>-3.6107792380193793E-2</v>
      </c>
      <c r="K317" s="5">
        <v>0.25049701789264411</v>
      </c>
      <c r="L317" s="5">
        <v>0.37375745526838972</v>
      </c>
      <c r="M317" s="3" t="s">
        <v>63</v>
      </c>
    </row>
    <row r="318" spans="1:13">
      <c r="A318" s="3" t="s">
        <v>703</v>
      </c>
      <c r="B318" s="3" t="s">
        <v>704</v>
      </c>
      <c r="C318" s="3" t="s">
        <v>90</v>
      </c>
      <c r="D318" s="3" t="s">
        <v>90</v>
      </c>
      <c r="E318" s="8">
        <v>208.55</v>
      </c>
      <c r="F318" s="8">
        <v>203.16</v>
      </c>
      <c r="G318" s="8">
        <v>202.78999328613281</v>
      </c>
      <c r="H318" s="5">
        <f t="shared" si="8"/>
        <v>-1.8212576977120198E-3</v>
      </c>
      <c r="I318" s="5">
        <f t="shared" si="9"/>
        <v>-2.7619308146090593E-2</v>
      </c>
      <c r="J318" s="5">
        <v>-6.3264145578618258E-2</v>
      </c>
      <c r="K318" s="5">
        <v>0.30019880715705771</v>
      </c>
      <c r="L318" s="5">
        <v>0.37176938369781309</v>
      </c>
      <c r="M318" s="3" t="s">
        <v>63</v>
      </c>
    </row>
    <row r="319" spans="1:13">
      <c r="A319" s="3" t="s">
        <v>705</v>
      </c>
      <c r="B319" s="3" t="s">
        <v>706</v>
      </c>
      <c r="C319" s="3" t="s">
        <v>164</v>
      </c>
      <c r="D319" s="3" t="s">
        <v>165</v>
      </c>
      <c r="E319" s="8">
        <v>141.30000000000001</v>
      </c>
      <c r="F319" s="8">
        <v>139.68</v>
      </c>
      <c r="G319" s="8">
        <v>137.3800048828125</v>
      </c>
      <c r="H319" s="5">
        <f t="shared" si="8"/>
        <v>-1.646617351938362E-2</v>
      </c>
      <c r="I319" s="5">
        <f t="shared" si="9"/>
        <v>-2.7742357517250626E-2</v>
      </c>
      <c r="J319" s="5">
        <v>-4.1713135583060217E-2</v>
      </c>
      <c r="K319" s="5">
        <v>5.5666003976143137E-2</v>
      </c>
      <c r="L319" s="5">
        <v>0.36978131212723658</v>
      </c>
      <c r="M319" s="3" t="s">
        <v>47</v>
      </c>
    </row>
    <row r="320" spans="1:13">
      <c r="A320" s="3" t="s">
        <v>707</v>
      </c>
      <c r="B320" s="3" t="s">
        <v>708</v>
      </c>
      <c r="C320" s="3" t="s">
        <v>61</v>
      </c>
      <c r="D320" s="3" t="s">
        <v>77</v>
      </c>
      <c r="E320" s="8">
        <v>352.79</v>
      </c>
      <c r="F320" s="8">
        <v>338.65</v>
      </c>
      <c r="G320" s="8">
        <v>343</v>
      </c>
      <c r="H320" s="5">
        <f t="shared" si="8"/>
        <v>1.2845120330724935E-2</v>
      </c>
      <c r="I320" s="5">
        <f t="shared" si="9"/>
        <v>-2.7750219677428523E-2</v>
      </c>
      <c r="J320" s="5">
        <v>-4.6075133561353288E-2</v>
      </c>
      <c r="K320" s="5">
        <v>0.71172962226640157</v>
      </c>
      <c r="L320" s="5">
        <v>0.36779324055666002</v>
      </c>
      <c r="M320" s="3" t="s">
        <v>283</v>
      </c>
    </row>
    <row r="321" spans="1:13">
      <c r="A321" s="3" t="s">
        <v>709</v>
      </c>
      <c r="B321" s="3" t="s">
        <v>710</v>
      </c>
      <c r="C321" s="3" t="s">
        <v>45</v>
      </c>
      <c r="D321" s="3" t="s">
        <v>254</v>
      </c>
      <c r="E321" s="8">
        <v>225.08</v>
      </c>
      <c r="F321" s="8">
        <v>219.77</v>
      </c>
      <c r="G321" s="8">
        <v>218.82000732421881</v>
      </c>
      <c r="H321" s="5">
        <f t="shared" si="8"/>
        <v>-4.3226676788515883E-3</v>
      </c>
      <c r="I321" s="5">
        <f t="shared" si="9"/>
        <v>-2.7812300852057992E-2</v>
      </c>
      <c r="J321" s="5">
        <v>-3.8417380552857039E-2</v>
      </c>
      <c r="K321" s="5">
        <v>0.2226640159045726</v>
      </c>
      <c r="L321" s="5">
        <v>0.36580516898608351</v>
      </c>
      <c r="M321" s="3" t="s">
        <v>63</v>
      </c>
    </row>
    <row r="322" spans="1:13">
      <c r="A322" s="3" t="s">
        <v>711</v>
      </c>
      <c r="B322" s="3" t="s">
        <v>712</v>
      </c>
      <c r="C322" s="3" t="s">
        <v>164</v>
      </c>
      <c r="D322" s="3" t="s">
        <v>165</v>
      </c>
      <c r="E322" s="8">
        <v>62.95</v>
      </c>
      <c r="F322" s="8">
        <v>61.36</v>
      </c>
      <c r="G322" s="8">
        <v>61.180000305175781</v>
      </c>
      <c r="H322" s="5">
        <f t="shared" ref="H322:H385" si="10">IFERROR(G322/F322-1,"")</f>
        <v>-2.933502197265625E-3</v>
      </c>
      <c r="I322" s="5">
        <f t="shared" ref="I322:I385" si="11">IFERROR(G322/E322-1,"")</f>
        <v>-2.8117548766071865E-2</v>
      </c>
      <c r="J322" s="5">
        <v>-3.1502290562359092E-2</v>
      </c>
      <c r="K322" s="5">
        <v>0.25447316103379719</v>
      </c>
      <c r="L322" s="5">
        <v>0.36381709741550688</v>
      </c>
      <c r="M322" s="3" t="s">
        <v>63</v>
      </c>
    </row>
    <row r="323" spans="1:13">
      <c r="A323" s="3" t="s">
        <v>713</v>
      </c>
      <c r="B323" s="3" t="s">
        <v>714</v>
      </c>
      <c r="C323" s="3" t="s">
        <v>80</v>
      </c>
      <c r="D323" s="3" t="s">
        <v>81</v>
      </c>
      <c r="E323" s="8">
        <v>88.435000000000002</v>
      </c>
      <c r="F323" s="8">
        <v>86.04</v>
      </c>
      <c r="G323" s="8">
        <v>85.94000244140625</v>
      </c>
      <c r="H323" s="5">
        <f t="shared" si="10"/>
        <v>-1.162221740978131E-3</v>
      </c>
      <c r="I323" s="5">
        <f t="shared" si="11"/>
        <v>-2.8212784062800367E-2</v>
      </c>
      <c r="J323" s="5">
        <v>-3.5223610561429419E-2</v>
      </c>
      <c r="K323" s="5">
        <v>0.3359840954274354</v>
      </c>
      <c r="L323" s="5">
        <v>0.36182902584493037</v>
      </c>
      <c r="M323" s="3" t="s">
        <v>63</v>
      </c>
    </row>
    <row r="324" spans="1:13">
      <c r="A324" s="3" t="s">
        <v>715</v>
      </c>
      <c r="B324" s="3" t="s">
        <v>716</v>
      </c>
      <c r="C324" s="3" t="s">
        <v>164</v>
      </c>
      <c r="D324" s="3" t="s">
        <v>165</v>
      </c>
      <c r="E324" s="8">
        <v>26.37</v>
      </c>
      <c r="F324" s="8">
        <v>25.54</v>
      </c>
      <c r="G324" s="8">
        <v>25.614999771118161</v>
      </c>
      <c r="H324" s="5">
        <f t="shared" si="10"/>
        <v>2.9365611244385192E-3</v>
      </c>
      <c r="I324" s="5">
        <f t="shared" si="11"/>
        <v>-2.8631028778226764E-2</v>
      </c>
      <c r="J324" s="5">
        <v>-4.630321135175508E-2</v>
      </c>
      <c r="K324" s="5">
        <v>0.46123260437375752</v>
      </c>
      <c r="L324" s="5">
        <v>0.35984095427435392</v>
      </c>
      <c r="M324" s="3" t="s">
        <v>63</v>
      </c>
    </row>
    <row r="325" spans="1:13">
      <c r="A325" s="3" t="s">
        <v>717</v>
      </c>
      <c r="B325" s="3" t="s">
        <v>718</v>
      </c>
      <c r="C325" s="3" t="s">
        <v>251</v>
      </c>
      <c r="D325" s="3" t="s">
        <v>251</v>
      </c>
      <c r="E325" s="8">
        <v>47.25</v>
      </c>
      <c r="F325" s="8">
        <v>46.16</v>
      </c>
      <c r="G325" s="8">
        <v>45.880001068115227</v>
      </c>
      <c r="H325" s="5">
        <f t="shared" si="10"/>
        <v>-6.0658347462038131E-3</v>
      </c>
      <c r="I325" s="5">
        <f t="shared" si="11"/>
        <v>-2.8994686389095747E-2</v>
      </c>
      <c r="J325" s="5">
        <v>-2.9417989417989451E-2</v>
      </c>
      <c r="K325" s="5">
        <v>0.1888667992047714</v>
      </c>
      <c r="L325" s="5">
        <v>0.35785288270377741</v>
      </c>
      <c r="M325" s="3" t="s">
        <v>63</v>
      </c>
    </row>
    <row r="326" spans="1:13">
      <c r="A326" s="3" t="s">
        <v>719</v>
      </c>
      <c r="B326" s="3" t="s">
        <v>720</v>
      </c>
      <c r="C326" s="3" t="s">
        <v>90</v>
      </c>
      <c r="D326" s="3" t="s">
        <v>90</v>
      </c>
      <c r="E326" s="8">
        <v>373.18</v>
      </c>
      <c r="F326" s="8">
        <v>369.93</v>
      </c>
      <c r="G326" s="8">
        <v>362</v>
      </c>
      <c r="H326" s="5">
        <f t="shared" si="10"/>
        <v>-2.1436487984213271E-2</v>
      </c>
      <c r="I326" s="5">
        <f t="shared" si="11"/>
        <v>-2.9958733051074549E-2</v>
      </c>
      <c r="J326" s="5">
        <v>-5.6407048274423888E-2</v>
      </c>
      <c r="K326" s="5">
        <v>4.1749502982107348E-2</v>
      </c>
      <c r="L326" s="5">
        <v>0.35586481113320079</v>
      </c>
      <c r="M326" s="3" t="s">
        <v>47</v>
      </c>
    </row>
    <row r="327" spans="1:13">
      <c r="A327" s="3" t="s">
        <v>721</v>
      </c>
      <c r="B327" s="3" t="s">
        <v>722</v>
      </c>
      <c r="C327" s="3" t="s">
        <v>95</v>
      </c>
      <c r="D327" s="3" t="s">
        <v>99</v>
      </c>
      <c r="E327" s="8">
        <v>64.16</v>
      </c>
      <c r="F327" s="8">
        <v>61.61</v>
      </c>
      <c r="G327" s="8">
        <v>62.229999542236328</v>
      </c>
      <c r="H327" s="5">
        <f t="shared" si="10"/>
        <v>1.0063293982086163E-2</v>
      </c>
      <c r="I327" s="5">
        <f t="shared" si="11"/>
        <v>-3.0081054516266637E-2</v>
      </c>
      <c r="J327" s="5">
        <v>-4.7758887171561071E-2</v>
      </c>
      <c r="K327" s="5">
        <v>0.64612326043737578</v>
      </c>
      <c r="L327" s="5">
        <v>0.35387673956262428</v>
      </c>
      <c r="M327" s="3" t="s">
        <v>283</v>
      </c>
    </row>
    <row r="328" spans="1:13">
      <c r="A328" s="3" t="s">
        <v>723</v>
      </c>
      <c r="B328" s="3" t="s">
        <v>724</v>
      </c>
      <c r="C328" s="3" t="s">
        <v>57</v>
      </c>
      <c r="D328" s="3" t="s">
        <v>58</v>
      </c>
      <c r="E328" s="8">
        <v>43.22</v>
      </c>
      <c r="F328" s="8">
        <v>40.770000000000003</v>
      </c>
      <c r="G328" s="8">
        <v>41.900001525878913</v>
      </c>
      <c r="H328" s="5">
        <f t="shared" si="10"/>
        <v>2.7716495606546765E-2</v>
      </c>
      <c r="I328" s="5">
        <f t="shared" si="11"/>
        <v>-3.0541380706179622E-2</v>
      </c>
      <c r="J328" s="5">
        <v>-6.7901234567901203E-2</v>
      </c>
      <c r="K328" s="5">
        <v>0.94035785288270379</v>
      </c>
      <c r="L328" s="5">
        <v>0.35188866799204771</v>
      </c>
      <c r="M328" s="3" t="s">
        <v>283</v>
      </c>
    </row>
    <row r="329" spans="1:13">
      <c r="A329" s="3" t="s">
        <v>725</v>
      </c>
      <c r="B329" s="3" t="s">
        <v>726</v>
      </c>
      <c r="C329" s="3" t="s">
        <v>251</v>
      </c>
      <c r="D329" s="3" t="s">
        <v>251</v>
      </c>
      <c r="E329" s="8">
        <v>109.28</v>
      </c>
      <c r="F329" s="8">
        <v>106.09</v>
      </c>
      <c r="G329" s="8">
        <v>105.94000244140619</v>
      </c>
      <c r="H329" s="5">
        <f t="shared" si="10"/>
        <v>-1.4138708511057807E-3</v>
      </c>
      <c r="I329" s="5">
        <f t="shared" si="11"/>
        <v>-3.0563667263852512E-2</v>
      </c>
      <c r="J329" s="5">
        <v>-3.0563667263852509E-2</v>
      </c>
      <c r="K329" s="5">
        <v>0.32007952286282298</v>
      </c>
      <c r="L329" s="5">
        <v>0.3499005964214712</v>
      </c>
      <c r="M329" s="3" t="s">
        <v>63</v>
      </c>
    </row>
    <row r="330" spans="1:13">
      <c r="A330" s="3" t="s">
        <v>727</v>
      </c>
      <c r="B330" s="3" t="s">
        <v>728</v>
      </c>
      <c r="C330" s="3" t="s">
        <v>251</v>
      </c>
      <c r="D330" s="3" t="s">
        <v>251</v>
      </c>
      <c r="E330" s="8">
        <v>35.49</v>
      </c>
      <c r="F330" s="8">
        <v>34.47</v>
      </c>
      <c r="G330" s="8">
        <v>34.400001525878913</v>
      </c>
      <c r="H330" s="5">
        <f t="shared" si="10"/>
        <v>-2.0307071111426156E-3</v>
      </c>
      <c r="I330" s="5">
        <f t="shared" si="11"/>
        <v>-3.0712833872107326E-2</v>
      </c>
      <c r="J330" s="5">
        <v>-3.8320653705269048E-2</v>
      </c>
      <c r="K330" s="5">
        <v>0.28827037773359843</v>
      </c>
      <c r="L330" s="5">
        <v>0.34791252485089458</v>
      </c>
      <c r="M330" s="3" t="s">
        <v>63</v>
      </c>
    </row>
    <row r="331" spans="1:13">
      <c r="A331" s="3" t="s">
        <v>729</v>
      </c>
      <c r="B331" s="3" t="s">
        <v>730</v>
      </c>
      <c r="C331" s="3" t="s">
        <v>164</v>
      </c>
      <c r="D331" s="3" t="s">
        <v>165</v>
      </c>
      <c r="E331" s="8">
        <v>287.36</v>
      </c>
      <c r="F331" s="8">
        <v>279</v>
      </c>
      <c r="G331" s="8">
        <v>278.510009765625</v>
      </c>
      <c r="H331" s="5">
        <f t="shared" si="10"/>
        <v>-1.7562373991935054E-3</v>
      </c>
      <c r="I331" s="5">
        <f t="shared" si="11"/>
        <v>-3.0797571806705948E-2</v>
      </c>
      <c r="J331" s="5">
        <v>-5.1428732789669973E-2</v>
      </c>
      <c r="K331" s="5">
        <v>0.3061630218687873</v>
      </c>
      <c r="L331" s="5">
        <v>0.34592445328031812</v>
      </c>
      <c r="M331" s="3" t="s">
        <v>63</v>
      </c>
    </row>
    <row r="332" spans="1:13">
      <c r="A332" s="3" t="s">
        <v>731</v>
      </c>
      <c r="B332" s="3" t="s">
        <v>732</v>
      </c>
      <c r="C332" s="3" t="s">
        <v>251</v>
      </c>
      <c r="D332" s="3" t="s">
        <v>251</v>
      </c>
      <c r="E332" s="8">
        <v>83.58</v>
      </c>
      <c r="F332" s="8">
        <v>81.52</v>
      </c>
      <c r="G332" s="8">
        <v>81</v>
      </c>
      <c r="H332" s="5">
        <f t="shared" si="10"/>
        <v>-6.3788027477919007E-3</v>
      </c>
      <c r="I332" s="5">
        <f t="shared" si="11"/>
        <v>-3.0868628858578551E-2</v>
      </c>
      <c r="J332" s="5">
        <v>-3.5056233548695803E-2</v>
      </c>
      <c r="K332" s="5">
        <v>0.1749502982107356</v>
      </c>
      <c r="L332" s="5">
        <v>0.34393638170974161</v>
      </c>
      <c r="M332" s="3" t="s">
        <v>63</v>
      </c>
    </row>
    <row r="333" spans="1:13">
      <c r="A333" s="3" t="s">
        <v>733</v>
      </c>
      <c r="B333" s="3" t="s">
        <v>734</v>
      </c>
      <c r="C333" s="3" t="s">
        <v>71</v>
      </c>
      <c r="D333" s="3" t="s">
        <v>168</v>
      </c>
      <c r="E333" s="8">
        <v>244.55</v>
      </c>
      <c r="F333" s="8">
        <v>232.02</v>
      </c>
      <c r="G333" s="8">
        <v>236.99000549316409</v>
      </c>
      <c r="H333" s="5">
        <f t="shared" si="10"/>
        <v>2.1420590867873734E-2</v>
      </c>
      <c r="I333" s="5">
        <f t="shared" si="11"/>
        <v>-3.0913901070684591E-2</v>
      </c>
      <c r="J333" s="5">
        <v>-5.1236965855653287E-2</v>
      </c>
      <c r="K333" s="5">
        <v>0.85288270377733599</v>
      </c>
      <c r="L333" s="5">
        <v>0.34194831013916499</v>
      </c>
      <c r="M333" s="3" t="s">
        <v>283</v>
      </c>
    </row>
    <row r="334" spans="1:13">
      <c r="A334" s="3" t="s">
        <v>735</v>
      </c>
      <c r="B334" s="3" t="s">
        <v>736</v>
      </c>
      <c r="C334" s="3" t="s">
        <v>251</v>
      </c>
      <c r="D334" s="3" t="s">
        <v>251</v>
      </c>
      <c r="E334" s="8">
        <v>109.34</v>
      </c>
      <c r="F334" s="8">
        <v>106.2</v>
      </c>
      <c r="G334" s="8">
        <v>105.9300003051758</v>
      </c>
      <c r="H334" s="5">
        <f t="shared" si="10"/>
        <v>-2.542370007760919E-3</v>
      </c>
      <c r="I334" s="5">
        <f t="shared" si="11"/>
        <v>-3.1187119945346731E-2</v>
      </c>
      <c r="J334" s="5">
        <v>-3.1187119945346731E-2</v>
      </c>
      <c r="K334" s="5">
        <v>0.27037773359840961</v>
      </c>
      <c r="L334" s="5">
        <v>0.33996023856858848</v>
      </c>
      <c r="M334" s="3" t="s">
        <v>63</v>
      </c>
    </row>
    <row r="335" spans="1:13">
      <c r="A335" s="3" t="s">
        <v>737</v>
      </c>
      <c r="B335" s="3" t="s">
        <v>738</v>
      </c>
      <c r="C335" s="3" t="s">
        <v>251</v>
      </c>
      <c r="D335" s="3" t="s">
        <v>251</v>
      </c>
      <c r="E335" s="8">
        <v>70.150000000000006</v>
      </c>
      <c r="F335" s="8">
        <v>67.92</v>
      </c>
      <c r="G335" s="8">
        <v>67.949996948242188</v>
      </c>
      <c r="H335" s="5">
        <f t="shared" si="10"/>
        <v>4.4165118142203141E-4</v>
      </c>
      <c r="I335" s="5">
        <f t="shared" si="11"/>
        <v>-3.1361411999398681E-2</v>
      </c>
      <c r="J335" s="5">
        <v>-3.2644333570919559E-2</v>
      </c>
      <c r="K335" s="5">
        <v>0.3797216699801193</v>
      </c>
      <c r="L335" s="5">
        <v>0.33797216699801191</v>
      </c>
      <c r="M335" s="3" t="s">
        <v>63</v>
      </c>
    </row>
    <row r="336" spans="1:13">
      <c r="A336" s="3" t="s">
        <v>739</v>
      </c>
      <c r="B336" s="3" t="s">
        <v>740</v>
      </c>
      <c r="C336" s="3" t="s">
        <v>45</v>
      </c>
      <c r="D336" s="3" t="s">
        <v>46</v>
      </c>
      <c r="E336" s="8">
        <v>393.93</v>
      </c>
      <c r="F336" s="8">
        <v>381.2</v>
      </c>
      <c r="G336" s="8">
        <v>381.54000854492187</v>
      </c>
      <c r="H336" s="5">
        <f t="shared" si="10"/>
        <v>8.9194266768588548E-4</v>
      </c>
      <c r="I336" s="5">
        <f t="shared" si="11"/>
        <v>-3.145226678617552E-2</v>
      </c>
      <c r="J336" s="5">
        <v>-4.0958035624434008E-2</v>
      </c>
      <c r="K336" s="5">
        <v>0.39363817097415499</v>
      </c>
      <c r="L336" s="5">
        <v>0.3359840954274354</v>
      </c>
      <c r="M336" s="3" t="s">
        <v>63</v>
      </c>
    </row>
    <row r="337" spans="1:13">
      <c r="A337" s="3" t="s">
        <v>741</v>
      </c>
      <c r="B337" s="3" t="s">
        <v>742</v>
      </c>
      <c r="C337" s="3" t="s">
        <v>45</v>
      </c>
      <c r="D337" s="3" t="s">
        <v>46</v>
      </c>
      <c r="E337" s="8">
        <v>455.48</v>
      </c>
      <c r="F337" s="8">
        <v>440.15</v>
      </c>
      <c r="G337" s="8">
        <v>440.67001342773437</v>
      </c>
      <c r="H337" s="5">
        <f t="shared" si="10"/>
        <v>1.1814459337371463E-3</v>
      </c>
      <c r="I337" s="5">
        <f t="shared" si="11"/>
        <v>-3.2515119373552337E-2</v>
      </c>
      <c r="J337" s="5">
        <v>-5.0172637030643119E-2</v>
      </c>
      <c r="K337" s="5">
        <v>0.40159045725646131</v>
      </c>
      <c r="L337" s="5">
        <v>0.33399602385685878</v>
      </c>
      <c r="M337" s="3" t="s">
        <v>63</v>
      </c>
    </row>
    <row r="338" spans="1:13">
      <c r="A338" s="3" t="s">
        <v>743</v>
      </c>
      <c r="B338" s="3" t="s">
        <v>744</v>
      </c>
      <c r="C338" s="3" t="s">
        <v>45</v>
      </c>
      <c r="D338" s="3" t="s">
        <v>46</v>
      </c>
      <c r="E338" s="8">
        <v>234.45</v>
      </c>
      <c r="F338" s="8">
        <v>222.86</v>
      </c>
      <c r="G338" s="8">
        <v>226.6000061035156</v>
      </c>
      <c r="H338" s="5">
        <f t="shared" si="10"/>
        <v>1.6781863517524753E-2</v>
      </c>
      <c r="I338" s="5">
        <f t="shared" si="11"/>
        <v>-3.3482592861950877E-2</v>
      </c>
      <c r="J338" s="5">
        <v>-5.1215462556941427E-2</v>
      </c>
      <c r="K338" s="5">
        <v>0.78528827037773363</v>
      </c>
      <c r="L338" s="5">
        <v>0.33200795228628233</v>
      </c>
      <c r="M338" s="3" t="s">
        <v>283</v>
      </c>
    </row>
    <row r="339" spans="1:13">
      <c r="A339" s="3" t="s">
        <v>745</v>
      </c>
      <c r="B339" s="3" t="s">
        <v>746</v>
      </c>
      <c r="C339" s="3" t="s">
        <v>251</v>
      </c>
      <c r="D339" s="3" t="s">
        <v>251</v>
      </c>
      <c r="E339" s="8">
        <v>45.3</v>
      </c>
      <c r="F339" s="8">
        <v>43.83</v>
      </c>
      <c r="G339" s="8">
        <v>43.75</v>
      </c>
      <c r="H339" s="5">
        <f t="shared" si="10"/>
        <v>-1.8252338580880823E-3</v>
      </c>
      <c r="I339" s="5">
        <f t="shared" si="11"/>
        <v>-3.4216335540838805E-2</v>
      </c>
      <c r="J339" s="5">
        <v>-3.4878587196467969E-2</v>
      </c>
      <c r="K339" s="5">
        <v>0.29821073558648109</v>
      </c>
      <c r="L339" s="5">
        <v>0.33001988071570582</v>
      </c>
      <c r="M339" s="3" t="s">
        <v>63</v>
      </c>
    </row>
    <row r="340" spans="1:13">
      <c r="A340" s="3" t="s">
        <v>747</v>
      </c>
      <c r="B340" s="3" t="s">
        <v>748</v>
      </c>
      <c r="C340" s="3" t="s">
        <v>61</v>
      </c>
      <c r="D340" s="3" t="s">
        <v>77</v>
      </c>
      <c r="E340" s="8">
        <v>1425.09</v>
      </c>
      <c r="F340" s="8">
        <v>1375.96</v>
      </c>
      <c r="G340" s="8">
        <v>1376.079956054688</v>
      </c>
      <c r="H340" s="5">
        <f t="shared" si="10"/>
        <v>8.7179899624922896E-5</v>
      </c>
      <c r="I340" s="5">
        <f t="shared" si="11"/>
        <v>-3.4390841241824677E-2</v>
      </c>
      <c r="J340" s="5">
        <v>-3.4475015613048887E-2</v>
      </c>
      <c r="K340" s="5">
        <v>0.36779324055666002</v>
      </c>
      <c r="L340" s="5">
        <v>0.32803180914512919</v>
      </c>
      <c r="M340" s="3" t="s">
        <v>63</v>
      </c>
    </row>
    <row r="341" spans="1:13">
      <c r="A341" s="3" t="s">
        <v>749</v>
      </c>
      <c r="B341" s="3" t="s">
        <v>750</v>
      </c>
      <c r="C341" s="3" t="s">
        <v>57</v>
      </c>
      <c r="D341" s="3" t="s">
        <v>112</v>
      </c>
      <c r="E341" s="8">
        <v>89.21</v>
      </c>
      <c r="F341" s="8">
        <v>82.63</v>
      </c>
      <c r="G341" s="8">
        <v>86.120002746582031</v>
      </c>
      <c r="H341" s="5">
        <f t="shared" si="10"/>
        <v>4.2236509095752606E-2</v>
      </c>
      <c r="I341" s="5">
        <f t="shared" si="11"/>
        <v>-3.4637341704046198E-2</v>
      </c>
      <c r="J341" s="5">
        <v>-0.1015581212868512</v>
      </c>
      <c r="K341" s="5">
        <v>0.98807157057654071</v>
      </c>
      <c r="L341" s="5">
        <v>0.32604373757455268</v>
      </c>
      <c r="M341" s="3" t="s">
        <v>283</v>
      </c>
    </row>
    <row r="342" spans="1:13">
      <c r="A342" s="3" t="s">
        <v>751</v>
      </c>
      <c r="B342" s="3" t="s">
        <v>752</v>
      </c>
      <c r="C342" s="3" t="s">
        <v>251</v>
      </c>
      <c r="D342" s="3" t="s">
        <v>251</v>
      </c>
      <c r="E342" s="8">
        <v>68.290000000000006</v>
      </c>
      <c r="F342" s="8">
        <v>66.38</v>
      </c>
      <c r="G342" s="8">
        <v>65.919998168945313</v>
      </c>
      <c r="H342" s="5">
        <f t="shared" si="10"/>
        <v>-6.9298257164007726E-3</v>
      </c>
      <c r="I342" s="5">
        <f t="shared" si="11"/>
        <v>-3.4704961649651422E-2</v>
      </c>
      <c r="J342" s="5">
        <v>-4.0123004832332783E-2</v>
      </c>
      <c r="K342" s="5">
        <v>0.1610337972166998</v>
      </c>
      <c r="L342" s="5">
        <v>0.32405566600397612</v>
      </c>
      <c r="M342" s="3" t="s">
        <v>63</v>
      </c>
    </row>
    <row r="343" spans="1:13">
      <c r="A343" s="3" t="s">
        <v>753</v>
      </c>
      <c r="B343" s="3" t="s">
        <v>754</v>
      </c>
      <c r="C343" s="3" t="s">
        <v>61</v>
      </c>
      <c r="D343" s="3" t="s">
        <v>62</v>
      </c>
      <c r="E343" s="8">
        <v>26.64</v>
      </c>
      <c r="F343" s="8">
        <v>25.48</v>
      </c>
      <c r="G343" s="8">
        <v>25.70999908447266</v>
      </c>
      <c r="H343" s="5">
        <f t="shared" si="10"/>
        <v>9.0266516669017527E-3</v>
      </c>
      <c r="I343" s="5">
        <f t="shared" si="11"/>
        <v>-3.4909944276551808E-2</v>
      </c>
      <c r="J343" s="5">
        <v>-4.3543543543543513E-2</v>
      </c>
      <c r="K343" s="5">
        <v>0.6123260437375746</v>
      </c>
      <c r="L343" s="5">
        <v>0.32206759443339961</v>
      </c>
      <c r="M343" s="3" t="s">
        <v>63</v>
      </c>
    </row>
    <row r="344" spans="1:13">
      <c r="A344" s="3" t="s">
        <v>755</v>
      </c>
      <c r="B344" s="3" t="s">
        <v>756</v>
      </c>
      <c r="C344" s="3" t="s">
        <v>45</v>
      </c>
      <c r="D344" s="3" t="s">
        <v>345</v>
      </c>
      <c r="E344" s="8">
        <v>272.42</v>
      </c>
      <c r="F344" s="8">
        <v>256.48</v>
      </c>
      <c r="G344" s="8">
        <v>262.82998657226562</v>
      </c>
      <c r="H344" s="5">
        <f t="shared" si="10"/>
        <v>2.4758213397791717E-2</v>
      </c>
      <c r="I344" s="5">
        <f t="shared" si="11"/>
        <v>-3.520304466534907E-2</v>
      </c>
      <c r="J344" s="5">
        <v>-6.8869123252858877E-2</v>
      </c>
      <c r="K344" s="5">
        <v>0.89860834990059646</v>
      </c>
      <c r="L344" s="5">
        <v>0.32007952286282298</v>
      </c>
      <c r="M344" s="3" t="s">
        <v>283</v>
      </c>
    </row>
    <row r="345" spans="1:13">
      <c r="A345" s="3" t="s">
        <v>757</v>
      </c>
      <c r="B345" s="3" t="s">
        <v>758</v>
      </c>
      <c r="C345" s="3" t="s">
        <v>45</v>
      </c>
      <c r="D345" s="3" t="s">
        <v>345</v>
      </c>
      <c r="E345" s="8">
        <v>301.8</v>
      </c>
      <c r="F345" s="8">
        <v>290.62</v>
      </c>
      <c r="G345" s="8">
        <v>291</v>
      </c>
      <c r="H345" s="5">
        <f t="shared" si="10"/>
        <v>1.3075493771934621E-3</v>
      </c>
      <c r="I345" s="5">
        <f t="shared" si="11"/>
        <v>-3.5785288270377746E-2</v>
      </c>
      <c r="J345" s="5">
        <v>-6.4387354323610868E-2</v>
      </c>
      <c r="K345" s="5">
        <v>0.40357852882703782</v>
      </c>
      <c r="L345" s="5">
        <v>0.31809145129224647</v>
      </c>
      <c r="M345" s="3" t="s">
        <v>63</v>
      </c>
    </row>
    <row r="346" spans="1:13">
      <c r="A346" s="3" t="s">
        <v>759</v>
      </c>
      <c r="B346" s="3" t="s">
        <v>760</v>
      </c>
      <c r="C346" s="3" t="s">
        <v>71</v>
      </c>
      <c r="D346" s="3" t="s">
        <v>146</v>
      </c>
      <c r="E346" s="8">
        <v>267.38</v>
      </c>
      <c r="F346" s="8">
        <v>256.08999999999997</v>
      </c>
      <c r="G346" s="8">
        <v>257.73001098632812</v>
      </c>
      <c r="H346" s="5">
        <f t="shared" si="10"/>
        <v>6.4040414945063517E-3</v>
      </c>
      <c r="I346" s="5">
        <f t="shared" si="11"/>
        <v>-3.6090915602034035E-2</v>
      </c>
      <c r="J346" s="5">
        <v>-4.8689696247766423E-2</v>
      </c>
      <c r="K346" s="5">
        <v>0.54473161033797213</v>
      </c>
      <c r="L346" s="5">
        <v>0.31610337972167002</v>
      </c>
      <c r="M346" s="3" t="s">
        <v>63</v>
      </c>
    </row>
    <row r="347" spans="1:13">
      <c r="A347" s="3" t="s">
        <v>761</v>
      </c>
      <c r="B347" s="3" t="s">
        <v>762</v>
      </c>
      <c r="C347" s="3" t="s">
        <v>45</v>
      </c>
      <c r="D347" s="3" t="s">
        <v>254</v>
      </c>
      <c r="E347" s="8">
        <v>192.1</v>
      </c>
      <c r="F347" s="8">
        <v>186.2</v>
      </c>
      <c r="G347" s="8">
        <v>185.11000061035159</v>
      </c>
      <c r="H347" s="5">
        <f t="shared" si="10"/>
        <v>-5.8539172376390614E-3</v>
      </c>
      <c r="I347" s="5">
        <f t="shared" si="11"/>
        <v>-3.638729510488492E-2</v>
      </c>
      <c r="J347" s="5">
        <v>-4.891331957893652E-2</v>
      </c>
      <c r="K347" s="5">
        <v>0.19681908548707749</v>
      </c>
      <c r="L347" s="5">
        <v>0.31411530815109351</v>
      </c>
      <c r="M347" s="3" t="s">
        <v>63</v>
      </c>
    </row>
    <row r="348" spans="1:13">
      <c r="A348" s="3" t="s">
        <v>763</v>
      </c>
      <c r="B348" s="3" t="s">
        <v>764</v>
      </c>
      <c r="C348" s="3" t="s">
        <v>50</v>
      </c>
      <c r="D348" s="3" t="s">
        <v>50</v>
      </c>
      <c r="E348" s="8">
        <v>535.53</v>
      </c>
      <c r="F348" s="8">
        <v>504.92</v>
      </c>
      <c r="G348" s="8">
        <v>516</v>
      </c>
      <c r="H348" s="5">
        <f t="shared" si="10"/>
        <v>2.1944070347777789E-2</v>
      </c>
      <c r="I348" s="5">
        <f t="shared" si="11"/>
        <v>-3.6468545179541678E-2</v>
      </c>
      <c r="J348" s="5">
        <v>-5.7158329131888008E-2</v>
      </c>
      <c r="K348" s="5">
        <v>0.86679920477137173</v>
      </c>
      <c r="L348" s="5">
        <v>0.31212723658051689</v>
      </c>
      <c r="M348" s="3" t="s">
        <v>283</v>
      </c>
    </row>
    <row r="349" spans="1:13">
      <c r="A349" s="3" t="s">
        <v>765</v>
      </c>
      <c r="B349" s="3" t="s">
        <v>766</v>
      </c>
      <c r="C349" s="3" t="s">
        <v>45</v>
      </c>
      <c r="D349" s="3" t="s">
        <v>46</v>
      </c>
      <c r="E349" s="8">
        <v>99.8</v>
      </c>
      <c r="F349" s="8">
        <v>94.51</v>
      </c>
      <c r="G349" s="8">
        <v>96.160003662109375</v>
      </c>
      <c r="H349" s="5">
        <f t="shared" si="10"/>
        <v>1.7458508751553969E-2</v>
      </c>
      <c r="I349" s="5">
        <f t="shared" si="11"/>
        <v>-3.647290919730084E-2</v>
      </c>
      <c r="J349" s="5">
        <v>-5.5088982203559178E-2</v>
      </c>
      <c r="K349" s="5">
        <v>0.79721669980119281</v>
      </c>
      <c r="L349" s="5">
        <v>0.31013916500994038</v>
      </c>
      <c r="M349" s="3" t="s">
        <v>283</v>
      </c>
    </row>
    <row r="350" spans="1:13">
      <c r="A350" s="3" t="s">
        <v>767</v>
      </c>
      <c r="B350" s="3" t="s">
        <v>768</v>
      </c>
      <c r="C350" s="3" t="s">
        <v>45</v>
      </c>
      <c r="D350" s="3" t="s">
        <v>46</v>
      </c>
      <c r="E350" s="8">
        <v>58.9</v>
      </c>
      <c r="F350" s="8">
        <v>56.8</v>
      </c>
      <c r="G350" s="8">
        <v>56.75</v>
      </c>
      <c r="H350" s="5">
        <f t="shared" si="10"/>
        <v>-8.8028169014076063E-4</v>
      </c>
      <c r="I350" s="5">
        <f t="shared" si="11"/>
        <v>-3.6502546689303861E-2</v>
      </c>
      <c r="J350" s="5">
        <v>-6.1362884551769747E-2</v>
      </c>
      <c r="K350" s="5">
        <v>0.34393638170974161</v>
      </c>
      <c r="L350" s="5">
        <v>0.30815109343936381</v>
      </c>
      <c r="M350" s="3" t="s">
        <v>63</v>
      </c>
    </row>
    <row r="351" spans="1:13">
      <c r="A351" s="3" t="s">
        <v>769</v>
      </c>
      <c r="B351" s="3" t="s">
        <v>770</v>
      </c>
      <c r="C351" s="3" t="s">
        <v>57</v>
      </c>
      <c r="D351" s="3" t="s">
        <v>376</v>
      </c>
      <c r="E351" s="8">
        <v>14.5</v>
      </c>
      <c r="F351" s="8">
        <v>13.84</v>
      </c>
      <c r="G351" s="8">
        <v>13.965000152587891</v>
      </c>
      <c r="H351" s="5">
        <f t="shared" si="10"/>
        <v>9.0318029326510452E-3</v>
      </c>
      <c r="I351" s="5">
        <f t="shared" si="11"/>
        <v>-3.6896541200835076E-2</v>
      </c>
      <c r="J351" s="5">
        <v>-4.5517241379310347E-2</v>
      </c>
      <c r="K351" s="5">
        <v>0.61431411530815105</v>
      </c>
      <c r="L351" s="5">
        <v>0.3061630218687873</v>
      </c>
      <c r="M351" s="3" t="s">
        <v>63</v>
      </c>
    </row>
    <row r="352" spans="1:13">
      <c r="A352" s="3" t="s">
        <v>771</v>
      </c>
      <c r="B352" s="3" t="s">
        <v>772</v>
      </c>
      <c r="C352" s="3" t="s">
        <v>45</v>
      </c>
      <c r="D352" s="3" t="s">
        <v>46</v>
      </c>
      <c r="E352" s="8">
        <v>292.23</v>
      </c>
      <c r="F352" s="8">
        <v>279.8</v>
      </c>
      <c r="G352" s="8">
        <v>281.42999267578119</v>
      </c>
      <c r="H352" s="5">
        <f t="shared" si="10"/>
        <v>5.825563530311495E-3</v>
      </c>
      <c r="I352" s="5">
        <f t="shared" si="11"/>
        <v>-3.6957216316664376E-2</v>
      </c>
      <c r="J352" s="5">
        <v>-6.9009116922872149E-2</v>
      </c>
      <c r="K352" s="5">
        <v>0.53479125248508941</v>
      </c>
      <c r="L352" s="5">
        <v>0.30417495029821068</v>
      </c>
      <c r="M352" s="3" t="s">
        <v>63</v>
      </c>
    </row>
    <row r="353" spans="1:13">
      <c r="A353" s="3" t="s">
        <v>773</v>
      </c>
      <c r="B353" s="3" t="s">
        <v>774</v>
      </c>
      <c r="C353" s="3" t="s">
        <v>251</v>
      </c>
      <c r="D353" s="3" t="s">
        <v>251</v>
      </c>
      <c r="E353" s="8">
        <v>70.61</v>
      </c>
      <c r="F353" s="8">
        <v>67.959999999999994</v>
      </c>
      <c r="G353" s="8">
        <v>67.970001220703125</v>
      </c>
      <c r="H353" s="5">
        <f t="shared" si="10"/>
        <v>1.4716334171760437E-4</v>
      </c>
      <c r="I353" s="5">
        <f t="shared" si="11"/>
        <v>-3.7388454599870724E-2</v>
      </c>
      <c r="J353" s="5">
        <v>-3.7530094887409771E-2</v>
      </c>
      <c r="K353" s="5">
        <v>0.37176938369781309</v>
      </c>
      <c r="L353" s="5">
        <v>0.30218687872763422</v>
      </c>
      <c r="M353" s="3" t="s">
        <v>63</v>
      </c>
    </row>
    <row r="354" spans="1:13">
      <c r="A354" s="3" t="s">
        <v>775</v>
      </c>
      <c r="B354" s="3" t="s">
        <v>776</v>
      </c>
      <c r="C354" s="3" t="s">
        <v>40</v>
      </c>
      <c r="D354" s="3" t="s">
        <v>161</v>
      </c>
      <c r="E354" s="8">
        <v>92.8</v>
      </c>
      <c r="F354" s="8">
        <v>88.97</v>
      </c>
      <c r="G354" s="8">
        <v>89.30999755859375</v>
      </c>
      <c r="H354" s="5">
        <f t="shared" si="10"/>
        <v>3.821485428725957E-3</v>
      </c>
      <c r="I354" s="5">
        <f t="shared" si="11"/>
        <v>-3.7607784928946675E-2</v>
      </c>
      <c r="J354" s="5">
        <v>-5.9698275862068877E-2</v>
      </c>
      <c r="K354" s="5">
        <v>0.49304174950298207</v>
      </c>
      <c r="L354" s="5">
        <v>0.30019880715705771</v>
      </c>
      <c r="M354" s="3" t="s">
        <v>63</v>
      </c>
    </row>
    <row r="355" spans="1:13">
      <c r="A355" s="3" t="s">
        <v>777</v>
      </c>
      <c r="B355" s="3" t="s">
        <v>778</v>
      </c>
      <c r="C355" s="3" t="s">
        <v>57</v>
      </c>
      <c r="D355" s="3" t="s">
        <v>58</v>
      </c>
      <c r="E355" s="8">
        <v>46.58</v>
      </c>
      <c r="F355" s="8">
        <v>43.84</v>
      </c>
      <c r="G355" s="8">
        <v>44.819999694824219</v>
      </c>
      <c r="H355" s="5">
        <f t="shared" si="10"/>
        <v>2.2354007637413575E-2</v>
      </c>
      <c r="I355" s="5">
        <f t="shared" si="11"/>
        <v>-3.7784463400081125E-2</v>
      </c>
      <c r="J355" s="5">
        <v>-7.3196530569071272E-2</v>
      </c>
      <c r="K355" s="5">
        <v>0.8687872763419483</v>
      </c>
      <c r="L355" s="5">
        <v>0.29821073558648109</v>
      </c>
      <c r="M355" s="3" t="s">
        <v>283</v>
      </c>
    </row>
    <row r="356" spans="1:13">
      <c r="A356" s="3" t="s">
        <v>779</v>
      </c>
      <c r="B356" s="3" t="s">
        <v>780</v>
      </c>
      <c r="C356" s="3" t="s">
        <v>45</v>
      </c>
      <c r="D356" s="3" t="s">
        <v>345</v>
      </c>
      <c r="E356" s="8">
        <v>345.71</v>
      </c>
      <c r="F356" s="8">
        <v>332.96</v>
      </c>
      <c r="G356" s="8">
        <v>332.52999877929687</v>
      </c>
      <c r="H356" s="5">
        <f t="shared" si="10"/>
        <v>-1.2914500862059031E-3</v>
      </c>
      <c r="I356" s="5">
        <f t="shared" si="11"/>
        <v>-3.8124443090171267E-2</v>
      </c>
      <c r="J356" s="5">
        <v>-5.7935297242628907E-2</v>
      </c>
      <c r="K356" s="5">
        <v>0.32604373757455268</v>
      </c>
      <c r="L356" s="5">
        <v>0.29622266401590458</v>
      </c>
      <c r="M356" s="3" t="s">
        <v>63</v>
      </c>
    </row>
    <row r="357" spans="1:13">
      <c r="A357" s="3" t="s">
        <v>781</v>
      </c>
      <c r="B357" s="3" t="s">
        <v>782</v>
      </c>
      <c r="C357" s="3" t="s">
        <v>251</v>
      </c>
      <c r="D357" s="3" t="s">
        <v>251</v>
      </c>
      <c r="E357" s="8">
        <v>85.91</v>
      </c>
      <c r="F357" s="8">
        <v>82.93</v>
      </c>
      <c r="G357" s="8">
        <v>82.599998474121094</v>
      </c>
      <c r="H357" s="5">
        <f t="shared" si="10"/>
        <v>-3.9792780161450603E-3</v>
      </c>
      <c r="I357" s="5">
        <f t="shared" si="11"/>
        <v>-3.8528710579430858E-2</v>
      </c>
      <c r="J357" s="5">
        <v>-4.7375160051216343E-2</v>
      </c>
      <c r="K357" s="5">
        <v>0.2326043737574553</v>
      </c>
      <c r="L357" s="5">
        <v>0.29423459244532801</v>
      </c>
      <c r="M357" s="3" t="s">
        <v>63</v>
      </c>
    </row>
    <row r="358" spans="1:13">
      <c r="A358" s="3" t="s">
        <v>783</v>
      </c>
      <c r="B358" s="3" t="s">
        <v>784</v>
      </c>
      <c r="C358" s="3" t="s">
        <v>45</v>
      </c>
      <c r="D358" s="3" t="s">
        <v>46</v>
      </c>
      <c r="E358" s="8">
        <v>127.47</v>
      </c>
      <c r="F358" s="8">
        <v>122.45</v>
      </c>
      <c r="G358" s="8">
        <v>122.5400009155273</v>
      </c>
      <c r="H358" s="5">
        <f t="shared" si="10"/>
        <v>7.3500135179505044E-4</v>
      </c>
      <c r="I358" s="5">
        <f t="shared" si="11"/>
        <v>-3.8675759664805076E-2</v>
      </c>
      <c r="J358" s="5">
        <v>-6.5481187514309647E-2</v>
      </c>
      <c r="K358" s="5">
        <v>0.38966202783300202</v>
      </c>
      <c r="L358" s="5">
        <v>0.2922465208747515</v>
      </c>
      <c r="M358" s="3" t="s">
        <v>63</v>
      </c>
    </row>
    <row r="359" spans="1:13">
      <c r="A359" s="3" t="s">
        <v>785</v>
      </c>
      <c r="B359" s="3" t="s">
        <v>786</v>
      </c>
      <c r="C359" s="3" t="s">
        <v>45</v>
      </c>
      <c r="D359" s="3" t="s">
        <v>46</v>
      </c>
      <c r="E359" s="8">
        <v>816.15</v>
      </c>
      <c r="F359" s="8">
        <v>779.16</v>
      </c>
      <c r="G359" s="8">
        <v>784.22998046875</v>
      </c>
      <c r="H359" s="5">
        <f t="shared" si="10"/>
        <v>6.5069824795291886E-3</v>
      </c>
      <c r="I359" s="5">
        <f t="shared" si="11"/>
        <v>-3.9110481567420141E-2</v>
      </c>
      <c r="J359" s="5">
        <v>-5.8871844425655302E-2</v>
      </c>
      <c r="K359" s="5">
        <v>0.54870775347912526</v>
      </c>
      <c r="L359" s="5">
        <v>0.29025844930417488</v>
      </c>
      <c r="M359" s="3" t="s">
        <v>63</v>
      </c>
    </row>
    <row r="360" spans="1:13">
      <c r="A360" s="3" t="s">
        <v>787</v>
      </c>
      <c r="B360" s="3" t="s">
        <v>788</v>
      </c>
      <c r="C360" s="3" t="s">
        <v>95</v>
      </c>
      <c r="D360" s="3" t="s">
        <v>99</v>
      </c>
      <c r="E360" s="8">
        <v>56.48</v>
      </c>
      <c r="F360" s="8">
        <v>54.26</v>
      </c>
      <c r="G360" s="8">
        <v>54.259998321533203</v>
      </c>
      <c r="H360" s="5">
        <f t="shared" si="10"/>
        <v>-3.0933777983577215E-8</v>
      </c>
      <c r="I360" s="5">
        <f t="shared" si="11"/>
        <v>-3.9305978726395074E-2</v>
      </c>
      <c r="J360" s="5">
        <v>-4.0014164305948952E-2</v>
      </c>
      <c r="K360" s="5">
        <v>0.36182902584493037</v>
      </c>
      <c r="L360" s="5">
        <v>0.28827037773359843</v>
      </c>
      <c r="M360" s="3" t="s">
        <v>63</v>
      </c>
    </row>
    <row r="361" spans="1:13">
      <c r="A361" s="3" t="s">
        <v>789</v>
      </c>
      <c r="B361" s="3" t="s">
        <v>790</v>
      </c>
      <c r="C361" s="3" t="s">
        <v>95</v>
      </c>
      <c r="D361" s="3" t="s">
        <v>99</v>
      </c>
      <c r="E361" s="8">
        <v>28.43</v>
      </c>
      <c r="F361" s="8">
        <v>26.36</v>
      </c>
      <c r="G361" s="8">
        <v>27.309999465942379</v>
      </c>
      <c r="H361" s="5">
        <f t="shared" si="10"/>
        <v>3.6039433457601744E-2</v>
      </c>
      <c r="I361" s="5">
        <f t="shared" si="11"/>
        <v>-3.9395024061119277E-2</v>
      </c>
      <c r="J361" s="5">
        <v>-8.3130434782608731E-2</v>
      </c>
      <c r="K361" s="5">
        <v>0.97614314115308154</v>
      </c>
      <c r="L361" s="5">
        <v>0.28628230616302192</v>
      </c>
      <c r="M361" s="3" t="s">
        <v>283</v>
      </c>
    </row>
    <row r="362" spans="1:13">
      <c r="A362" s="3" t="s">
        <v>791</v>
      </c>
      <c r="B362" s="3" t="s">
        <v>792</v>
      </c>
      <c r="C362" s="3" t="s">
        <v>57</v>
      </c>
      <c r="D362" s="3" t="s">
        <v>112</v>
      </c>
      <c r="E362" s="8">
        <v>265.83999999999997</v>
      </c>
      <c r="F362" s="8">
        <v>254.92</v>
      </c>
      <c r="G362" s="8">
        <v>255.27000427246091</v>
      </c>
      <c r="H362" s="5">
        <f t="shared" si="10"/>
        <v>1.3729965183624238E-3</v>
      </c>
      <c r="I362" s="5">
        <f t="shared" si="11"/>
        <v>-3.9760742279337458E-2</v>
      </c>
      <c r="J362" s="5">
        <v>-4.3200840746162261E-2</v>
      </c>
      <c r="K362" s="5">
        <v>0.40556660039761427</v>
      </c>
      <c r="L362" s="5">
        <v>0.28429423459244529</v>
      </c>
      <c r="M362" s="3" t="s">
        <v>63</v>
      </c>
    </row>
    <row r="363" spans="1:13">
      <c r="A363" s="3" t="s">
        <v>793</v>
      </c>
      <c r="B363" s="3" t="s">
        <v>794</v>
      </c>
      <c r="C363" s="3" t="s">
        <v>95</v>
      </c>
      <c r="D363" s="3" t="s">
        <v>99</v>
      </c>
      <c r="E363" s="8">
        <v>42.49</v>
      </c>
      <c r="F363" s="8">
        <v>39.76</v>
      </c>
      <c r="G363" s="8">
        <v>40.779998779296882</v>
      </c>
      <c r="H363" s="5">
        <f t="shared" si="10"/>
        <v>2.5653892839458958E-2</v>
      </c>
      <c r="I363" s="5">
        <f t="shared" si="11"/>
        <v>-4.0244792202944635E-2</v>
      </c>
      <c r="J363" s="5">
        <v>-7.5133752035357104E-2</v>
      </c>
      <c r="K363" s="5">
        <v>0.9125248508946322</v>
      </c>
      <c r="L363" s="5">
        <v>0.28230616302186878</v>
      </c>
      <c r="M363" s="3" t="s">
        <v>283</v>
      </c>
    </row>
    <row r="364" spans="1:13">
      <c r="A364" s="3" t="s">
        <v>795</v>
      </c>
      <c r="B364" s="3" t="s">
        <v>796</v>
      </c>
      <c r="C364" s="3" t="s">
        <v>45</v>
      </c>
      <c r="D364" s="3" t="s">
        <v>345</v>
      </c>
      <c r="E364" s="8">
        <v>50.68</v>
      </c>
      <c r="F364" s="8">
        <v>48.7</v>
      </c>
      <c r="G364" s="8">
        <v>48.639999389648438</v>
      </c>
      <c r="H364" s="5">
        <f t="shared" si="10"/>
        <v>-1.2320453870957593E-3</v>
      </c>
      <c r="I364" s="5">
        <f t="shared" si="11"/>
        <v>-4.0252577157686709E-2</v>
      </c>
      <c r="J364" s="5">
        <v>-6.0278218901691723E-2</v>
      </c>
      <c r="K364" s="5">
        <v>0.33399602385685878</v>
      </c>
      <c r="L364" s="5">
        <v>0.28031809145129227</v>
      </c>
      <c r="M364" s="3" t="s">
        <v>63</v>
      </c>
    </row>
    <row r="365" spans="1:13">
      <c r="A365" s="3" t="s">
        <v>797</v>
      </c>
      <c r="B365" s="3" t="s">
        <v>798</v>
      </c>
      <c r="C365" s="3" t="s">
        <v>40</v>
      </c>
      <c r="D365" s="3" t="s">
        <v>161</v>
      </c>
      <c r="E365" s="8">
        <v>76.58</v>
      </c>
      <c r="F365" s="8">
        <v>72.650000000000006</v>
      </c>
      <c r="G365" s="8">
        <v>73.489997863769531</v>
      </c>
      <c r="H365" s="5">
        <f t="shared" si="10"/>
        <v>1.1562255523324572E-2</v>
      </c>
      <c r="I365" s="5">
        <f t="shared" si="11"/>
        <v>-4.03499887206904E-2</v>
      </c>
      <c r="J365" s="5">
        <v>-6.0720814834160253E-2</v>
      </c>
      <c r="K365" s="5">
        <v>0.68588469184890655</v>
      </c>
      <c r="L365" s="5">
        <v>0.27833001988071571</v>
      </c>
      <c r="M365" s="3" t="s">
        <v>283</v>
      </c>
    </row>
    <row r="366" spans="1:13">
      <c r="A366" s="3" t="s">
        <v>799</v>
      </c>
      <c r="B366" s="3" t="s">
        <v>800</v>
      </c>
      <c r="C366" s="3" t="s">
        <v>40</v>
      </c>
      <c r="D366" s="3" t="s">
        <v>161</v>
      </c>
      <c r="E366" s="8">
        <v>373.26</v>
      </c>
      <c r="F366" s="8">
        <v>354.52</v>
      </c>
      <c r="G366" s="8">
        <v>357.97000122070313</v>
      </c>
      <c r="H366" s="5">
        <f t="shared" si="10"/>
        <v>9.7314713435154854E-3</v>
      </c>
      <c r="I366" s="5">
        <f t="shared" si="11"/>
        <v>-4.0963400255309645E-2</v>
      </c>
      <c r="J366" s="5">
        <v>-5.3401687493324752E-2</v>
      </c>
      <c r="K366" s="5">
        <v>0.63419483101391649</v>
      </c>
      <c r="L366" s="5">
        <v>0.27634194831013908</v>
      </c>
      <c r="M366" s="3" t="s">
        <v>283</v>
      </c>
    </row>
    <row r="367" spans="1:13">
      <c r="A367" s="3" t="s">
        <v>801</v>
      </c>
      <c r="B367" s="3" t="s">
        <v>802</v>
      </c>
      <c r="C367" s="3" t="s">
        <v>50</v>
      </c>
      <c r="D367" s="3" t="s">
        <v>50</v>
      </c>
      <c r="E367" s="8">
        <v>276.3</v>
      </c>
      <c r="F367" s="8">
        <v>259.69</v>
      </c>
      <c r="G367" s="8">
        <v>264.95999145507812</v>
      </c>
      <c r="H367" s="5">
        <f t="shared" si="10"/>
        <v>2.0293393873765275E-2</v>
      </c>
      <c r="I367" s="5">
        <f t="shared" si="11"/>
        <v>-4.1042376203119346E-2</v>
      </c>
      <c r="J367" s="5">
        <v>-6.0115816141874778E-2</v>
      </c>
      <c r="K367" s="5">
        <v>0.83101391650099399</v>
      </c>
      <c r="L367" s="5">
        <v>0.27435387673956257</v>
      </c>
      <c r="M367" s="3" t="s">
        <v>283</v>
      </c>
    </row>
    <row r="368" spans="1:13">
      <c r="A368" s="3" t="s">
        <v>803</v>
      </c>
      <c r="B368" s="3" t="s">
        <v>804</v>
      </c>
      <c r="C368" s="3" t="s">
        <v>164</v>
      </c>
      <c r="D368" s="3" t="s">
        <v>165</v>
      </c>
      <c r="E368" s="8">
        <v>30.2</v>
      </c>
      <c r="F368" s="8">
        <v>29.13</v>
      </c>
      <c r="G368" s="8">
        <v>28.940000534057621</v>
      </c>
      <c r="H368" s="5">
        <f t="shared" si="10"/>
        <v>-6.5224670766350634E-3</v>
      </c>
      <c r="I368" s="5">
        <f t="shared" si="11"/>
        <v>-4.1721836620608577E-2</v>
      </c>
      <c r="J368" s="5">
        <v>-4.9901492644201628E-2</v>
      </c>
      <c r="K368" s="5">
        <v>0.1709741550695825</v>
      </c>
      <c r="L368" s="5">
        <v>0.27236580516898612</v>
      </c>
      <c r="M368" s="3" t="s">
        <v>63</v>
      </c>
    </row>
    <row r="369" spans="1:13">
      <c r="A369" s="3" t="s">
        <v>805</v>
      </c>
      <c r="B369" s="3" t="s">
        <v>806</v>
      </c>
      <c r="C369" s="3" t="s">
        <v>57</v>
      </c>
      <c r="D369" s="3" t="s">
        <v>112</v>
      </c>
      <c r="E369" s="8">
        <v>91.2</v>
      </c>
      <c r="F369" s="8">
        <v>87.95</v>
      </c>
      <c r="G369" s="8">
        <v>87.330001831054687</v>
      </c>
      <c r="H369" s="5">
        <f t="shared" si="10"/>
        <v>-7.0494391011406421E-3</v>
      </c>
      <c r="I369" s="5">
        <f t="shared" si="11"/>
        <v>-4.2434190448961795E-2</v>
      </c>
      <c r="J369" s="5">
        <v>-4.2434190448961788E-2</v>
      </c>
      <c r="K369" s="5">
        <v>0.1570576540755467</v>
      </c>
      <c r="L369" s="5">
        <v>0.27037773359840961</v>
      </c>
      <c r="M369" s="3" t="s">
        <v>63</v>
      </c>
    </row>
    <row r="370" spans="1:13">
      <c r="A370" s="3" t="s">
        <v>807</v>
      </c>
      <c r="B370" s="3" t="s">
        <v>808</v>
      </c>
      <c r="C370" s="3" t="s">
        <v>45</v>
      </c>
      <c r="D370" s="3" t="s">
        <v>254</v>
      </c>
      <c r="E370" s="8">
        <v>33.85</v>
      </c>
      <c r="F370" s="8">
        <v>32.465000000000003</v>
      </c>
      <c r="G370" s="8">
        <v>32.400001525878913</v>
      </c>
      <c r="H370" s="5">
        <f t="shared" si="10"/>
        <v>-2.0021091674445879E-3</v>
      </c>
      <c r="I370" s="5">
        <f t="shared" si="11"/>
        <v>-4.2835996281272881E-2</v>
      </c>
      <c r="J370" s="5">
        <v>-5.6219005945851608E-2</v>
      </c>
      <c r="K370" s="5">
        <v>0.29025844930417488</v>
      </c>
      <c r="L370" s="5">
        <v>0.26838966202783299</v>
      </c>
      <c r="M370" s="3" t="s">
        <v>63</v>
      </c>
    </row>
    <row r="371" spans="1:13">
      <c r="A371" s="3" t="s">
        <v>809</v>
      </c>
      <c r="B371" s="3" t="s">
        <v>810</v>
      </c>
      <c r="C371" s="3" t="s">
        <v>45</v>
      </c>
      <c r="D371" s="3" t="s">
        <v>46</v>
      </c>
      <c r="E371" s="8">
        <v>243.22</v>
      </c>
      <c r="F371" s="8">
        <v>231.32</v>
      </c>
      <c r="G371" s="8">
        <v>232.71000671386719</v>
      </c>
      <c r="H371" s="5">
        <f t="shared" si="10"/>
        <v>6.009020896883932E-3</v>
      </c>
      <c r="I371" s="5">
        <f t="shared" si="11"/>
        <v>-4.3211879311457979E-2</v>
      </c>
      <c r="J371" s="5">
        <v>-5.660685154975531E-2</v>
      </c>
      <c r="K371" s="5">
        <v>0.53876739562624254</v>
      </c>
      <c r="L371" s="5">
        <v>0.26640159045725648</v>
      </c>
      <c r="M371" s="3" t="s">
        <v>63</v>
      </c>
    </row>
    <row r="372" spans="1:13">
      <c r="A372" s="3" t="s">
        <v>811</v>
      </c>
      <c r="B372" s="3" t="s">
        <v>812</v>
      </c>
      <c r="C372" s="3" t="s">
        <v>45</v>
      </c>
      <c r="D372" s="3" t="s">
        <v>46</v>
      </c>
      <c r="E372" s="8">
        <v>139.68</v>
      </c>
      <c r="F372" s="8">
        <v>132.11000000000001</v>
      </c>
      <c r="G372" s="8">
        <v>133.57000732421881</v>
      </c>
      <c r="H372" s="5">
        <f t="shared" si="10"/>
        <v>1.1051452003775664E-2</v>
      </c>
      <c r="I372" s="5">
        <f t="shared" si="11"/>
        <v>-4.374278834322165E-2</v>
      </c>
      <c r="J372" s="5">
        <v>-5.4195303550973573E-2</v>
      </c>
      <c r="K372" s="5">
        <v>0.67196819085487081</v>
      </c>
      <c r="L372" s="5">
        <v>0.26441351888667991</v>
      </c>
      <c r="M372" s="3" t="s">
        <v>283</v>
      </c>
    </row>
    <row r="373" spans="1:13">
      <c r="A373" s="3" t="s">
        <v>813</v>
      </c>
      <c r="B373" s="3" t="s">
        <v>814</v>
      </c>
      <c r="C373" s="3" t="s">
        <v>40</v>
      </c>
      <c r="D373" s="3" t="s">
        <v>161</v>
      </c>
      <c r="E373" s="8">
        <v>267.45</v>
      </c>
      <c r="F373" s="8">
        <v>253.34</v>
      </c>
      <c r="G373" s="8">
        <v>255.68499755859381</v>
      </c>
      <c r="H373" s="5">
        <f t="shared" si="10"/>
        <v>9.2563257227196161E-3</v>
      </c>
      <c r="I373" s="5">
        <f t="shared" si="11"/>
        <v>-4.3989539881870154E-2</v>
      </c>
      <c r="J373" s="5">
        <v>-5.2757524770985158E-2</v>
      </c>
      <c r="K373" s="5">
        <v>0.62027833001988075</v>
      </c>
      <c r="L373" s="5">
        <v>0.2624254473161034</v>
      </c>
      <c r="M373" s="3" t="s">
        <v>63</v>
      </c>
    </row>
    <row r="374" spans="1:13">
      <c r="A374" s="3" t="s">
        <v>815</v>
      </c>
      <c r="B374" s="3" t="s">
        <v>816</v>
      </c>
      <c r="C374" s="3" t="s">
        <v>45</v>
      </c>
      <c r="D374" s="3" t="s">
        <v>46</v>
      </c>
      <c r="E374" s="8">
        <v>1222.9100000000001</v>
      </c>
      <c r="F374" s="8">
        <v>1155.76</v>
      </c>
      <c r="G374" s="8">
        <v>1168.739990234375</v>
      </c>
      <c r="H374" s="5">
        <f t="shared" si="10"/>
        <v>1.1230696887221336E-2</v>
      </c>
      <c r="I374" s="5">
        <f t="shared" si="11"/>
        <v>-4.4295990519028439E-2</v>
      </c>
      <c r="J374" s="5">
        <v>-5.4910009730887888E-2</v>
      </c>
      <c r="K374" s="5">
        <v>0.67395626242544726</v>
      </c>
      <c r="L374" s="5">
        <v>0.26043737574552678</v>
      </c>
      <c r="M374" s="3" t="s">
        <v>283</v>
      </c>
    </row>
    <row r="375" spans="1:13">
      <c r="A375" s="3" t="s">
        <v>817</v>
      </c>
      <c r="B375" s="3" t="s">
        <v>818</v>
      </c>
      <c r="C375" s="3" t="s">
        <v>57</v>
      </c>
      <c r="D375" s="3" t="s">
        <v>112</v>
      </c>
      <c r="E375" s="8">
        <v>3076.89</v>
      </c>
      <c r="F375" s="8">
        <v>2965.83</v>
      </c>
      <c r="G375" s="8">
        <v>2940.52001953125</v>
      </c>
      <c r="H375" s="5">
        <f t="shared" si="10"/>
        <v>-8.5338608311164021E-3</v>
      </c>
      <c r="I375" s="5">
        <f t="shared" si="11"/>
        <v>-4.4320720100084809E-2</v>
      </c>
      <c r="J375" s="5">
        <v>-4.6982505061929358E-2</v>
      </c>
      <c r="K375" s="5">
        <v>0.13916500994035791</v>
      </c>
      <c r="L375" s="5">
        <v>0.25844930417495032</v>
      </c>
      <c r="M375" s="3" t="s">
        <v>63</v>
      </c>
    </row>
    <row r="376" spans="1:13">
      <c r="A376" s="3" t="s">
        <v>819</v>
      </c>
      <c r="B376" s="3" t="s">
        <v>820</v>
      </c>
      <c r="C376" s="3" t="s">
        <v>61</v>
      </c>
      <c r="D376" s="3" t="s">
        <v>62</v>
      </c>
      <c r="E376" s="8">
        <v>74.62</v>
      </c>
      <c r="F376" s="8">
        <v>70.42</v>
      </c>
      <c r="G376" s="8">
        <v>71.30999755859375</v>
      </c>
      <c r="H376" s="5">
        <f t="shared" si="10"/>
        <v>1.2638420315162602E-2</v>
      </c>
      <c r="I376" s="5">
        <f t="shared" si="11"/>
        <v>-4.4358113661300602E-2</v>
      </c>
      <c r="J376" s="5">
        <v>-5.8807805399625712E-2</v>
      </c>
      <c r="K376" s="5">
        <v>0.70775347912524855</v>
      </c>
      <c r="L376" s="5">
        <v>0.25646123260437381</v>
      </c>
      <c r="M376" s="3" t="s">
        <v>283</v>
      </c>
    </row>
    <row r="377" spans="1:13">
      <c r="A377" s="3" t="s">
        <v>821</v>
      </c>
      <c r="B377" s="3" t="s">
        <v>822</v>
      </c>
      <c r="C377" s="3" t="s">
        <v>45</v>
      </c>
      <c r="D377" s="3" t="s">
        <v>46</v>
      </c>
      <c r="E377" s="8">
        <v>162.76</v>
      </c>
      <c r="F377" s="8">
        <v>151.82</v>
      </c>
      <c r="G377" s="8">
        <v>155.5</v>
      </c>
      <c r="H377" s="5">
        <f t="shared" si="10"/>
        <v>2.4239230667896239E-2</v>
      </c>
      <c r="I377" s="5">
        <f t="shared" si="11"/>
        <v>-4.4605554190218721E-2</v>
      </c>
      <c r="J377" s="5">
        <v>-6.7215532071762119E-2</v>
      </c>
      <c r="K377" s="5">
        <v>0.89463220675944333</v>
      </c>
      <c r="L377" s="5">
        <v>0.25447316103379719</v>
      </c>
      <c r="M377" s="3" t="s">
        <v>283</v>
      </c>
    </row>
    <row r="378" spans="1:13">
      <c r="A378" s="3" t="s">
        <v>823</v>
      </c>
      <c r="B378" s="3" t="s">
        <v>824</v>
      </c>
      <c r="C378" s="3" t="s">
        <v>71</v>
      </c>
      <c r="D378" s="3" t="s">
        <v>72</v>
      </c>
      <c r="E378" s="8">
        <v>145.09</v>
      </c>
      <c r="F378" s="8">
        <v>136.66</v>
      </c>
      <c r="G378" s="8">
        <v>138.6000061035156</v>
      </c>
      <c r="H378" s="5">
        <f t="shared" si="10"/>
        <v>1.4195859092021035E-2</v>
      </c>
      <c r="I378" s="5">
        <f t="shared" si="11"/>
        <v>-4.4730814642528149E-2</v>
      </c>
      <c r="J378" s="5">
        <v>-5.8101867806189311E-2</v>
      </c>
      <c r="K378" s="5">
        <v>0.7375745526838966</v>
      </c>
      <c r="L378" s="5">
        <v>0.25248508946322068</v>
      </c>
      <c r="M378" s="3" t="s">
        <v>283</v>
      </c>
    </row>
    <row r="379" spans="1:13">
      <c r="A379" s="3" t="s">
        <v>825</v>
      </c>
      <c r="B379" s="3" t="s">
        <v>826</v>
      </c>
      <c r="C379" s="3" t="s">
        <v>45</v>
      </c>
      <c r="D379" s="3" t="s">
        <v>46</v>
      </c>
      <c r="E379" s="8">
        <v>144.94</v>
      </c>
      <c r="F379" s="8">
        <v>139.25</v>
      </c>
      <c r="G379" s="8">
        <v>138.3800048828125</v>
      </c>
      <c r="H379" s="5">
        <f t="shared" si="10"/>
        <v>-6.2477207697486659E-3</v>
      </c>
      <c r="I379" s="5">
        <f t="shared" si="11"/>
        <v>-4.5260073942234746E-2</v>
      </c>
      <c r="J379" s="5">
        <v>-4.6226024561887617E-2</v>
      </c>
      <c r="K379" s="5">
        <v>0.18489065606361829</v>
      </c>
      <c r="L379" s="5">
        <v>0.25049701789264411</v>
      </c>
      <c r="M379" s="3" t="s">
        <v>63</v>
      </c>
    </row>
    <row r="380" spans="1:13">
      <c r="A380" s="3" t="s">
        <v>827</v>
      </c>
      <c r="B380" s="3" t="s">
        <v>828</v>
      </c>
      <c r="C380" s="3" t="s">
        <v>251</v>
      </c>
      <c r="D380" s="3" t="s">
        <v>251</v>
      </c>
      <c r="E380" s="8">
        <v>92.19</v>
      </c>
      <c r="F380" s="8">
        <v>88.09</v>
      </c>
      <c r="G380" s="8">
        <v>87.980003356933594</v>
      </c>
      <c r="H380" s="5">
        <f t="shared" si="10"/>
        <v>-1.2486847890386121E-3</v>
      </c>
      <c r="I380" s="5">
        <f t="shared" si="11"/>
        <v>-4.5666521781824509E-2</v>
      </c>
      <c r="J380" s="5">
        <v>-4.5666521781824509E-2</v>
      </c>
      <c r="K380" s="5">
        <v>0.33001988071570582</v>
      </c>
      <c r="L380" s="5">
        <v>0.2485089463220676</v>
      </c>
      <c r="M380" s="3" t="s">
        <v>63</v>
      </c>
    </row>
    <row r="381" spans="1:13">
      <c r="A381" s="3" t="s">
        <v>829</v>
      </c>
      <c r="B381" s="3" t="s">
        <v>830</v>
      </c>
      <c r="C381" s="3" t="s">
        <v>40</v>
      </c>
      <c r="D381" s="3" t="s">
        <v>68</v>
      </c>
      <c r="E381" s="8">
        <v>462.09</v>
      </c>
      <c r="F381" s="8">
        <v>450.44</v>
      </c>
      <c r="G381" s="8">
        <v>440.510009765625</v>
      </c>
      <c r="H381" s="5">
        <f t="shared" si="10"/>
        <v>-2.2045089766395076E-2</v>
      </c>
      <c r="I381" s="5">
        <f t="shared" si="11"/>
        <v>-4.6700838006394796E-2</v>
      </c>
      <c r="J381" s="5">
        <v>-7.1783391962477405E-2</v>
      </c>
      <c r="K381" s="5">
        <v>3.7773359840954271E-2</v>
      </c>
      <c r="L381" s="5">
        <v>0.24652087475149109</v>
      </c>
      <c r="M381" s="3" t="s">
        <v>47</v>
      </c>
    </row>
    <row r="382" spans="1:13">
      <c r="A382" s="3" t="s">
        <v>831</v>
      </c>
      <c r="B382" s="3" t="s">
        <v>832</v>
      </c>
      <c r="C382" s="3" t="s">
        <v>61</v>
      </c>
      <c r="D382" s="3" t="s">
        <v>62</v>
      </c>
      <c r="E382" s="8">
        <v>397.72</v>
      </c>
      <c r="F382" s="8">
        <v>369.25</v>
      </c>
      <c r="G382" s="8">
        <v>379.1400146484375</v>
      </c>
      <c r="H382" s="5">
        <f t="shared" si="10"/>
        <v>2.6784061336323717E-2</v>
      </c>
      <c r="I382" s="5">
        <f t="shared" si="11"/>
        <v>-4.6716245980997995E-2</v>
      </c>
      <c r="J382" s="5">
        <v>-7.7064266318012775E-2</v>
      </c>
      <c r="K382" s="5">
        <v>0.92644135188866794</v>
      </c>
      <c r="L382" s="5">
        <v>0.2445328031809145</v>
      </c>
      <c r="M382" s="3" t="s">
        <v>283</v>
      </c>
    </row>
    <row r="383" spans="1:13">
      <c r="A383" s="3" t="s">
        <v>833</v>
      </c>
      <c r="B383" s="3" t="s">
        <v>834</v>
      </c>
      <c r="C383" s="3" t="s">
        <v>57</v>
      </c>
      <c r="D383" s="3" t="s">
        <v>338</v>
      </c>
      <c r="E383" s="8">
        <v>87.3</v>
      </c>
      <c r="F383" s="8">
        <v>82.75</v>
      </c>
      <c r="G383" s="8">
        <v>83.099998474121094</v>
      </c>
      <c r="H383" s="5">
        <f t="shared" si="10"/>
        <v>4.229588811131002E-3</v>
      </c>
      <c r="I383" s="5">
        <f t="shared" si="11"/>
        <v>-4.8109983114305921E-2</v>
      </c>
      <c r="J383" s="5">
        <v>-6.136569872958253E-2</v>
      </c>
      <c r="K383" s="5">
        <v>0.50298210735586479</v>
      </c>
      <c r="L383" s="5">
        <v>0.24254473161033799</v>
      </c>
      <c r="M383" s="3" t="s">
        <v>63</v>
      </c>
    </row>
    <row r="384" spans="1:13">
      <c r="A384" s="3" t="s">
        <v>835</v>
      </c>
      <c r="B384" s="3" t="s">
        <v>836</v>
      </c>
      <c r="C384" s="3" t="s">
        <v>40</v>
      </c>
      <c r="D384" s="3" t="s">
        <v>68</v>
      </c>
      <c r="E384" s="8">
        <v>832.56</v>
      </c>
      <c r="F384" s="8">
        <v>816.64</v>
      </c>
      <c r="G384" s="8">
        <v>792.29998779296875</v>
      </c>
      <c r="H384" s="5">
        <f t="shared" si="10"/>
        <v>-2.9805069806807416E-2</v>
      </c>
      <c r="I384" s="5">
        <f t="shared" si="11"/>
        <v>-4.8356889842210982E-2</v>
      </c>
      <c r="J384" s="5">
        <v>-6.8145479167095457E-2</v>
      </c>
      <c r="K384" s="5">
        <v>2.584493041749503E-2</v>
      </c>
      <c r="L384" s="5">
        <v>0.24055666003976139</v>
      </c>
      <c r="M384" s="3" t="s">
        <v>47</v>
      </c>
    </row>
    <row r="385" spans="1:13">
      <c r="A385" s="3" t="s">
        <v>837</v>
      </c>
      <c r="B385" s="3" t="s">
        <v>838</v>
      </c>
      <c r="C385" s="3" t="s">
        <v>40</v>
      </c>
      <c r="D385" s="3" t="s">
        <v>161</v>
      </c>
      <c r="E385" s="8">
        <v>1300.1400000000001</v>
      </c>
      <c r="F385" s="8">
        <v>1225.96</v>
      </c>
      <c r="G385" s="8">
        <v>1236.650024414062</v>
      </c>
      <c r="H385" s="5">
        <f t="shared" si="10"/>
        <v>8.719717131115301E-3</v>
      </c>
      <c r="I385" s="5">
        <f t="shared" si="11"/>
        <v>-4.8833183800158442E-2</v>
      </c>
      <c r="J385" s="5">
        <v>-6.8617619351505676E-2</v>
      </c>
      <c r="K385" s="5">
        <v>0.60437375745526833</v>
      </c>
      <c r="L385" s="5">
        <v>0.23856858846918491</v>
      </c>
      <c r="M385" s="3" t="s">
        <v>63</v>
      </c>
    </row>
    <row r="386" spans="1:13">
      <c r="A386" s="3" t="s">
        <v>839</v>
      </c>
      <c r="B386" s="3" t="s">
        <v>840</v>
      </c>
      <c r="C386" s="3" t="s">
        <v>95</v>
      </c>
      <c r="D386" s="3" t="s">
        <v>99</v>
      </c>
      <c r="E386" s="8">
        <v>58.55</v>
      </c>
      <c r="F386" s="8">
        <v>55.06</v>
      </c>
      <c r="G386" s="8">
        <v>55.689998626708977</v>
      </c>
      <c r="H386" s="5">
        <f t="shared" ref="H386:H449" si="12">IFERROR(G386/F386-1,"")</f>
        <v>1.1442038262059029E-2</v>
      </c>
      <c r="I386" s="5">
        <f t="shared" ref="I386:I449" si="13">IFERROR(G386/E386-1,"")</f>
        <v>-4.8847162652280396E-2</v>
      </c>
      <c r="J386" s="5">
        <v>-5.9607173356105769E-2</v>
      </c>
      <c r="K386" s="5">
        <v>0.68190854870775353</v>
      </c>
      <c r="L386" s="5">
        <v>0.23658051689860829</v>
      </c>
      <c r="M386" s="3" t="s">
        <v>283</v>
      </c>
    </row>
    <row r="387" spans="1:13">
      <c r="A387" s="3" t="s">
        <v>841</v>
      </c>
      <c r="B387" s="3" t="s">
        <v>842</v>
      </c>
      <c r="C387" s="3" t="s">
        <v>50</v>
      </c>
      <c r="D387" s="3" t="s">
        <v>50</v>
      </c>
      <c r="E387" s="8">
        <v>183.16</v>
      </c>
      <c r="F387" s="8">
        <v>173.07</v>
      </c>
      <c r="G387" s="8">
        <v>174.11000061035159</v>
      </c>
      <c r="H387" s="5">
        <f t="shared" si="12"/>
        <v>6.0091327806759409E-3</v>
      </c>
      <c r="I387" s="5">
        <f t="shared" si="13"/>
        <v>-4.9410348272812876E-2</v>
      </c>
      <c r="J387" s="5">
        <v>-5.7917369767568561E-2</v>
      </c>
      <c r="K387" s="5">
        <v>0.54075546719681911</v>
      </c>
      <c r="L387" s="5">
        <v>0.23459244532803181</v>
      </c>
      <c r="M387" s="3" t="s">
        <v>63</v>
      </c>
    </row>
    <row r="388" spans="1:13">
      <c r="A388" s="3" t="s">
        <v>843</v>
      </c>
      <c r="B388" s="3" t="s">
        <v>844</v>
      </c>
      <c r="C388" s="3" t="s">
        <v>45</v>
      </c>
      <c r="D388" s="3" t="s">
        <v>46</v>
      </c>
      <c r="E388" s="8">
        <v>157.6</v>
      </c>
      <c r="F388" s="8">
        <v>147.63</v>
      </c>
      <c r="G388" s="8">
        <v>149.72999572753909</v>
      </c>
      <c r="H388" s="5">
        <f t="shared" si="12"/>
        <v>1.4224722126526368E-2</v>
      </c>
      <c r="I388" s="5">
        <f t="shared" si="13"/>
        <v>-4.9936575332873767E-2</v>
      </c>
      <c r="J388" s="5">
        <v>-6.7344746983384884E-2</v>
      </c>
      <c r="K388" s="5">
        <v>0.73956262425447317</v>
      </c>
      <c r="L388" s="5">
        <v>0.2326043737574553</v>
      </c>
      <c r="M388" s="3" t="s">
        <v>283</v>
      </c>
    </row>
    <row r="389" spans="1:13">
      <c r="A389" s="3" t="s">
        <v>845</v>
      </c>
      <c r="B389" s="3" t="s">
        <v>846</v>
      </c>
      <c r="C389" s="3" t="s">
        <v>251</v>
      </c>
      <c r="D389" s="3" t="s">
        <v>251</v>
      </c>
      <c r="E389" s="8">
        <v>79.41</v>
      </c>
      <c r="F389" s="8">
        <v>75.89</v>
      </c>
      <c r="G389" s="8">
        <v>75.44000244140625</v>
      </c>
      <c r="H389" s="5">
        <f t="shared" si="12"/>
        <v>-5.9296028276947244E-3</v>
      </c>
      <c r="I389" s="5">
        <f t="shared" si="13"/>
        <v>-4.9993672819465429E-2</v>
      </c>
      <c r="J389" s="5">
        <v>-4.9993672819465429E-2</v>
      </c>
      <c r="K389" s="5">
        <v>0.19483101391650101</v>
      </c>
      <c r="L389" s="5">
        <v>0.2306163021868787</v>
      </c>
      <c r="M389" s="3" t="s">
        <v>63</v>
      </c>
    </row>
    <row r="390" spans="1:13">
      <c r="A390" s="3" t="s">
        <v>847</v>
      </c>
      <c r="B390" s="3" t="s">
        <v>848</v>
      </c>
      <c r="C390" s="3" t="s">
        <v>50</v>
      </c>
      <c r="D390" s="3" t="s">
        <v>50</v>
      </c>
      <c r="E390" s="8">
        <v>48.71</v>
      </c>
      <c r="F390" s="8">
        <v>45.43</v>
      </c>
      <c r="G390" s="8">
        <v>46.270000457763672</v>
      </c>
      <c r="H390" s="5">
        <f t="shared" si="12"/>
        <v>1.8489994667921561E-2</v>
      </c>
      <c r="I390" s="5">
        <f t="shared" si="13"/>
        <v>-5.0092374096414094E-2</v>
      </c>
      <c r="J390" s="5">
        <v>-8.333333333333337E-2</v>
      </c>
      <c r="K390" s="5">
        <v>0.81113320079522866</v>
      </c>
      <c r="L390" s="5">
        <v>0.22862823061630219</v>
      </c>
      <c r="M390" s="3" t="s">
        <v>283</v>
      </c>
    </row>
    <row r="391" spans="1:13">
      <c r="A391" s="3" t="s">
        <v>849</v>
      </c>
      <c r="B391" s="3" t="s">
        <v>850</v>
      </c>
      <c r="C391" s="3" t="s">
        <v>45</v>
      </c>
      <c r="D391" s="3" t="s">
        <v>46</v>
      </c>
      <c r="E391" s="8">
        <v>75.25</v>
      </c>
      <c r="F391" s="8">
        <v>70.25</v>
      </c>
      <c r="G391" s="8">
        <v>71.319999694824219</v>
      </c>
      <c r="H391" s="5">
        <f t="shared" si="12"/>
        <v>1.5231312381839501E-2</v>
      </c>
      <c r="I391" s="5">
        <f t="shared" si="13"/>
        <v>-5.2225917676754552E-2</v>
      </c>
      <c r="J391" s="5">
        <v>-6.6445182724252483E-2</v>
      </c>
      <c r="K391" s="5">
        <v>0.75944333996023861</v>
      </c>
      <c r="L391" s="5">
        <v>0.22664015904572571</v>
      </c>
      <c r="M391" s="3" t="s">
        <v>283</v>
      </c>
    </row>
    <row r="392" spans="1:13">
      <c r="A392" s="3" t="s">
        <v>851</v>
      </c>
      <c r="B392" s="3" t="s">
        <v>852</v>
      </c>
      <c r="C392" s="3" t="s">
        <v>40</v>
      </c>
      <c r="D392" s="3" t="s">
        <v>41</v>
      </c>
      <c r="E392" s="8">
        <v>362.47</v>
      </c>
      <c r="F392" s="8">
        <v>344.93</v>
      </c>
      <c r="G392" s="8">
        <v>343.52999877929687</v>
      </c>
      <c r="H392" s="5">
        <f t="shared" si="12"/>
        <v>-4.0587980770102616E-3</v>
      </c>
      <c r="I392" s="5">
        <f t="shared" si="13"/>
        <v>-5.2252603582925938E-2</v>
      </c>
      <c r="J392" s="5">
        <v>-7.1339752434859238E-2</v>
      </c>
      <c r="K392" s="5">
        <v>0.2306163021868787</v>
      </c>
      <c r="L392" s="5">
        <v>0.22465208747514909</v>
      </c>
      <c r="M392" s="3" t="s">
        <v>63</v>
      </c>
    </row>
    <row r="393" spans="1:13">
      <c r="A393" s="3" t="s">
        <v>853</v>
      </c>
      <c r="B393" s="3" t="s">
        <v>854</v>
      </c>
      <c r="C393" s="3" t="s">
        <v>45</v>
      </c>
      <c r="D393" s="3" t="s">
        <v>46</v>
      </c>
      <c r="E393" s="8">
        <v>222.2</v>
      </c>
      <c r="F393" s="8">
        <v>205.66</v>
      </c>
      <c r="G393" s="8">
        <v>210.33000183105469</v>
      </c>
      <c r="H393" s="5">
        <f t="shared" si="12"/>
        <v>2.2707390017770557E-2</v>
      </c>
      <c r="I393" s="5">
        <f t="shared" si="13"/>
        <v>-5.3420333793633201E-2</v>
      </c>
      <c r="J393" s="5">
        <v>-7.4437443744374443E-2</v>
      </c>
      <c r="K393" s="5">
        <v>0.87077534791252487</v>
      </c>
      <c r="L393" s="5">
        <v>0.2226640159045726</v>
      </c>
      <c r="M393" s="3" t="s">
        <v>283</v>
      </c>
    </row>
    <row r="394" spans="1:13">
      <c r="A394" s="3" t="s">
        <v>855</v>
      </c>
      <c r="B394" s="3" t="s">
        <v>856</v>
      </c>
      <c r="C394" s="3" t="s">
        <v>57</v>
      </c>
      <c r="D394" s="3" t="s">
        <v>338</v>
      </c>
      <c r="E394" s="8">
        <v>130.68</v>
      </c>
      <c r="F394" s="8">
        <v>123.13</v>
      </c>
      <c r="G394" s="8">
        <v>123.629997253418</v>
      </c>
      <c r="H394" s="5">
        <f t="shared" si="12"/>
        <v>4.0607264957199796E-3</v>
      </c>
      <c r="I394" s="5">
        <f t="shared" si="13"/>
        <v>-5.394859769346505E-2</v>
      </c>
      <c r="J394" s="5">
        <v>-5.9070762647103869E-2</v>
      </c>
      <c r="K394" s="5">
        <v>0.50099403578528823</v>
      </c>
      <c r="L394" s="5">
        <v>0.22067594433399601</v>
      </c>
      <c r="M394" s="3" t="s">
        <v>63</v>
      </c>
    </row>
    <row r="395" spans="1:13">
      <c r="A395" s="3" t="s">
        <v>857</v>
      </c>
      <c r="B395" s="3" t="s">
        <v>858</v>
      </c>
      <c r="C395" s="3" t="s">
        <v>45</v>
      </c>
      <c r="D395" s="3" t="s">
        <v>46</v>
      </c>
      <c r="E395" s="8">
        <v>284.25</v>
      </c>
      <c r="F395" s="8">
        <v>269.88</v>
      </c>
      <c r="G395" s="8">
        <v>268.85000610351562</v>
      </c>
      <c r="H395" s="5">
        <f t="shared" si="12"/>
        <v>-3.816488426279685E-3</v>
      </c>
      <c r="I395" s="5">
        <f t="shared" si="13"/>
        <v>-5.4177639037763847E-2</v>
      </c>
      <c r="J395" s="5">
        <v>-5.8351700103269073E-2</v>
      </c>
      <c r="K395" s="5">
        <v>0.23658051689860829</v>
      </c>
      <c r="L395" s="5">
        <v>0.2186878727634195</v>
      </c>
      <c r="M395" s="3" t="s">
        <v>63</v>
      </c>
    </row>
    <row r="396" spans="1:13">
      <c r="A396" s="3" t="s">
        <v>859</v>
      </c>
      <c r="B396" s="3" t="s">
        <v>860</v>
      </c>
      <c r="C396" s="3" t="s">
        <v>164</v>
      </c>
      <c r="D396" s="3" t="s">
        <v>165</v>
      </c>
      <c r="E396" s="8">
        <v>23.15</v>
      </c>
      <c r="F396" s="8">
        <v>21.64</v>
      </c>
      <c r="G396" s="8">
        <v>21.895000457763668</v>
      </c>
      <c r="H396" s="5">
        <f t="shared" si="12"/>
        <v>1.1783754979836747E-2</v>
      </c>
      <c r="I396" s="5">
        <f t="shared" si="13"/>
        <v>-5.4211643293145984E-2</v>
      </c>
      <c r="J396" s="5">
        <v>-6.7643257216716934E-2</v>
      </c>
      <c r="K396" s="5">
        <v>0.69582504970178927</v>
      </c>
      <c r="L396" s="5">
        <v>0.21669980119284291</v>
      </c>
      <c r="M396" s="3" t="s">
        <v>283</v>
      </c>
    </row>
    <row r="397" spans="1:13">
      <c r="A397" s="3" t="s">
        <v>861</v>
      </c>
      <c r="B397" s="3" t="s">
        <v>862</v>
      </c>
      <c r="C397" s="3" t="s">
        <v>164</v>
      </c>
      <c r="D397" s="3" t="s">
        <v>165</v>
      </c>
      <c r="E397" s="8">
        <v>24.62</v>
      </c>
      <c r="F397" s="8">
        <v>23.38</v>
      </c>
      <c r="G397" s="8">
        <v>23.280000686645511</v>
      </c>
      <c r="H397" s="5">
        <f t="shared" si="12"/>
        <v>-4.2771305968557494E-3</v>
      </c>
      <c r="I397" s="5">
        <f t="shared" si="13"/>
        <v>-5.4427266992465029E-2</v>
      </c>
      <c r="J397" s="5">
        <v>-5.4427266992465029E-2</v>
      </c>
      <c r="K397" s="5">
        <v>0.22465208747514909</v>
      </c>
      <c r="L397" s="5">
        <v>0.2147117296222664</v>
      </c>
      <c r="M397" s="3" t="s">
        <v>63</v>
      </c>
    </row>
    <row r="398" spans="1:13">
      <c r="A398" s="3" t="s">
        <v>863</v>
      </c>
      <c r="B398" s="3" t="s">
        <v>864</v>
      </c>
      <c r="C398" s="3" t="s">
        <v>57</v>
      </c>
      <c r="D398" s="3" t="s">
        <v>58</v>
      </c>
      <c r="E398" s="8">
        <v>326.27</v>
      </c>
      <c r="F398" s="8">
        <v>304.23</v>
      </c>
      <c r="G398" s="8">
        <v>308.47000122070312</v>
      </c>
      <c r="H398" s="5">
        <f t="shared" si="12"/>
        <v>1.3936828125770351E-2</v>
      </c>
      <c r="I398" s="5">
        <f t="shared" si="13"/>
        <v>-5.4556038800063877E-2</v>
      </c>
      <c r="J398" s="5">
        <v>-0.1028971618134905</v>
      </c>
      <c r="K398" s="5">
        <v>0.73359840954274358</v>
      </c>
      <c r="L398" s="5">
        <v>0.21272365805168991</v>
      </c>
      <c r="M398" s="3" t="s">
        <v>283</v>
      </c>
    </row>
    <row r="399" spans="1:13">
      <c r="A399" s="3" t="s">
        <v>865</v>
      </c>
      <c r="B399" s="3" t="s">
        <v>866</v>
      </c>
      <c r="C399" s="3" t="s">
        <v>45</v>
      </c>
      <c r="D399" s="3" t="s">
        <v>46</v>
      </c>
      <c r="E399" s="8">
        <v>277.11</v>
      </c>
      <c r="F399" s="8">
        <v>263.56</v>
      </c>
      <c r="G399" s="8">
        <v>261.89999389648437</v>
      </c>
      <c r="H399" s="5">
        <f t="shared" si="12"/>
        <v>-6.2983992393217392E-3</v>
      </c>
      <c r="I399" s="5">
        <f t="shared" si="13"/>
        <v>-5.4887972658928308E-2</v>
      </c>
      <c r="J399" s="5">
        <v>-5.4887972658928308E-2</v>
      </c>
      <c r="K399" s="5">
        <v>0.1789264413518887</v>
      </c>
      <c r="L399" s="5">
        <v>0.21073558648111329</v>
      </c>
      <c r="M399" s="3" t="s">
        <v>63</v>
      </c>
    </row>
    <row r="400" spans="1:13">
      <c r="A400" s="3" t="s">
        <v>867</v>
      </c>
      <c r="B400" s="3" t="s">
        <v>868</v>
      </c>
      <c r="C400" s="3" t="s">
        <v>40</v>
      </c>
      <c r="D400" s="3" t="s">
        <v>68</v>
      </c>
      <c r="E400" s="8">
        <v>53.13</v>
      </c>
      <c r="F400" s="8">
        <v>50.87</v>
      </c>
      <c r="G400" s="8">
        <v>50.200000762939453</v>
      </c>
      <c r="H400" s="5">
        <f t="shared" si="12"/>
        <v>-1.3170812601937198E-2</v>
      </c>
      <c r="I400" s="5">
        <f t="shared" si="13"/>
        <v>-5.5147736440062989E-2</v>
      </c>
      <c r="J400" s="5">
        <v>-9.1073678020288651E-2</v>
      </c>
      <c r="K400" s="5">
        <v>7.7534791252485094E-2</v>
      </c>
      <c r="L400" s="5">
        <v>0.20874751491053681</v>
      </c>
      <c r="M400" s="3" t="s">
        <v>47</v>
      </c>
    </row>
    <row r="401" spans="1:13">
      <c r="A401" s="3" t="s">
        <v>869</v>
      </c>
      <c r="B401" s="3" t="s">
        <v>870</v>
      </c>
      <c r="C401" s="3" t="s">
        <v>164</v>
      </c>
      <c r="D401" s="3" t="s">
        <v>165</v>
      </c>
      <c r="E401" s="8">
        <v>192.35</v>
      </c>
      <c r="F401" s="8">
        <v>183.27</v>
      </c>
      <c r="G401" s="8">
        <v>181.71000671386719</v>
      </c>
      <c r="H401" s="5">
        <f t="shared" si="12"/>
        <v>-8.5119947952900787E-3</v>
      </c>
      <c r="I401" s="5">
        <f t="shared" si="13"/>
        <v>-5.5315795612855823E-2</v>
      </c>
      <c r="J401" s="5">
        <v>-6.4796671570421127E-2</v>
      </c>
      <c r="K401" s="5">
        <v>0.14115308151093439</v>
      </c>
      <c r="L401" s="5">
        <v>0.20675944333996021</v>
      </c>
      <c r="M401" s="3" t="s">
        <v>63</v>
      </c>
    </row>
    <row r="402" spans="1:13">
      <c r="A402" s="3" t="s">
        <v>871</v>
      </c>
      <c r="B402" s="3" t="s">
        <v>872</v>
      </c>
      <c r="C402" s="3" t="s">
        <v>45</v>
      </c>
      <c r="D402" s="3" t="s">
        <v>345</v>
      </c>
      <c r="E402" s="8">
        <v>83.29</v>
      </c>
      <c r="F402" s="8">
        <v>76.38</v>
      </c>
      <c r="G402" s="8">
        <v>78.614997863769531</v>
      </c>
      <c r="H402" s="5">
        <f t="shared" si="12"/>
        <v>2.9261558834374757E-2</v>
      </c>
      <c r="I402" s="5">
        <f t="shared" si="13"/>
        <v>-5.6129212825434927E-2</v>
      </c>
      <c r="J402" s="5">
        <v>-8.658215737861763E-2</v>
      </c>
      <c r="K402" s="5">
        <v>0.95228628230616297</v>
      </c>
      <c r="L402" s="5">
        <v>0.2047713717693837</v>
      </c>
      <c r="M402" s="3" t="s">
        <v>283</v>
      </c>
    </row>
    <row r="403" spans="1:13">
      <c r="A403" s="3" t="s">
        <v>873</v>
      </c>
      <c r="B403" s="3" t="s">
        <v>874</v>
      </c>
      <c r="C403" s="3" t="s">
        <v>40</v>
      </c>
      <c r="D403" s="3" t="s">
        <v>68</v>
      </c>
      <c r="E403" s="8">
        <v>648.63</v>
      </c>
      <c r="F403" s="8">
        <v>610.51</v>
      </c>
      <c r="G403" s="8">
        <v>611.8599853515625</v>
      </c>
      <c r="H403" s="5">
        <f t="shared" si="12"/>
        <v>2.211241996957547E-3</v>
      </c>
      <c r="I403" s="5">
        <f t="shared" si="13"/>
        <v>-5.6688735717493E-2</v>
      </c>
      <c r="J403" s="5">
        <v>-5.8770022971493807E-2</v>
      </c>
      <c r="K403" s="5">
        <v>0.43538767395626238</v>
      </c>
      <c r="L403" s="5">
        <v>0.20278330019880719</v>
      </c>
      <c r="M403" s="3" t="s">
        <v>63</v>
      </c>
    </row>
    <row r="404" spans="1:13">
      <c r="A404" s="3" t="s">
        <v>875</v>
      </c>
      <c r="B404" s="3" t="s">
        <v>876</v>
      </c>
      <c r="C404" s="3" t="s">
        <v>50</v>
      </c>
      <c r="D404" s="3" t="s">
        <v>50</v>
      </c>
      <c r="E404" s="8">
        <v>353.59</v>
      </c>
      <c r="F404" s="8">
        <v>329.95</v>
      </c>
      <c r="G404" s="8">
        <v>333.51998901367187</v>
      </c>
      <c r="H404" s="5">
        <f t="shared" si="12"/>
        <v>1.0819787888079579E-2</v>
      </c>
      <c r="I404" s="5">
        <f t="shared" si="13"/>
        <v>-5.6760686066710364E-2</v>
      </c>
      <c r="J404" s="5">
        <v>-6.6857094374840886E-2</v>
      </c>
      <c r="K404" s="5">
        <v>0.66202783300198809</v>
      </c>
      <c r="L404" s="5">
        <v>0.2007952286282306</v>
      </c>
      <c r="M404" s="3" t="s">
        <v>283</v>
      </c>
    </row>
    <row r="405" spans="1:13">
      <c r="A405" s="3" t="s">
        <v>877</v>
      </c>
      <c r="B405" s="3" t="s">
        <v>878</v>
      </c>
      <c r="C405" s="3" t="s">
        <v>45</v>
      </c>
      <c r="D405" s="3" t="s">
        <v>345</v>
      </c>
      <c r="E405" s="8">
        <v>115.78</v>
      </c>
      <c r="F405" s="8">
        <v>104.63</v>
      </c>
      <c r="G405" s="8">
        <v>109.129997253418</v>
      </c>
      <c r="H405" s="5">
        <f t="shared" si="12"/>
        <v>4.3008671063920589E-2</v>
      </c>
      <c r="I405" s="5">
        <f t="shared" si="13"/>
        <v>-5.7436541255674545E-2</v>
      </c>
      <c r="J405" s="5">
        <v>-0.1088493314027766</v>
      </c>
      <c r="K405" s="5">
        <v>0.99005964214711728</v>
      </c>
      <c r="L405" s="5">
        <v>0.19880715705765409</v>
      </c>
      <c r="M405" s="3" t="s">
        <v>879</v>
      </c>
    </row>
    <row r="406" spans="1:13">
      <c r="A406" s="3" t="s">
        <v>880</v>
      </c>
      <c r="B406" s="3" t="s">
        <v>881</v>
      </c>
      <c r="C406" s="3" t="s">
        <v>164</v>
      </c>
      <c r="D406" s="3" t="s">
        <v>882</v>
      </c>
      <c r="E406" s="8">
        <v>33.729999999999997</v>
      </c>
      <c r="F406" s="8">
        <v>31.98</v>
      </c>
      <c r="G406" s="8">
        <v>31.79000091552734</v>
      </c>
      <c r="H406" s="5">
        <f t="shared" si="12"/>
        <v>-5.9411846301644644E-3</v>
      </c>
      <c r="I406" s="5">
        <f t="shared" si="13"/>
        <v>-5.7515537636307679E-2</v>
      </c>
      <c r="J406" s="5">
        <v>-7.0856804032018883E-2</v>
      </c>
      <c r="K406" s="5">
        <v>0.19284294234592439</v>
      </c>
      <c r="L406" s="5">
        <v>0.19681908548707749</v>
      </c>
      <c r="M406" s="3" t="s">
        <v>63</v>
      </c>
    </row>
    <row r="407" spans="1:13">
      <c r="A407" s="3" t="s">
        <v>883</v>
      </c>
      <c r="B407" s="3" t="s">
        <v>884</v>
      </c>
      <c r="C407" s="3" t="s">
        <v>164</v>
      </c>
      <c r="D407" s="3" t="s">
        <v>165</v>
      </c>
      <c r="E407" s="8">
        <v>147.91</v>
      </c>
      <c r="F407" s="8">
        <v>140.12</v>
      </c>
      <c r="G407" s="8">
        <v>139.3999938964844</v>
      </c>
      <c r="H407" s="5">
        <f t="shared" si="12"/>
        <v>-5.1384963139851081E-3</v>
      </c>
      <c r="I407" s="5">
        <f t="shared" si="13"/>
        <v>-5.7535028757457862E-2</v>
      </c>
      <c r="J407" s="5">
        <v>-5.7535028757457862E-2</v>
      </c>
      <c r="K407" s="5">
        <v>0.20874751491053681</v>
      </c>
      <c r="L407" s="5">
        <v>0.19483101391650101</v>
      </c>
      <c r="M407" s="3" t="s">
        <v>63</v>
      </c>
    </row>
    <row r="408" spans="1:13">
      <c r="A408" s="3" t="s">
        <v>885</v>
      </c>
      <c r="B408" s="3" t="s">
        <v>886</v>
      </c>
      <c r="C408" s="3" t="s">
        <v>45</v>
      </c>
      <c r="D408" s="3" t="s">
        <v>46</v>
      </c>
      <c r="E408" s="8">
        <v>475.64</v>
      </c>
      <c r="F408" s="8">
        <v>443.31</v>
      </c>
      <c r="G408" s="8">
        <v>448.14999389648437</v>
      </c>
      <c r="H408" s="5">
        <f t="shared" si="12"/>
        <v>1.0917854089653733E-2</v>
      </c>
      <c r="I408" s="5">
        <f t="shared" si="13"/>
        <v>-5.7795824790840999E-2</v>
      </c>
      <c r="J408" s="5">
        <v>-6.7971575140862828E-2</v>
      </c>
      <c r="K408" s="5">
        <v>0.66799204771371767</v>
      </c>
      <c r="L408" s="5">
        <v>0.19284294234592439</v>
      </c>
      <c r="M408" s="3" t="s">
        <v>879</v>
      </c>
    </row>
    <row r="409" spans="1:13">
      <c r="A409" s="3" t="s">
        <v>887</v>
      </c>
      <c r="B409" s="3" t="s">
        <v>888</v>
      </c>
      <c r="C409" s="3" t="s">
        <v>95</v>
      </c>
      <c r="D409" s="3" t="s">
        <v>99</v>
      </c>
      <c r="E409" s="8">
        <v>47.43</v>
      </c>
      <c r="F409" s="8">
        <v>44.99</v>
      </c>
      <c r="G409" s="8">
        <v>44.665000915527337</v>
      </c>
      <c r="H409" s="5">
        <f t="shared" si="12"/>
        <v>-7.2238071676520299E-3</v>
      </c>
      <c r="I409" s="5">
        <f t="shared" si="13"/>
        <v>-5.829641755160575E-2</v>
      </c>
      <c r="J409" s="5">
        <v>-8.6978722086522131E-2</v>
      </c>
      <c r="K409" s="5">
        <v>0.15506958250497019</v>
      </c>
      <c r="L409" s="5">
        <v>0.19085487077534791</v>
      </c>
      <c r="M409" s="3" t="s">
        <v>63</v>
      </c>
    </row>
    <row r="410" spans="1:13">
      <c r="A410" s="3" t="s">
        <v>889</v>
      </c>
      <c r="B410" s="3" t="s">
        <v>890</v>
      </c>
      <c r="C410" s="3" t="s">
        <v>40</v>
      </c>
      <c r="D410" s="3" t="s">
        <v>41</v>
      </c>
      <c r="E410" s="8">
        <v>1161.5899999999999</v>
      </c>
      <c r="F410" s="8">
        <v>1103.68</v>
      </c>
      <c r="G410" s="8">
        <v>1093.180053710938</v>
      </c>
      <c r="H410" s="5">
        <f t="shared" si="12"/>
        <v>-9.5135784729831752E-3</v>
      </c>
      <c r="I410" s="5">
        <f t="shared" si="13"/>
        <v>-5.8893367099460248E-2</v>
      </c>
      <c r="J410" s="5">
        <v>-6.7785435194097299E-2</v>
      </c>
      <c r="K410" s="5">
        <v>0.1232604373757455</v>
      </c>
      <c r="L410" s="5">
        <v>0.1888667992047714</v>
      </c>
      <c r="M410" s="3" t="s">
        <v>47</v>
      </c>
    </row>
    <row r="411" spans="1:13">
      <c r="A411" s="3" t="s">
        <v>891</v>
      </c>
      <c r="B411" s="3" t="s">
        <v>892</v>
      </c>
      <c r="C411" s="3" t="s">
        <v>164</v>
      </c>
      <c r="D411" s="3" t="s">
        <v>165</v>
      </c>
      <c r="E411" s="8">
        <v>1077.08</v>
      </c>
      <c r="F411" s="8">
        <v>1027.5899999999999</v>
      </c>
      <c r="G411" s="8">
        <v>1013.419982910156</v>
      </c>
      <c r="H411" s="5">
        <f t="shared" si="12"/>
        <v>-1.3789563045420783E-2</v>
      </c>
      <c r="I411" s="5">
        <f t="shared" si="13"/>
        <v>-5.910426067687069E-2</v>
      </c>
      <c r="J411" s="5">
        <v>-6.3910380552409385E-2</v>
      </c>
      <c r="K411" s="5">
        <v>6.9582504970178927E-2</v>
      </c>
      <c r="L411" s="5">
        <v>0.1868787276341948</v>
      </c>
      <c r="M411" s="3" t="s">
        <v>47</v>
      </c>
    </row>
    <row r="412" spans="1:13">
      <c r="A412" s="3" t="s">
        <v>893</v>
      </c>
      <c r="B412" s="3" t="s">
        <v>894</v>
      </c>
      <c r="C412" s="3" t="s">
        <v>40</v>
      </c>
      <c r="D412" s="3" t="s">
        <v>68</v>
      </c>
      <c r="E412" s="8">
        <v>113.03</v>
      </c>
      <c r="F412" s="8">
        <v>106.86</v>
      </c>
      <c r="G412" s="8">
        <v>106.3399963378906</v>
      </c>
      <c r="H412" s="5">
        <f t="shared" si="12"/>
        <v>-4.8662143188228368E-3</v>
      </c>
      <c r="I412" s="5">
        <f t="shared" si="13"/>
        <v>-5.918785864026721E-2</v>
      </c>
      <c r="J412" s="5">
        <v>-7.7710352663568072E-2</v>
      </c>
      <c r="K412" s="5">
        <v>0.21272365805168991</v>
      </c>
      <c r="L412" s="5">
        <v>0.18489065606361829</v>
      </c>
      <c r="M412" s="3" t="s">
        <v>63</v>
      </c>
    </row>
    <row r="413" spans="1:13">
      <c r="A413" s="3" t="s">
        <v>895</v>
      </c>
      <c r="B413" s="3" t="s">
        <v>896</v>
      </c>
      <c r="C413" s="3" t="s">
        <v>45</v>
      </c>
      <c r="D413" s="3" t="s">
        <v>46</v>
      </c>
      <c r="E413" s="8">
        <v>180.66</v>
      </c>
      <c r="F413" s="8">
        <v>170.24</v>
      </c>
      <c r="G413" s="8">
        <v>169.91999816894531</v>
      </c>
      <c r="H413" s="5">
        <f t="shared" si="12"/>
        <v>-1.8797100038456804E-3</v>
      </c>
      <c r="I413" s="5">
        <f t="shared" si="13"/>
        <v>-5.944869827883692E-2</v>
      </c>
      <c r="J413" s="5">
        <v>-5.944869827883692E-2</v>
      </c>
      <c r="K413" s="5">
        <v>0.29423459244532801</v>
      </c>
      <c r="L413" s="5">
        <v>0.18290258449304181</v>
      </c>
      <c r="M413" s="3" t="s">
        <v>63</v>
      </c>
    </row>
    <row r="414" spans="1:13">
      <c r="A414" s="3" t="s">
        <v>897</v>
      </c>
      <c r="B414" s="3" t="s">
        <v>898</v>
      </c>
      <c r="C414" s="3" t="s">
        <v>164</v>
      </c>
      <c r="D414" s="3" t="s">
        <v>165</v>
      </c>
      <c r="E414" s="8">
        <v>223.18</v>
      </c>
      <c r="F414" s="8">
        <v>211.87</v>
      </c>
      <c r="G414" s="8">
        <v>209.8699951171875</v>
      </c>
      <c r="H414" s="5">
        <f t="shared" si="12"/>
        <v>-9.4397738368456885E-3</v>
      </c>
      <c r="I414" s="5">
        <f t="shared" si="13"/>
        <v>-5.9637982269076573E-2</v>
      </c>
      <c r="J414" s="5">
        <v>-5.9637982269076573E-2</v>
      </c>
      <c r="K414" s="5">
        <v>0.12524850894632211</v>
      </c>
      <c r="L414" s="5">
        <v>0.18091451292246519</v>
      </c>
      <c r="M414" s="3" t="s">
        <v>63</v>
      </c>
    </row>
    <row r="415" spans="1:13">
      <c r="A415" s="3" t="s">
        <v>899</v>
      </c>
      <c r="B415" s="3" t="s">
        <v>900</v>
      </c>
      <c r="C415" s="3" t="s">
        <v>40</v>
      </c>
      <c r="D415" s="3" t="s">
        <v>68</v>
      </c>
      <c r="E415" s="8">
        <v>152.46</v>
      </c>
      <c r="F415" s="8">
        <v>145.56</v>
      </c>
      <c r="G415" s="8">
        <v>143.3500061035156</v>
      </c>
      <c r="H415" s="5">
        <f t="shared" si="12"/>
        <v>-1.5182700580409492E-2</v>
      </c>
      <c r="I415" s="5">
        <f t="shared" si="13"/>
        <v>-5.97533379016425E-2</v>
      </c>
      <c r="J415" s="5">
        <v>-6.1845509793746152E-2</v>
      </c>
      <c r="K415" s="5">
        <v>6.560636182902585E-2</v>
      </c>
      <c r="L415" s="5">
        <v>0.1789264413518887</v>
      </c>
      <c r="M415" s="3" t="s">
        <v>47</v>
      </c>
    </row>
    <row r="416" spans="1:13">
      <c r="A416" s="3" t="s">
        <v>901</v>
      </c>
      <c r="B416" s="3" t="s">
        <v>902</v>
      </c>
      <c r="C416" s="3" t="s">
        <v>71</v>
      </c>
      <c r="D416" s="3" t="s">
        <v>146</v>
      </c>
      <c r="E416" s="8">
        <v>348.43</v>
      </c>
      <c r="F416" s="8">
        <v>326.3</v>
      </c>
      <c r="G416" s="8">
        <v>327.14999389648437</v>
      </c>
      <c r="H416" s="5">
        <f t="shared" si="12"/>
        <v>2.6049460511319289E-3</v>
      </c>
      <c r="I416" s="5">
        <f t="shared" si="13"/>
        <v>-6.1073977853559169E-2</v>
      </c>
      <c r="J416" s="5">
        <v>-0.1046505151768311</v>
      </c>
      <c r="K416" s="5">
        <v>0.44333996023856859</v>
      </c>
      <c r="L416" s="5">
        <v>0.17693836978131211</v>
      </c>
      <c r="M416" s="3" t="s">
        <v>63</v>
      </c>
    </row>
    <row r="417" spans="1:13">
      <c r="A417" s="3" t="s">
        <v>903</v>
      </c>
      <c r="B417" s="3" t="s">
        <v>904</v>
      </c>
      <c r="C417" s="3" t="s">
        <v>57</v>
      </c>
      <c r="D417" s="3" t="s">
        <v>58</v>
      </c>
      <c r="E417" s="8">
        <v>334.73</v>
      </c>
      <c r="F417" s="8">
        <v>311.99</v>
      </c>
      <c r="G417" s="8">
        <v>314.19000244140619</v>
      </c>
      <c r="H417" s="5">
        <f t="shared" si="12"/>
        <v>7.0515158864263849E-3</v>
      </c>
      <c r="I417" s="5">
        <f t="shared" si="13"/>
        <v>-6.1362882199366142E-2</v>
      </c>
      <c r="J417" s="5">
        <v>-6.7935350879813616E-2</v>
      </c>
      <c r="K417" s="5">
        <v>0.562624254473161</v>
      </c>
      <c r="L417" s="5">
        <v>0.1749502982107356</v>
      </c>
      <c r="M417" s="3" t="s">
        <v>63</v>
      </c>
    </row>
    <row r="418" spans="1:13">
      <c r="A418" s="3" t="s">
        <v>905</v>
      </c>
      <c r="B418" s="3" t="s">
        <v>906</v>
      </c>
      <c r="C418" s="3" t="s">
        <v>45</v>
      </c>
      <c r="D418" s="3" t="s">
        <v>46</v>
      </c>
      <c r="E418" s="8">
        <v>221.73</v>
      </c>
      <c r="F418" s="8">
        <v>209.98</v>
      </c>
      <c r="G418" s="8">
        <v>208.1199951171875</v>
      </c>
      <c r="H418" s="5">
        <f t="shared" si="12"/>
        <v>-8.8580097286050652E-3</v>
      </c>
      <c r="I418" s="5">
        <f t="shared" si="13"/>
        <v>-6.1380980845228361E-2</v>
      </c>
      <c r="J418" s="5">
        <v>-6.1380980845228361E-2</v>
      </c>
      <c r="K418" s="5">
        <v>0.13320079522862821</v>
      </c>
      <c r="L418" s="5">
        <v>0.17296222664015901</v>
      </c>
      <c r="M418" s="3" t="s">
        <v>63</v>
      </c>
    </row>
    <row r="419" spans="1:13">
      <c r="A419" s="3" t="s">
        <v>907</v>
      </c>
      <c r="B419" s="3" t="s">
        <v>908</v>
      </c>
      <c r="C419" s="3" t="s">
        <v>45</v>
      </c>
      <c r="D419" s="3" t="s">
        <v>46</v>
      </c>
      <c r="E419" s="8">
        <v>61.2</v>
      </c>
      <c r="F419" s="8">
        <v>57.25</v>
      </c>
      <c r="G419" s="8">
        <v>57.430000305175781</v>
      </c>
      <c r="H419" s="5">
        <f t="shared" si="12"/>
        <v>3.1441101340747846E-3</v>
      </c>
      <c r="I419" s="5">
        <f t="shared" si="13"/>
        <v>-6.1601302203010189E-2</v>
      </c>
      <c r="J419" s="5">
        <v>-6.4542483660130712E-2</v>
      </c>
      <c r="K419" s="5">
        <v>0.47514910536779331</v>
      </c>
      <c r="L419" s="5">
        <v>0.1709741550695825</v>
      </c>
      <c r="M419" s="3" t="s">
        <v>63</v>
      </c>
    </row>
    <row r="420" spans="1:13">
      <c r="A420" s="3" t="s">
        <v>909</v>
      </c>
      <c r="B420" s="3" t="s">
        <v>910</v>
      </c>
      <c r="C420" s="3" t="s">
        <v>45</v>
      </c>
      <c r="D420" s="3" t="s">
        <v>46</v>
      </c>
      <c r="E420" s="8">
        <v>51.44</v>
      </c>
      <c r="F420" s="8">
        <v>48.75</v>
      </c>
      <c r="G420" s="8">
        <v>48.270000457763672</v>
      </c>
      <c r="H420" s="5">
        <f t="shared" si="12"/>
        <v>-9.8461444561298572E-3</v>
      </c>
      <c r="I420" s="5">
        <f t="shared" si="13"/>
        <v>-6.162518550226137E-2</v>
      </c>
      <c r="J420" s="5">
        <v>-6.162518550226137E-2</v>
      </c>
      <c r="K420" s="5">
        <v>0.1192842942345924</v>
      </c>
      <c r="L420" s="5">
        <v>0.16898608349900601</v>
      </c>
      <c r="M420" s="3" t="s">
        <v>47</v>
      </c>
    </row>
    <row r="421" spans="1:13">
      <c r="A421" s="3" t="s">
        <v>911</v>
      </c>
      <c r="B421" s="3" t="s">
        <v>912</v>
      </c>
      <c r="C421" s="3" t="s">
        <v>61</v>
      </c>
      <c r="D421" s="3" t="s">
        <v>62</v>
      </c>
      <c r="E421" s="8">
        <v>52.01</v>
      </c>
      <c r="F421" s="8">
        <v>48.08</v>
      </c>
      <c r="G421" s="8">
        <v>48.799999237060547</v>
      </c>
      <c r="H421" s="5">
        <f t="shared" si="12"/>
        <v>1.4975025729212721E-2</v>
      </c>
      <c r="I421" s="5">
        <f t="shared" si="13"/>
        <v>-6.1718914880589337E-2</v>
      </c>
      <c r="J421" s="5">
        <v>-0.1026725629686598</v>
      </c>
      <c r="K421" s="5">
        <v>0.75149105367793245</v>
      </c>
      <c r="L421" s="5">
        <v>0.16699801192842939</v>
      </c>
      <c r="M421" s="3" t="s">
        <v>879</v>
      </c>
    </row>
    <row r="422" spans="1:13">
      <c r="A422" s="3" t="s">
        <v>913</v>
      </c>
      <c r="B422" s="3" t="s">
        <v>914</v>
      </c>
      <c r="C422" s="3" t="s">
        <v>45</v>
      </c>
      <c r="D422" s="3" t="s">
        <v>46</v>
      </c>
      <c r="E422" s="8">
        <v>202.38</v>
      </c>
      <c r="F422" s="8">
        <v>189.93</v>
      </c>
      <c r="G422" s="8">
        <v>189.69000244140619</v>
      </c>
      <c r="H422" s="5">
        <f t="shared" si="12"/>
        <v>-1.2636105859727964E-3</v>
      </c>
      <c r="I422" s="5">
        <f t="shared" si="13"/>
        <v>-6.270381242511025E-2</v>
      </c>
      <c r="J422" s="5">
        <v>-7.3145693142743107E-2</v>
      </c>
      <c r="K422" s="5">
        <v>0.32803180914512919</v>
      </c>
      <c r="L422" s="5">
        <v>0.16500994035785291</v>
      </c>
      <c r="M422" s="3" t="s">
        <v>63</v>
      </c>
    </row>
    <row r="423" spans="1:13">
      <c r="A423" s="3" t="s">
        <v>915</v>
      </c>
      <c r="B423" s="3" t="s">
        <v>916</v>
      </c>
      <c r="C423" s="3" t="s">
        <v>40</v>
      </c>
      <c r="D423" s="3" t="s">
        <v>161</v>
      </c>
      <c r="E423" s="8">
        <v>77.08</v>
      </c>
      <c r="F423" s="8">
        <v>71.41</v>
      </c>
      <c r="G423" s="8">
        <v>72.245002746582031</v>
      </c>
      <c r="H423" s="5">
        <f t="shared" si="12"/>
        <v>1.1693078652598166E-2</v>
      </c>
      <c r="I423" s="5">
        <f t="shared" si="13"/>
        <v>-6.2727001211961175E-2</v>
      </c>
      <c r="J423" s="5">
        <v>-7.3559937727036839E-2</v>
      </c>
      <c r="K423" s="5">
        <v>0.6938369781312127</v>
      </c>
      <c r="L423" s="5">
        <v>0.16302186878727629</v>
      </c>
      <c r="M423" s="3" t="s">
        <v>879</v>
      </c>
    </row>
    <row r="424" spans="1:13">
      <c r="A424" s="3" t="s">
        <v>917</v>
      </c>
      <c r="B424" s="3" t="s">
        <v>918</v>
      </c>
      <c r="C424" s="3" t="s">
        <v>57</v>
      </c>
      <c r="D424" s="3" t="s">
        <v>338</v>
      </c>
      <c r="E424" s="8">
        <v>131.72</v>
      </c>
      <c r="F424" s="8">
        <v>122.14</v>
      </c>
      <c r="G424" s="8">
        <v>123.44000244140619</v>
      </c>
      <c r="H424" s="5">
        <f t="shared" si="12"/>
        <v>1.0643543813707135E-2</v>
      </c>
      <c r="I424" s="5">
        <f t="shared" si="13"/>
        <v>-6.2860594887593435E-2</v>
      </c>
      <c r="J424" s="5">
        <v>-7.5817191283292895E-2</v>
      </c>
      <c r="K424" s="5">
        <v>0.6560636182902585</v>
      </c>
      <c r="L424" s="5">
        <v>0.1610337972166998</v>
      </c>
      <c r="M424" s="3" t="s">
        <v>879</v>
      </c>
    </row>
    <row r="425" spans="1:13">
      <c r="A425" s="3" t="s">
        <v>919</v>
      </c>
      <c r="B425" s="3" t="s">
        <v>920</v>
      </c>
      <c r="C425" s="3" t="s">
        <v>57</v>
      </c>
      <c r="D425" s="3" t="s">
        <v>338</v>
      </c>
      <c r="E425" s="8">
        <v>41.05</v>
      </c>
      <c r="F425" s="8">
        <v>38.119999999999997</v>
      </c>
      <c r="G425" s="8">
        <v>38.400001525878913</v>
      </c>
      <c r="H425" s="5">
        <f t="shared" si="12"/>
        <v>7.3452656316610465E-3</v>
      </c>
      <c r="I425" s="5">
        <f t="shared" si="13"/>
        <v>-6.4555383048016668E-2</v>
      </c>
      <c r="J425" s="5">
        <v>-7.1376370280146206E-2</v>
      </c>
      <c r="K425" s="5">
        <v>0.56660039761431413</v>
      </c>
      <c r="L425" s="5">
        <v>0.15904572564612329</v>
      </c>
      <c r="M425" s="3" t="s">
        <v>63</v>
      </c>
    </row>
    <row r="426" spans="1:13">
      <c r="A426" s="3" t="s">
        <v>921</v>
      </c>
      <c r="B426" s="3" t="s">
        <v>922</v>
      </c>
      <c r="C426" s="3" t="s">
        <v>95</v>
      </c>
      <c r="D426" s="3" t="s">
        <v>99</v>
      </c>
      <c r="E426" s="8">
        <v>188.79</v>
      </c>
      <c r="F426" s="8">
        <v>176</v>
      </c>
      <c r="G426" s="8">
        <v>176.6000061035156</v>
      </c>
      <c r="H426" s="5">
        <f t="shared" si="12"/>
        <v>3.4091255881567584E-3</v>
      </c>
      <c r="I426" s="5">
        <f t="shared" si="13"/>
        <v>-6.4569065609854315E-2</v>
      </c>
      <c r="J426" s="5">
        <v>-7.3391597346530446E-2</v>
      </c>
      <c r="K426" s="5">
        <v>0.47912524850894628</v>
      </c>
      <c r="L426" s="5">
        <v>0.1570576540755467</v>
      </c>
      <c r="M426" s="3" t="s">
        <v>63</v>
      </c>
    </row>
    <row r="427" spans="1:13">
      <c r="A427" s="3" t="s">
        <v>923</v>
      </c>
      <c r="B427" s="3" t="s">
        <v>924</v>
      </c>
      <c r="C427" s="3" t="s">
        <v>40</v>
      </c>
      <c r="D427" s="3" t="s">
        <v>161</v>
      </c>
      <c r="E427" s="8">
        <v>307.17</v>
      </c>
      <c r="F427" s="8">
        <v>290.2</v>
      </c>
      <c r="G427" s="8">
        <v>287.08999633789062</v>
      </c>
      <c r="H427" s="5">
        <f t="shared" si="12"/>
        <v>-1.0716759690245881E-2</v>
      </c>
      <c r="I427" s="5">
        <f t="shared" si="13"/>
        <v>-6.5370979138943852E-2</v>
      </c>
      <c r="J427" s="5">
        <v>-9.8844885624048473E-2</v>
      </c>
      <c r="K427" s="5">
        <v>0.1053677932405567</v>
      </c>
      <c r="L427" s="5">
        <v>0.15506958250497019</v>
      </c>
      <c r="M427" s="3" t="s">
        <v>47</v>
      </c>
    </row>
    <row r="428" spans="1:13">
      <c r="A428" s="3" t="s">
        <v>925</v>
      </c>
      <c r="B428" s="3" t="s">
        <v>926</v>
      </c>
      <c r="C428" s="3" t="s">
        <v>45</v>
      </c>
      <c r="D428" s="3" t="s">
        <v>46</v>
      </c>
      <c r="E428" s="8">
        <v>1023.25</v>
      </c>
      <c r="F428" s="8">
        <v>952.09</v>
      </c>
      <c r="G428" s="8">
        <v>955.66998291015625</v>
      </c>
      <c r="H428" s="5">
        <f t="shared" si="12"/>
        <v>3.7601307756158775E-3</v>
      </c>
      <c r="I428" s="5">
        <f t="shared" si="13"/>
        <v>-6.6044482863272691E-2</v>
      </c>
      <c r="J428" s="5">
        <v>-8.4079692926338878E-2</v>
      </c>
      <c r="K428" s="5">
        <v>0.49105367793240562</v>
      </c>
      <c r="L428" s="5">
        <v>0.15308151093439359</v>
      </c>
      <c r="M428" s="3" t="s">
        <v>63</v>
      </c>
    </row>
    <row r="429" spans="1:13">
      <c r="A429" s="3" t="s">
        <v>927</v>
      </c>
      <c r="B429" s="3" t="s">
        <v>928</v>
      </c>
      <c r="C429" s="3" t="s">
        <v>164</v>
      </c>
      <c r="D429" s="3" t="s">
        <v>882</v>
      </c>
      <c r="E429" s="8">
        <v>155.07</v>
      </c>
      <c r="F429" s="8">
        <v>144.46</v>
      </c>
      <c r="G429" s="8">
        <v>144.78999328613281</v>
      </c>
      <c r="H429" s="5">
        <f t="shared" si="12"/>
        <v>2.2843228999918086E-3</v>
      </c>
      <c r="I429" s="5">
        <f t="shared" si="13"/>
        <v>-6.6292685328349643E-2</v>
      </c>
      <c r="J429" s="5">
        <v>-6.8420713226284846E-2</v>
      </c>
      <c r="K429" s="5">
        <v>0.43737574552683889</v>
      </c>
      <c r="L429" s="5">
        <v>0.15109343936381711</v>
      </c>
      <c r="M429" s="3" t="s">
        <v>63</v>
      </c>
    </row>
    <row r="430" spans="1:13">
      <c r="A430" s="3" t="s">
        <v>929</v>
      </c>
      <c r="B430" s="3" t="s">
        <v>930</v>
      </c>
      <c r="C430" s="3" t="s">
        <v>57</v>
      </c>
      <c r="D430" s="3" t="s">
        <v>338</v>
      </c>
      <c r="E430" s="8">
        <v>151.86000000000001</v>
      </c>
      <c r="F430" s="8">
        <v>141.37</v>
      </c>
      <c r="G430" s="8">
        <v>141.67999267578119</v>
      </c>
      <c r="H430" s="5">
        <f t="shared" si="12"/>
        <v>2.1927755236696989E-3</v>
      </c>
      <c r="I430" s="5">
        <f t="shared" si="13"/>
        <v>-6.7035475597384542E-2</v>
      </c>
      <c r="J430" s="5">
        <v>-6.9076781245884455E-2</v>
      </c>
      <c r="K430" s="5">
        <v>0.43141153081510941</v>
      </c>
      <c r="L430" s="5">
        <v>0.14910536779324049</v>
      </c>
      <c r="M430" s="3" t="s">
        <v>63</v>
      </c>
    </row>
    <row r="431" spans="1:13">
      <c r="A431" s="3" t="s">
        <v>931</v>
      </c>
      <c r="B431" s="3" t="s">
        <v>932</v>
      </c>
      <c r="C431" s="3" t="s">
        <v>45</v>
      </c>
      <c r="D431" s="3" t="s">
        <v>345</v>
      </c>
      <c r="E431" s="8">
        <v>41.42</v>
      </c>
      <c r="F431" s="8">
        <v>37.68</v>
      </c>
      <c r="G431" s="8">
        <v>38.639999389648438</v>
      </c>
      <c r="H431" s="5">
        <f t="shared" si="12"/>
        <v>2.5477690808079601E-2</v>
      </c>
      <c r="I431" s="5">
        <f t="shared" si="13"/>
        <v>-6.711734935662883E-2</v>
      </c>
      <c r="J431" s="5">
        <v>-9.0294543698696272E-2</v>
      </c>
      <c r="K431" s="5">
        <v>0.90854870775347918</v>
      </c>
      <c r="L431" s="5">
        <v>0.14711729622266401</v>
      </c>
      <c r="M431" s="3" t="s">
        <v>879</v>
      </c>
    </row>
    <row r="432" spans="1:13">
      <c r="A432" s="3" t="s">
        <v>933</v>
      </c>
      <c r="B432" s="3" t="s">
        <v>934</v>
      </c>
      <c r="C432" s="3" t="s">
        <v>40</v>
      </c>
      <c r="D432" s="3" t="s">
        <v>41</v>
      </c>
      <c r="E432" s="8">
        <v>112.84</v>
      </c>
      <c r="F432" s="8">
        <v>106.46</v>
      </c>
      <c r="G432" s="8">
        <v>105.2600021362305</v>
      </c>
      <c r="H432" s="5">
        <f t="shared" si="12"/>
        <v>-1.1271819122388615E-2</v>
      </c>
      <c r="I432" s="5">
        <f t="shared" si="13"/>
        <v>-6.7174741791647508E-2</v>
      </c>
      <c r="J432" s="5">
        <v>-6.7174741791647508E-2</v>
      </c>
      <c r="K432" s="5">
        <v>9.7415506958250492E-2</v>
      </c>
      <c r="L432" s="5">
        <v>0.1451292246520875</v>
      </c>
      <c r="M432" s="3" t="s">
        <v>47</v>
      </c>
    </row>
    <row r="433" spans="1:13">
      <c r="A433" s="3" t="s">
        <v>935</v>
      </c>
      <c r="B433" s="3" t="s">
        <v>936</v>
      </c>
      <c r="C433" s="3" t="s">
        <v>45</v>
      </c>
      <c r="D433" s="3" t="s">
        <v>46</v>
      </c>
      <c r="E433" s="8">
        <v>356.23</v>
      </c>
      <c r="F433" s="8">
        <v>331.09</v>
      </c>
      <c r="G433" s="8">
        <v>332.25</v>
      </c>
      <c r="H433" s="5">
        <f t="shared" si="12"/>
        <v>3.5035790872572914E-3</v>
      </c>
      <c r="I433" s="5">
        <f t="shared" si="13"/>
        <v>-6.7316059848974041E-2</v>
      </c>
      <c r="J433" s="5">
        <v>-7.0572383010976125E-2</v>
      </c>
      <c r="K433" s="5">
        <v>0.48310139165009941</v>
      </c>
      <c r="L433" s="5">
        <v>0.1431411530815109</v>
      </c>
      <c r="M433" s="3" t="s">
        <v>63</v>
      </c>
    </row>
    <row r="434" spans="1:13">
      <c r="A434" s="3" t="s">
        <v>937</v>
      </c>
      <c r="B434" s="3" t="s">
        <v>938</v>
      </c>
      <c r="C434" s="3" t="s">
        <v>57</v>
      </c>
      <c r="D434" s="3" t="s">
        <v>58</v>
      </c>
      <c r="E434" s="8">
        <v>213</v>
      </c>
      <c r="F434" s="8">
        <v>195.69</v>
      </c>
      <c r="G434" s="8">
        <v>198.63999938964841</v>
      </c>
      <c r="H434" s="5">
        <f t="shared" si="12"/>
        <v>1.507486018523374E-2</v>
      </c>
      <c r="I434" s="5">
        <f t="shared" si="13"/>
        <v>-6.7417843241087239E-2</v>
      </c>
      <c r="J434" s="5">
        <v>-8.4619702497895077E-2</v>
      </c>
      <c r="K434" s="5">
        <v>0.75347912524850891</v>
      </c>
      <c r="L434" s="5">
        <v>0.14115308151093439</v>
      </c>
      <c r="M434" s="3" t="s">
        <v>879</v>
      </c>
    </row>
    <row r="435" spans="1:13">
      <c r="A435" s="3" t="s">
        <v>939</v>
      </c>
      <c r="B435" s="3" t="s">
        <v>940</v>
      </c>
      <c r="C435" s="3" t="s">
        <v>40</v>
      </c>
      <c r="D435" s="3" t="s">
        <v>68</v>
      </c>
      <c r="E435" s="8">
        <v>194.48</v>
      </c>
      <c r="F435" s="8">
        <v>183.16</v>
      </c>
      <c r="G435" s="8">
        <v>181.22999572753909</v>
      </c>
      <c r="H435" s="5">
        <f t="shared" si="12"/>
        <v>-1.0537258530579297E-2</v>
      </c>
      <c r="I435" s="5">
        <f t="shared" si="13"/>
        <v>-6.8130420981390882E-2</v>
      </c>
      <c r="J435" s="5">
        <v>-6.8130420981390882E-2</v>
      </c>
      <c r="K435" s="5">
        <v>0.1073558648111332</v>
      </c>
      <c r="L435" s="5">
        <v>0.13916500994035791</v>
      </c>
      <c r="M435" s="3" t="s">
        <v>47</v>
      </c>
    </row>
    <row r="436" spans="1:13">
      <c r="A436" s="3" t="s">
        <v>941</v>
      </c>
      <c r="B436" s="3" t="s">
        <v>942</v>
      </c>
      <c r="C436" s="3" t="s">
        <v>40</v>
      </c>
      <c r="D436" s="3" t="s">
        <v>161</v>
      </c>
      <c r="E436" s="8">
        <v>126.04</v>
      </c>
      <c r="F436" s="8">
        <v>115.49</v>
      </c>
      <c r="G436" s="8">
        <v>117.4199981689453</v>
      </c>
      <c r="H436" s="5">
        <f t="shared" si="12"/>
        <v>1.6711387730065752E-2</v>
      </c>
      <c r="I436" s="5">
        <f t="shared" si="13"/>
        <v>-6.8391001515826E-2</v>
      </c>
      <c r="J436" s="5">
        <v>-0.13503594967046151</v>
      </c>
      <c r="K436" s="5">
        <v>0.78330019880715707</v>
      </c>
      <c r="L436" s="5">
        <v>0.13717693836978129</v>
      </c>
      <c r="M436" s="3" t="s">
        <v>879</v>
      </c>
    </row>
    <row r="437" spans="1:13">
      <c r="A437" s="3" t="s">
        <v>943</v>
      </c>
      <c r="B437" s="3" t="s">
        <v>944</v>
      </c>
      <c r="C437" s="3" t="s">
        <v>57</v>
      </c>
      <c r="D437" s="3" t="s">
        <v>58</v>
      </c>
      <c r="E437" s="8">
        <v>359.95</v>
      </c>
      <c r="F437" s="8">
        <v>334.55</v>
      </c>
      <c r="G437" s="8">
        <v>335.239990234375</v>
      </c>
      <c r="H437" s="5">
        <f t="shared" si="12"/>
        <v>2.0624427869526674E-3</v>
      </c>
      <c r="I437" s="5">
        <f t="shared" si="13"/>
        <v>-6.8648450522642013E-2</v>
      </c>
      <c r="J437" s="5">
        <v>-7.1210438645197049E-2</v>
      </c>
      <c r="K437" s="5">
        <v>0.42743538767395628</v>
      </c>
      <c r="L437" s="5">
        <v>0.1351888667992048</v>
      </c>
      <c r="M437" s="3" t="s">
        <v>63</v>
      </c>
    </row>
    <row r="438" spans="1:13">
      <c r="A438" s="3" t="s">
        <v>945</v>
      </c>
      <c r="B438" s="3" t="s">
        <v>946</v>
      </c>
      <c r="C438" s="3" t="s">
        <v>61</v>
      </c>
      <c r="D438" s="3" t="s">
        <v>62</v>
      </c>
      <c r="E438" s="8">
        <v>339.98</v>
      </c>
      <c r="F438" s="8">
        <v>317.39999999999998</v>
      </c>
      <c r="G438" s="8">
        <v>316.51998901367187</v>
      </c>
      <c r="H438" s="5">
        <f t="shared" si="12"/>
        <v>-2.7725613935982718E-3</v>
      </c>
      <c r="I438" s="5">
        <f t="shared" si="13"/>
        <v>-6.9004091376928423E-2</v>
      </c>
      <c r="J438" s="5">
        <v>-6.9004091376928423E-2</v>
      </c>
      <c r="K438" s="5">
        <v>0.2624254473161034</v>
      </c>
      <c r="L438" s="5">
        <v>0.13320079522862821</v>
      </c>
      <c r="M438" s="3" t="s">
        <v>63</v>
      </c>
    </row>
    <row r="439" spans="1:13">
      <c r="A439" s="3" t="s">
        <v>947</v>
      </c>
      <c r="B439" s="3" t="s">
        <v>948</v>
      </c>
      <c r="C439" s="3" t="s">
        <v>57</v>
      </c>
      <c r="D439" s="3" t="s">
        <v>112</v>
      </c>
      <c r="E439" s="8">
        <v>344.3</v>
      </c>
      <c r="F439" s="8">
        <v>319.77</v>
      </c>
      <c r="G439" s="8">
        <v>320.51998901367187</v>
      </c>
      <c r="H439" s="5">
        <f t="shared" si="12"/>
        <v>2.3454014249988386E-3</v>
      </c>
      <c r="I439" s="5">
        <f t="shared" si="13"/>
        <v>-6.9067705449689654E-2</v>
      </c>
      <c r="J439" s="5">
        <v>-7.1246006389776406E-2</v>
      </c>
      <c r="K439" s="5">
        <v>0.43936381709741551</v>
      </c>
      <c r="L439" s="5">
        <v>0.1312127236580517</v>
      </c>
      <c r="M439" s="3" t="s">
        <v>63</v>
      </c>
    </row>
    <row r="440" spans="1:13">
      <c r="A440" s="3" t="s">
        <v>949</v>
      </c>
      <c r="B440" s="3" t="s">
        <v>950</v>
      </c>
      <c r="C440" s="3" t="s">
        <v>45</v>
      </c>
      <c r="D440" s="3" t="s">
        <v>46</v>
      </c>
      <c r="E440" s="8">
        <v>86.29</v>
      </c>
      <c r="F440" s="8">
        <v>79.709999999999994</v>
      </c>
      <c r="G440" s="8">
        <v>80.30999755859375</v>
      </c>
      <c r="H440" s="5">
        <f t="shared" si="12"/>
        <v>7.5272557846413068E-3</v>
      </c>
      <c r="I440" s="5">
        <f t="shared" si="13"/>
        <v>-6.9301221942360103E-2</v>
      </c>
      <c r="J440" s="5">
        <v>-7.6254490670993325E-2</v>
      </c>
      <c r="K440" s="5">
        <v>0.57057654075546715</v>
      </c>
      <c r="L440" s="5">
        <v>0.12922465208747519</v>
      </c>
      <c r="M440" s="3" t="s">
        <v>63</v>
      </c>
    </row>
    <row r="441" spans="1:13">
      <c r="A441" s="3" t="s">
        <v>951</v>
      </c>
      <c r="B441" s="3" t="s">
        <v>952</v>
      </c>
      <c r="C441" s="3" t="s">
        <v>57</v>
      </c>
      <c r="D441" s="3" t="s">
        <v>376</v>
      </c>
      <c r="E441" s="8">
        <v>48.92</v>
      </c>
      <c r="F441" s="8">
        <v>44.85</v>
      </c>
      <c r="G441" s="8">
        <v>45.509998321533203</v>
      </c>
      <c r="H441" s="5">
        <f t="shared" si="12"/>
        <v>1.4715681639536182E-2</v>
      </c>
      <c r="I441" s="5">
        <f t="shared" si="13"/>
        <v>-6.9705676174709685E-2</v>
      </c>
      <c r="J441" s="5">
        <v>-8.5036794766966572E-2</v>
      </c>
      <c r="K441" s="5">
        <v>0.74751491053677932</v>
      </c>
      <c r="L441" s="5">
        <v>0.1272365805168986</v>
      </c>
      <c r="M441" s="3" t="s">
        <v>879</v>
      </c>
    </row>
    <row r="442" spans="1:13">
      <c r="A442" s="3" t="s">
        <v>953</v>
      </c>
      <c r="B442" s="3" t="s">
        <v>954</v>
      </c>
      <c r="C442" s="3" t="s">
        <v>45</v>
      </c>
      <c r="D442" s="3" t="s">
        <v>46</v>
      </c>
      <c r="E442" s="8">
        <v>311.76</v>
      </c>
      <c r="F442" s="8">
        <v>292.42</v>
      </c>
      <c r="G442" s="8">
        <v>289.19000244140619</v>
      </c>
      <c r="H442" s="5">
        <f t="shared" si="12"/>
        <v>-1.1045747755262347E-2</v>
      </c>
      <c r="I442" s="5">
        <f t="shared" si="13"/>
        <v>-7.2395424552841314E-2</v>
      </c>
      <c r="J442" s="5">
        <v>-7.2395424552841314E-2</v>
      </c>
      <c r="K442" s="5">
        <v>0.10337972166998011</v>
      </c>
      <c r="L442" s="5">
        <v>0.12524850894632211</v>
      </c>
      <c r="M442" s="3" t="s">
        <v>47</v>
      </c>
    </row>
    <row r="443" spans="1:13">
      <c r="A443" s="3" t="s">
        <v>955</v>
      </c>
      <c r="B443" s="3" t="s">
        <v>956</v>
      </c>
      <c r="C443" s="3" t="s">
        <v>80</v>
      </c>
      <c r="D443" s="3" t="s">
        <v>81</v>
      </c>
      <c r="E443" s="8">
        <v>201.69</v>
      </c>
      <c r="F443" s="8">
        <v>182.27</v>
      </c>
      <c r="G443" s="8">
        <v>187.05999755859381</v>
      </c>
      <c r="H443" s="5">
        <f t="shared" si="12"/>
        <v>2.6279681563580404E-2</v>
      </c>
      <c r="I443" s="5">
        <f t="shared" si="13"/>
        <v>-7.253707393230302E-2</v>
      </c>
      <c r="J443" s="5">
        <v>-9.6286380088254186E-2</v>
      </c>
      <c r="K443" s="5">
        <v>0.91650099403578533</v>
      </c>
      <c r="L443" s="5">
        <v>0.1232604373757455</v>
      </c>
      <c r="M443" s="3" t="s">
        <v>879</v>
      </c>
    </row>
    <row r="444" spans="1:13">
      <c r="A444" s="3" t="s">
        <v>957</v>
      </c>
      <c r="B444" s="3" t="s">
        <v>958</v>
      </c>
      <c r="C444" s="3" t="s">
        <v>40</v>
      </c>
      <c r="D444" s="3" t="s">
        <v>41</v>
      </c>
      <c r="E444" s="8">
        <v>359.76</v>
      </c>
      <c r="F444" s="8">
        <v>362.09</v>
      </c>
      <c r="G444" s="8">
        <v>333.54000854492187</v>
      </c>
      <c r="H444" s="5">
        <f t="shared" si="12"/>
        <v>-7.884777667176146E-2</v>
      </c>
      <c r="I444" s="5">
        <f t="shared" si="13"/>
        <v>-7.2881897529125328E-2</v>
      </c>
      <c r="J444" s="5">
        <v>-0.12879715673260581</v>
      </c>
      <c r="K444" s="5">
        <v>3.9761431411530811E-3</v>
      </c>
      <c r="L444" s="5">
        <v>0.12127236580516899</v>
      </c>
      <c r="M444" s="3" t="s">
        <v>47</v>
      </c>
    </row>
    <row r="445" spans="1:13">
      <c r="A445" s="3" t="s">
        <v>959</v>
      </c>
      <c r="B445" s="3" t="s">
        <v>960</v>
      </c>
      <c r="C445" s="3" t="s">
        <v>45</v>
      </c>
      <c r="D445" s="3" t="s">
        <v>46</v>
      </c>
      <c r="E445" s="8">
        <v>392.34</v>
      </c>
      <c r="F445" s="8">
        <v>369.41</v>
      </c>
      <c r="G445" s="8">
        <v>363.69000244140619</v>
      </c>
      <c r="H445" s="5">
        <f t="shared" si="12"/>
        <v>-1.5484143793058736E-2</v>
      </c>
      <c r="I445" s="5">
        <f t="shared" si="13"/>
        <v>-7.302339185041995E-2</v>
      </c>
      <c r="J445" s="5">
        <v>-7.302339185041995E-2</v>
      </c>
      <c r="K445" s="5">
        <v>5.7654075546719682E-2</v>
      </c>
      <c r="L445" s="5">
        <v>0.1192842942345924</v>
      </c>
      <c r="M445" s="3" t="s">
        <v>47</v>
      </c>
    </row>
    <row r="446" spans="1:13">
      <c r="A446" s="3" t="s">
        <v>961</v>
      </c>
      <c r="B446" s="3" t="s">
        <v>962</v>
      </c>
      <c r="C446" s="3" t="s">
        <v>95</v>
      </c>
      <c r="D446" s="3" t="s">
        <v>96</v>
      </c>
      <c r="E446" s="8">
        <v>114.3</v>
      </c>
      <c r="F446" s="8">
        <v>105.92</v>
      </c>
      <c r="G446" s="8">
        <v>105.9499969482422</v>
      </c>
      <c r="H446" s="5">
        <f t="shared" si="12"/>
        <v>2.8320381648594406E-4</v>
      </c>
      <c r="I446" s="5">
        <f t="shared" si="13"/>
        <v>-7.3053395028502166E-2</v>
      </c>
      <c r="J446" s="5">
        <v>-0.1020997375328084</v>
      </c>
      <c r="K446" s="5">
        <v>0.37574552683896623</v>
      </c>
      <c r="L446" s="5">
        <v>0.1172962226640159</v>
      </c>
      <c r="M446" s="3" t="s">
        <v>63</v>
      </c>
    </row>
    <row r="447" spans="1:13">
      <c r="A447" s="3" t="s">
        <v>963</v>
      </c>
      <c r="B447" s="3" t="s">
        <v>964</v>
      </c>
      <c r="C447" s="3" t="s">
        <v>40</v>
      </c>
      <c r="D447" s="3" t="s">
        <v>68</v>
      </c>
      <c r="E447" s="8">
        <v>322.77</v>
      </c>
      <c r="F447" s="8">
        <v>299.14</v>
      </c>
      <c r="G447" s="8">
        <v>299.14498901367187</v>
      </c>
      <c r="H447" s="5">
        <f t="shared" si="12"/>
        <v>1.6677855425140109E-5</v>
      </c>
      <c r="I447" s="5">
        <f t="shared" si="13"/>
        <v>-7.3194568845704744E-2</v>
      </c>
      <c r="J447" s="5">
        <v>-7.3210025714905314E-2</v>
      </c>
      <c r="K447" s="5">
        <v>0.36381709741550688</v>
      </c>
      <c r="L447" s="5">
        <v>0.11530815109343941</v>
      </c>
      <c r="M447" s="3" t="s">
        <v>63</v>
      </c>
    </row>
    <row r="448" spans="1:13">
      <c r="A448" s="3" t="s">
        <v>965</v>
      </c>
      <c r="B448" s="3" t="s">
        <v>966</v>
      </c>
      <c r="C448" s="3" t="s">
        <v>57</v>
      </c>
      <c r="D448" s="3" t="s">
        <v>338</v>
      </c>
      <c r="E448" s="8">
        <v>91.57</v>
      </c>
      <c r="F448" s="8">
        <v>84.58</v>
      </c>
      <c r="G448" s="8">
        <v>84.830001831054687</v>
      </c>
      <c r="H448" s="5">
        <f t="shared" si="12"/>
        <v>2.9558031574212773E-3</v>
      </c>
      <c r="I448" s="5">
        <f t="shared" si="13"/>
        <v>-7.360487243579017E-2</v>
      </c>
      <c r="J448" s="5">
        <v>-8.1450912250217167E-2</v>
      </c>
      <c r="K448" s="5">
        <v>0.46322067594433403</v>
      </c>
      <c r="L448" s="5">
        <v>0.1133200795228628</v>
      </c>
      <c r="M448" s="3" t="s">
        <v>63</v>
      </c>
    </row>
    <row r="449" spans="1:13">
      <c r="A449" s="3" t="s">
        <v>967</v>
      </c>
      <c r="B449" s="3" t="s">
        <v>968</v>
      </c>
      <c r="C449" s="3" t="s">
        <v>40</v>
      </c>
      <c r="D449" s="3" t="s">
        <v>68</v>
      </c>
      <c r="E449" s="8">
        <v>287.47000000000003</v>
      </c>
      <c r="F449" s="8">
        <v>272.02999999999997</v>
      </c>
      <c r="G449" s="8">
        <v>266.19000244140619</v>
      </c>
      <c r="H449" s="5">
        <f t="shared" si="12"/>
        <v>-2.146821144209754E-2</v>
      </c>
      <c r="I449" s="5">
        <f t="shared" si="13"/>
        <v>-7.4025107171509452E-2</v>
      </c>
      <c r="J449" s="5">
        <v>-9.8852356405409125E-2</v>
      </c>
      <c r="K449" s="5">
        <v>3.9761431411530823E-2</v>
      </c>
      <c r="L449" s="5">
        <v>0.1113320079522863</v>
      </c>
      <c r="M449" s="3" t="s">
        <v>47</v>
      </c>
    </row>
    <row r="450" spans="1:13">
      <c r="A450" s="3" t="s">
        <v>969</v>
      </c>
      <c r="B450" s="3" t="s">
        <v>970</v>
      </c>
      <c r="C450" s="3" t="s">
        <v>57</v>
      </c>
      <c r="D450" s="3" t="s">
        <v>58</v>
      </c>
      <c r="E450" s="8">
        <v>100.1</v>
      </c>
      <c r="F450" s="8">
        <v>90.6</v>
      </c>
      <c r="G450" s="8">
        <v>92.680000305175781</v>
      </c>
      <c r="H450" s="5">
        <f t="shared" ref="H450:H513" si="14">IFERROR(G450/F450-1,"")</f>
        <v>2.2958060763529575E-2</v>
      </c>
      <c r="I450" s="5">
        <f t="shared" ref="I450:I504" si="15">IFERROR(G450/E450-1,"")</f>
        <v>-7.4125871077164951E-2</v>
      </c>
      <c r="J450" s="5">
        <v>-9.6529716792979725E-2</v>
      </c>
      <c r="K450" s="5">
        <v>0.87673956262425445</v>
      </c>
      <c r="L450" s="5">
        <v>0.10934393638170969</v>
      </c>
      <c r="M450" s="3" t="s">
        <v>879</v>
      </c>
    </row>
    <row r="451" spans="1:13">
      <c r="A451" s="3" t="s">
        <v>971</v>
      </c>
      <c r="B451" s="3" t="s">
        <v>972</v>
      </c>
      <c r="C451" s="3" t="s">
        <v>50</v>
      </c>
      <c r="D451" s="3" t="s">
        <v>50</v>
      </c>
      <c r="E451" s="8">
        <v>252.91</v>
      </c>
      <c r="F451" s="8">
        <v>229.12</v>
      </c>
      <c r="G451" s="8">
        <v>234.08000183105469</v>
      </c>
      <c r="H451" s="5">
        <f t="shared" si="14"/>
        <v>2.1648052684421604E-2</v>
      </c>
      <c r="I451" s="5">
        <f t="shared" si="15"/>
        <v>-7.4453355616406314E-2</v>
      </c>
      <c r="J451" s="5">
        <v>-9.4065082440393799E-2</v>
      </c>
      <c r="K451" s="5">
        <v>0.86083499005964215</v>
      </c>
      <c r="L451" s="5">
        <v>0.1073558648111332</v>
      </c>
      <c r="M451" s="3" t="s">
        <v>879</v>
      </c>
    </row>
    <row r="452" spans="1:13">
      <c r="A452" s="3" t="s">
        <v>973</v>
      </c>
      <c r="B452" s="3" t="s">
        <v>974</v>
      </c>
      <c r="C452" s="3" t="s">
        <v>45</v>
      </c>
      <c r="D452" s="3" t="s">
        <v>46</v>
      </c>
      <c r="E452" s="8">
        <v>63.8</v>
      </c>
      <c r="F452" s="8">
        <v>58.49</v>
      </c>
      <c r="G452" s="8">
        <v>59.020000457763672</v>
      </c>
      <c r="H452" s="5">
        <f t="shared" si="14"/>
        <v>9.0613858396935143E-3</v>
      </c>
      <c r="I452" s="5">
        <f t="shared" si="15"/>
        <v>-7.4921622919064679E-2</v>
      </c>
      <c r="J452" s="5">
        <v>-8.3228840125391779E-2</v>
      </c>
      <c r="K452" s="5">
        <v>0.61630218687872762</v>
      </c>
      <c r="L452" s="5">
        <v>0.1053677932405567</v>
      </c>
      <c r="M452" s="3" t="s">
        <v>63</v>
      </c>
    </row>
    <row r="453" spans="1:13">
      <c r="A453" s="3" t="s">
        <v>975</v>
      </c>
      <c r="B453" s="3" t="s">
        <v>976</v>
      </c>
      <c r="C453" s="3" t="s">
        <v>45</v>
      </c>
      <c r="D453" s="3" t="s">
        <v>46</v>
      </c>
      <c r="E453" s="8">
        <v>81.14</v>
      </c>
      <c r="F453" s="8">
        <v>74.64</v>
      </c>
      <c r="G453" s="8">
        <v>75.029998779296875</v>
      </c>
      <c r="H453" s="5">
        <f t="shared" si="14"/>
        <v>5.2250640313085128E-3</v>
      </c>
      <c r="I453" s="5">
        <f t="shared" si="15"/>
        <v>-7.5301962296070113E-2</v>
      </c>
      <c r="J453" s="5">
        <v>-8.0108454523046602E-2</v>
      </c>
      <c r="K453" s="5">
        <v>0.5248508946322068</v>
      </c>
      <c r="L453" s="5">
        <v>0.10337972166998011</v>
      </c>
      <c r="M453" s="3" t="s">
        <v>63</v>
      </c>
    </row>
    <row r="454" spans="1:13">
      <c r="A454" s="3" t="s">
        <v>977</v>
      </c>
      <c r="B454" s="3" t="s">
        <v>978</v>
      </c>
      <c r="C454" s="3" t="s">
        <v>45</v>
      </c>
      <c r="D454" s="3" t="s">
        <v>46</v>
      </c>
      <c r="E454" s="8">
        <v>424.67</v>
      </c>
      <c r="F454" s="8">
        <v>390.71</v>
      </c>
      <c r="G454" s="8">
        <v>392.260009765625</v>
      </c>
      <c r="H454" s="5">
        <f t="shared" si="14"/>
        <v>3.9671617456042974E-3</v>
      </c>
      <c r="I454" s="5">
        <f t="shared" si="15"/>
        <v>-7.6318059279852579E-2</v>
      </c>
      <c r="J454" s="5">
        <v>-7.9967975133633296E-2</v>
      </c>
      <c r="K454" s="5">
        <v>0.49900596421471172</v>
      </c>
      <c r="L454" s="5">
        <v>0.1013916500994036</v>
      </c>
      <c r="M454" s="3" t="s">
        <v>63</v>
      </c>
    </row>
    <row r="455" spans="1:13">
      <c r="A455" s="3" t="s">
        <v>979</v>
      </c>
      <c r="B455" s="3" t="s">
        <v>980</v>
      </c>
      <c r="C455" s="3" t="s">
        <v>80</v>
      </c>
      <c r="D455" s="3" t="s">
        <v>81</v>
      </c>
      <c r="E455" s="8">
        <v>237.04</v>
      </c>
      <c r="F455" s="8">
        <v>216.68</v>
      </c>
      <c r="G455" s="8">
        <v>218.8500061035156</v>
      </c>
      <c r="H455" s="5">
        <f t="shared" si="14"/>
        <v>1.0014796490287914E-2</v>
      </c>
      <c r="I455" s="5">
        <f t="shared" si="15"/>
        <v>-7.6738077524824533E-2</v>
      </c>
      <c r="J455" s="5">
        <v>-9.7730585051009733E-2</v>
      </c>
      <c r="K455" s="5">
        <v>0.64413518886679921</v>
      </c>
      <c r="L455" s="5">
        <v>9.9403578528827044E-2</v>
      </c>
      <c r="M455" s="3" t="s">
        <v>879</v>
      </c>
    </row>
    <row r="456" spans="1:13">
      <c r="A456" s="3" t="s">
        <v>981</v>
      </c>
      <c r="B456" s="3" t="s">
        <v>982</v>
      </c>
      <c r="C456" s="3" t="s">
        <v>164</v>
      </c>
      <c r="D456" s="3" t="s">
        <v>165</v>
      </c>
      <c r="E456" s="8">
        <v>325.13</v>
      </c>
      <c r="F456" s="8">
        <v>302.86</v>
      </c>
      <c r="G456" s="8">
        <v>299.42001342773437</v>
      </c>
      <c r="H456" s="5">
        <f t="shared" si="14"/>
        <v>-1.1358339075036805E-2</v>
      </c>
      <c r="I456" s="5">
        <f t="shared" si="15"/>
        <v>-7.9076020583353168E-2</v>
      </c>
      <c r="J456" s="5">
        <v>-7.9076020583353168E-2</v>
      </c>
      <c r="K456" s="5">
        <v>9.3439363817097415E-2</v>
      </c>
      <c r="L456" s="5">
        <v>9.7415506958250492E-2</v>
      </c>
      <c r="M456" s="3" t="s">
        <v>47</v>
      </c>
    </row>
    <row r="457" spans="1:13">
      <c r="A457" s="3" t="s">
        <v>983</v>
      </c>
      <c r="B457" s="3" t="s">
        <v>984</v>
      </c>
      <c r="C457" s="3" t="s">
        <v>45</v>
      </c>
      <c r="D457" s="3" t="s">
        <v>345</v>
      </c>
      <c r="E457" s="8">
        <v>205.08</v>
      </c>
      <c r="F457" s="8">
        <v>187.01</v>
      </c>
      <c r="G457" s="8">
        <v>188.55999755859381</v>
      </c>
      <c r="H457" s="5">
        <f t="shared" si="14"/>
        <v>8.288313772492506E-3</v>
      </c>
      <c r="I457" s="5">
        <f t="shared" si="15"/>
        <v>-8.0553942078243623E-2</v>
      </c>
      <c r="J457" s="5">
        <v>-9.4250980772024984E-2</v>
      </c>
      <c r="K457" s="5">
        <v>0.59244532803180916</v>
      </c>
      <c r="L457" s="5">
        <v>9.5427435387673953E-2</v>
      </c>
      <c r="M457" s="3" t="s">
        <v>63</v>
      </c>
    </row>
    <row r="458" spans="1:13">
      <c r="A458" s="3" t="s">
        <v>985</v>
      </c>
      <c r="B458" s="3" t="s">
        <v>986</v>
      </c>
      <c r="C458" s="3" t="s">
        <v>45</v>
      </c>
      <c r="D458" s="3" t="s">
        <v>254</v>
      </c>
      <c r="E458" s="8">
        <v>146.31</v>
      </c>
      <c r="F458" s="8">
        <v>139.18</v>
      </c>
      <c r="G458" s="8">
        <v>134.47999572753909</v>
      </c>
      <c r="H458" s="5">
        <f t="shared" si="14"/>
        <v>-3.376925041285328E-2</v>
      </c>
      <c r="I458" s="5">
        <f t="shared" si="15"/>
        <v>-8.0855746513983418E-2</v>
      </c>
      <c r="J458" s="5">
        <v>-8.0855746513983418E-2</v>
      </c>
      <c r="K458" s="5">
        <v>1.789264413518887E-2</v>
      </c>
      <c r="L458" s="5">
        <v>9.3439363817097415E-2</v>
      </c>
      <c r="M458" s="3" t="s">
        <v>47</v>
      </c>
    </row>
    <row r="459" spans="1:13">
      <c r="A459" s="3" t="s">
        <v>987</v>
      </c>
      <c r="B459" s="3" t="s">
        <v>988</v>
      </c>
      <c r="C459" s="3" t="s">
        <v>57</v>
      </c>
      <c r="D459" s="3" t="s">
        <v>112</v>
      </c>
      <c r="E459" s="8">
        <v>242.31</v>
      </c>
      <c r="F459" s="8">
        <v>222.12</v>
      </c>
      <c r="G459" s="8">
        <v>222.69999694824219</v>
      </c>
      <c r="H459" s="5">
        <f t="shared" si="14"/>
        <v>2.6111874132999091E-3</v>
      </c>
      <c r="I459" s="5">
        <f t="shared" si="15"/>
        <v>-8.0929400568518939E-2</v>
      </c>
      <c r="J459" s="5">
        <v>-8.3323015971276448E-2</v>
      </c>
      <c r="K459" s="5">
        <v>0.44532803180914521</v>
      </c>
      <c r="L459" s="5">
        <v>9.1451292246520877E-2</v>
      </c>
      <c r="M459" s="3" t="s">
        <v>63</v>
      </c>
    </row>
    <row r="460" spans="1:13">
      <c r="A460" s="3" t="s">
        <v>989</v>
      </c>
      <c r="B460" s="3" t="s">
        <v>990</v>
      </c>
      <c r="C460" s="3" t="s">
        <v>45</v>
      </c>
      <c r="D460" s="3" t="s">
        <v>46</v>
      </c>
      <c r="E460" s="8">
        <v>65.59</v>
      </c>
      <c r="F460" s="8">
        <v>60.45</v>
      </c>
      <c r="G460" s="8">
        <v>60.279998779296882</v>
      </c>
      <c r="H460" s="5">
        <f t="shared" si="14"/>
        <v>-2.81226171551896E-3</v>
      </c>
      <c r="I460" s="5">
        <f t="shared" si="15"/>
        <v>-8.0957481639016948E-2</v>
      </c>
      <c r="J460" s="5">
        <v>-8.0957481639016948E-2</v>
      </c>
      <c r="K460" s="5">
        <v>0.26043737574552678</v>
      </c>
      <c r="L460" s="5">
        <v>8.9463220675944338E-2</v>
      </c>
      <c r="M460" s="3" t="s">
        <v>63</v>
      </c>
    </row>
    <row r="461" spans="1:13">
      <c r="A461" s="3" t="s">
        <v>991</v>
      </c>
      <c r="B461" s="3" t="s">
        <v>992</v>
      </c>
      <c r="C461" s="3" t="s">
        <v>45</v>
      </c>
      <c r="D461" s="3" t="s">
        <v>46</v>
      </c>
      <c r="E461" s="8">
        <v>220.35</v>
      </c>
      <c r="F461" s="8">
        <v>205.16</v>
      </c>
      <c r="G461" s="8">
        <v>202.5</v>
      </c>
      <c r="H461" s="5">
        <f t="shared" si="14"/>
        <v>-1.2965490348995856E-2</v>
      </c>
      <c r="I461" s="5">
        <f t="shared" si="15"/>
        <v>-8.1007488087134094E-2</v>
      </c>
      <c r="J461" s="5">
        <v>-8.1007488087134094E-2</v>
      </c>
      <c r="K461" s="5">
        <v>7.9522862823061632E-2</v>
      </c>
      <c r="L461" s="5">
        <v>8.74751491053678E-2</v>
      </c>
      <c r="M461" s="3" t="s">
        <v>47</v>
      </c>
    </row>
    <row r="462" spans="1:13">
      <c r="A462" s="3" t="s">
        <v>993</v>
      </c>
      <c r="B462" s="3" t="s">
        <v>994</v>
      </c>
      <c r="C462" s="3" t="s">
        <v>57</v>
      </c>
      <c r="D462" s="3" t="s">
        <v>338</v>
      </c>
      <c r="E462" s="8">
        <v>295.67</v>
      </c>
      <c r="F462" s="8">
        <v>275.17</v>
      </c>
      <c r="G462" s="8">
        <v>271.510009765625</v>
      </c>
      <c r="H462" s="5">
        <f t="shared" si="14"/>
        <v>-1.3300833064560202E-2</v>
      </c>
      <c r="I462" s="5">
        <f t="shared" si="15"/>
        <v>-8.1712687233655767E-2</v>
      </c>
      <c r="J462" s="5">
        <v>-8.1712687233655767E-2</v>
      </c>
      <c r="K462" s="5">
        <v>7.5546719681908542E-2</v>
      </c>
      <c r="L462" s="5">
        <v>8.5487077534791248E-2</v>
      </c>
      <c r="M462" s="3" t="s">
        <v>47</v>
      </c>
    </row>
    <row r="463" spans="1:13">
      <c r="A463" s="3" t="s">
        <v>995</v>
      </c>
      <c r="B463" s="3" t="s">
        <v>996</v>
      </c>
      <c r="C463" s="3" t="s">
        <v>61</v>
      </c>
      <c r="D463" s="3" t="s">
        <v>62</v>
      </c>
      <c r="E463" s="8">
        <v>76.73</v>
      </c>
      <c r="F463" s="8">
        <v>69.28</v>
      </c>
      <c r="G463" s="8">
        <v>70.400001525878906</v>
      </c>
      <c r="H463" s="5">
        <f t="shared" si="14"/>
        <v>1.6166303780007274E-2</v>
      </c>
      <c r="I463" s="5">
        <f t="shared" si="15"/>
        <v>-8.249704775343536E-2</v>
      </c>
      <c r="J463" s="5">
        <v>-9.7093705200052116E-2</v>
      </c>
      <c r="K463" s="5">
        <v>0.77335984095427435</v>
      </c>
      <c r="L463" s="5">
        <v>8.3499005964214709E-2</v>
      </c>
      <c r="M463" s="3" t="s">
        <v>879</v>
      </c>
    </row>
    <row r="464" spans="1:13">
      <c r="A464" s="3" t="s">
        <v>997</v>
      </c>
      <c r="B464" s="3" t="s">
        <v>998</v>
      </c>
      <c r="C464" s="3" t="s">
        <v>45</v>
      </c>
      <c r="D464" s="3" t="s">
        <v>345</v>
      </c>
      <c r="E464" s="8">
        <v>138.16999999999999</v>
      </c>
      <c r="F464" s="8">
        <v>127.57</v>
      </c>
      <c r="G464" s="8">
        <v>126.76999664306641</v>
      </c>
      <c r="H464" s="5">
        <f t="shared" si="14"/>
        <v>-6.2710931796942093E-3</v>
      </c>
      <c r="I464" s="5">
        <f t="shared" si="15"/>
        <v>-8.250708082024738E-2</v>
      </c>
      <c r="J464" s="5">
        <v>-8.250708082024738E-2</v>
      </c>
      <c r="K464" s="5">
        <v>0.18290258449304181</v>
      </c>
      <c r="L464" s="5">
        <v>8.1510934393638171E-2</v>
      </c>
      <c r="M464" s="3" t="s">
        <v>63</v>
      </c>
    </row>
    <row r="465" spans="1:13">
      <c r="A465" s="3" t="s">
        <v>999</v>
      </c>
      <c r="B465" s="3" t="s">
        <v>1000</v>
      </c>
      <c r="C465" s="3" t="s">
        <v>57</v>
      </c>
      <c r="D465" s="3" t="s">
        <v>112</v>
      </c>
      <c r="E465" s="8">
        <v>144.5</v>
      </c>
      <c r="F465" s="8">
        <v>133.27000000000001</v>
      </c>
      <c r="G465" s="8">
        <v>132.38999938964841</v>
      </c>
      <c r="H465" s="5">
        <f t="shared" si="14"/>
        <v>-6.6031410696451021E-3</v>
      </c>
      <c r="I465" s="5">
        <f t="shared" si="15"/>
        <v>-8.3806232597588903E-2</v>
      </c>
      <c r="J465" s="5">
        <v>-8.3806232597588903E-2</v>
      </c>
      <c r="K465" s="5">
        <v>0.16699801192842939</v>
      </c>
      <c r="L465" s="5">
        <v>7.9522862823061632E-2</v>
      </c>
      <c r="M465" s="3" t="s">
        <v>63</v>
      </c>
    </row>
    <row r="466" spans="1:13">
      <c r="A466" s="3" t="s">
        <v>1001</v>
      </c>
      <c r="B466" s="3" t="s">
        <v>1002</v>
      </c>
      <c r="C466" s="3" t="s">
        <v>45</v>
      </c>
      <c r="D466" s="3" t="s">
        <v>46</v>
      </c>
      <c r="E466" s="8">
        <v>116.21</v>
      </c>
      <c r="F466" s="8">
        <v>106.89</v>
      </c>
      <c r="G466" s="8">
        <v>106.4499969482422</v>
      </c>
      <c r="H466" s="5">
        <f t="shared" si="14"/>
        <v>-4.1164098770493096E-3</v>
      </c>
      <c r="I466" s="5">
        <f t="shared" si="15"/>
        <v>-8.3985913877960505E-2</v>
      </c>
      <c r="J466" s="5">
        <v>-8.3985913877960505E-2</v>
      </c>
      <c r="K466" s="5">
        <v>0.22862823061630219</v>
      </c>
      <c r="L466" s="5">
        <v>7.7534791252485094E-2</v>
      </c>
      <c r="M466" s="3" t="s">
        <v>63</v>
      </c>
    </row>
    <row r="467" spans="1:13">
      <c r="A467" s="3" t="s">
        <v>1003</v>
      </c>
      <c r="B467" s="3" t="s">
        <v>1004</v>
      </c>
      <c r="C467" s="3" t="s">
        <v>57</v>
      </c>
      <c r="D467" s="3" t="s">
        <v>112</v>
      </c>
      <c r="E467" s="8">
        <v>220</v>
      </c>
      <c r="F467" s="8">
        <v>200.05</v>
      </c>
      <c r="G467" s="8">
        <v>201.3500061035156</v>
      </c>
      <c r="H467" s="5">
        <f t="shared" si="14"/>
        <v>6.4984059160988483E-3</v>
      </c>
      <c r="I467" s="5">
        <f t="shared" si="15"/>
        <v>-8.4772699529474527E-2</v>
      </c>
      <c r="J467" s="5">
        <v>-9.0681818181818086E-2</v>
      </c>
      <c r="K467" s="5">
        <v>0.54671968190854869</v>
      </c>
      <c r="L467" s="5">
        <v>7.5546719681908542E-2</v>
      </c>
      <c r="M467" s="3" t="s">
        <v>63</v>
      </c>
    </row>
    <row r="468" spans="1:13">
      <c r="A468" s="3" t="s">
        <v>1005</v>
      </c>
      <c r="B468" s="3" t="s">
        <v>1006</v>
      </c>
      <c r="C468" s="3" t="s">
        <v>61</v>
      </c>
      <c r="D468" s="3" t="s">
        <v>77</v>
      </c>
      <c r="E468" s="8">
        <v>1280.3399999999999</v>
      </c>
      <c r="F468" s="8">
        <v>1160</v>
      </c>
      <c r="G468" s="8">
        <v>1171.199951171875</v>
      </c>
      <c r="H468" s="5">
        <f t="shared" si="14"/>
        <v>9.6551303205818506E-3</v>
      </c>
      <c r="I468" s="5">
        <f t="shared" si="15"/>
        <v>-8.5243020469660369E-2</v>
      </c>
      <c r="J468" s="5">
        <v>-9.6544667822609509E-2</v>
      </c>
      <c r="K468" s="5">
        <v>0.63021868787276347</v>
      </c>
      <c r="L468" s="5">
        <v>7.3558648111332003E-2</v>
      </c>
      <c r="M468" s="3" t="s">
        <v>879</v>
      </c>
    </row>
    <row r="469" spans="1:13">
      <c r="A469" s="3" t="s">
        <v>1007</v>
      </c>
      <c r="B469" s="3" t="s">
        <v>1008</v>
      </c>
      <c r="C469" s="3" t="s">
        <v>164</v>
      </c>
      <c r="D469" s="3" t="s">
        <v>165</v>
      </c>
      <c r="E469" s="8">
        <v>122.08</v>
      </c>
      <c r="F469" s="8">
        <v>114.22</v>
      </c>
      <c r="G469" s="8">
        <v>111.61000061035161</v>
      </c>
      <c r="H469" s="5">
        <f t="shared" si="14"/>
        <v>-2.2850633773843443E-2</v>
      </c>
      <c r="I469" s="5">
        <f t="shared" si="15"/>
        <v>-8.5763428814288889E-2</v>
      </c>
      <c r="J469" s="5">
        <v>-9.2158771674380913E-2</v>
      </c>
      <c r="K469" s="5">
        <v>3.5785288270377733E-2</v>
      </c>
      <c r="L469" s="5">
        <v>7.1570576540755465E-2</v>
      </c>
      <c r="M469" s="3" t="s">
        <v>47</v>
      </c>
    </row>
    <row r="470" spans="1:13">
      <c r="A470" s="3" t="s">
        <v>1009</v>
      </c>
      <c r="B470" s="3" t="s">
        <v>1010</v>
      </c>
      <c r="C470" s="3" t="s">
        <v>40</v>
      </c>
      <c r="D470" s="3" t="s">
        <v>41</v>
      </c>
      <c r="E470" s="8">
        <v>233.52</v>
      </c>
      <c r="F470" s="8">
        <v>223.84</v>
      </c>
      <c r="G470" s="8">
        <v>213.44999694824219</v>
      </c>
      <c r="H470" s="5">
        <f t="shared" si="14"/>
        <v>-4.6417097264822238E-2</v>
      </c>
      <c r="I470" s="5">
        <f t="shared" si="15"/>
        <v>-8.5945542359360361E-2</v>
      </c>
      <c r="J470" s="5">
        <v>-0.121351842307487</v>
      </c>
      <c r="K470" s="5">
        <v>9.9403578528827041E-3</v>
      </c>
      <c r="L470" s="5">
        <v>6.9582504970178927E-2</v>
      </c>
      <c r="M470" s="3" t="s">
        <v>47</v>
      </c>
    </row>
    <row r="471" spans="1:13">
      <c r="A471" s="3" t="s">
        <v>1011</v>
      </c>
      <c r="B471" s="3" t="s">
        <v>1012</v>
      </c>
      <c r="C471" s="3" t="s">
        <v>40</v>
      </c>
      <c r="D471" s="3" t="s">
        <v>161</v>
      </c>
      <c r="E471" s="8">
        <v>187.27</v>
      </c>
      <c r="F471" s="8">
        <v>170.89</v>
      </c>
      <c r="G471" s="8">
        <v>171.03999328613281</v>
      </c>
      <c r="H471" s="5">
        <f t="shared" si="14"/>
        <v>8.7771833420813294E-4</v>
      </c>
      <c r="I471" s="5">
        <f t="shared" si="15"/>
        <v>-8.6666346525696603E-2</v>
      </c>
      <c r="J471" s="5">
        <v>-8.7467293213008057E-2</v>
      </c>
      <c r="K471" s="5">
        <v>0.39165009940357848</v>
      </c>
      <c r="L471" s="5">
        <v>6.7594433399602388E-2</v>
      </c>
      <c r="M471" s="3" t="s">
        <v>63</v>
      </c>
    </row>
    <row r="472" spans="1:13">
      <c r="A472" s="3" t="s">
        <v>1013</v>
      </c>
      <c r="B472" s="3" t="s">
        <v>1014</v>
      </c>
      <c r="C472" s="3" t="s">
        <v>45</v>
      </c>
      <c r="D472" s="3" t="s">
        <v>46</v>
      </c>
      <c r="E472" s="8">
        <v>608.37</v>
      </c>
      <c r="F472" s="8">
        <v>551.15</v>
      </c>
      <c r="G472" s="8">
        <v>553.84002685546875</v>
      </c>
      <c r="H472" s="5">
        <f t="shared" si="14"/>
        <v>4.8807527088248204E-3</v>
      </c>
      <c r="I472" s="5">
        <f t="shared" si="15"/>
        <v>-8.9632909486876855E-2</v>
      </c>
      <c r="J472" s="5">
        <v>-9.405460492792217E-2</v>
      </c>
      <c r="K472" s="5">
        <v>0.51491053677932408</v>
      </c>
      <c r="L472" s="5">
        <v>6.560636182902585E-2</v>
      </c>
      <c r="M472" s="3" t="s">
        <v>63</v>
      </c>
    </row>
    <row r="473" spans="1:13">
      <c r="A473" s="3" t="s">
        <v>1015</v>
      </c>
      <c r="B473" s="3" t="s">
        <v>1016</v>
      </c>
      <c r="C473" s="3" t="s">
        <v>95</v>
      </c>
      <c r="D473" s="3" t="s">
        <v>99</v>
      </c>
      <c r="E473" s="8">
        <v>24.41</v>
      </c>
      <c r="F473" s="8">
        <v>21.99</v>
      </c>
      <c r="G473" s="8">
        <v>22.219999313354489</v>
      </c>
      <c r="H473" s="5">
        <f t="shared" si="14"/>
        <v>1.0459268456320503E-2</v>
      </c>
      <c r="I473" s="5">
        <f t="shared" si="15"/>
        <v>-8.9717357093220484E-2</v>
      </c>
      <c r="J473" s="5">
        <v>-0.12822613682916831</v>
      </c>
      <c r="K473" s="5">
        <v>0.65208747514910537</v>
      </c>
      <c r="L473" s="5">
        <v>6.3618290258449298E-2</v>
      </c>
      <c r="M473" s="3" t="s">
        <v>879</v>
      </c>
    </row>
    <row r="474" spans="1:13">
      <c r="A474" s="3" t="s">
        <v>1017</v>
      </c>
      <c r="B474" s="3" t="s">
        <v>1018</v>
      </c>
      <c r="C474" s="3" t="s">
        <v>45</v>
      </c>
      <c r="D474" s="3" t="s">
        <v>46</v>
      </c>
      <c r="E474" s="8">
        <v>243.19</v>
      </c>
      <c r="F474" s="8">
        <v>218.91</v>
      </c>
      <c r="G474" s="8">
        <v>221.07000732421881</v>
      </c>
      <c r="H474" s="5">
        <f t="shared" si="14"/>
        <v>9.8671021160239292E-3</v>
      </c>
      <c r="I474" s="5">
        <f t="shared" si="15"/>
        <v>-9.0957657287640048E-2</v>
      </c>
      <c r="J474" s="5">
        <v>-9.9839631563797826E-2</v>
      </c>
      <c r="K474" s="5">
        <v>0.64015904572564608</v>
      </c>
      <c r="L474" s="5">
        <v>6.1630218687872773E-2</v>
      </c>
      <c r="M474" s="3" t="s">
        <v>879</v>
      </c>
    </row>
    <row r="475" spans="1:13">
      <c r="A475" s="3" t="s">
        <v>1019</v>
      </c>
      <c r="B475" s="3" t="s">
        <v>1020</v>
      </c>
      <c r="C475" s="3" t="s">
        <v>251</v>
      </c>
      <c r="D475" s="3" t="s">
        <v>251</v>
      </c>
      <c r="E475" s="8">
        <v>120.58</v>
      </c>
      <c r="F475" s="8">
        <v>109.51</v>
      </c>
      <c r="G475" s="8">
        <v>109.5699996948242</v>
      </c>
      <c r="H475" s="5">
        <f t="shared" si="14"/>
        <v>5.4789238265184892E-4</v>
      </c>
      <c r="I475" s="5">
        <f t="shared" si="15"/>
        <v>-9.1308677269661631E-2</v>
      </c>
      <c r="J475" s="5">
        <v>-9.1806269696466991E-2</v>
      </c>
      <c r="K475" s="5">
        <v>0.38170974155069581</v>
      </c>
      <c r="L475" s="5">
        <v>5.9642147117296221E-2</v>
      </c>
      <c r="M475" s="3" t="s">
        <v>63</v>
      </c>
    </row>
    <row r="476" spans="1:13">
      <c r="A476" s="3" t="s">
        <v>1021</v>
      </c>
      <c r="B476" s="3" t="s">
        <v>1022</v>
      </c>
      <c r="C476" s="3" t="s">
        <v>45</v>
      </c>
      <c r="D476" s="3" t="s">
        <v>46</v>
      </c>
      <c r="E476" s="8">
        <v>987.46</v>
      </c>
      <c r="F476" s="8">
        <v>898.53</v>
      </c>
      <c r="G476" s="8">
        <v>897.22998046875</v>
      </c>
      <c r="H476" s="5">
        <f t="shared" si="14"/>
        <v>-1.4468293003572219E-3</v>
      </c>
      <c r="I476" s="5">
        <f t="shared" si="15"/>
        <v>-9.1375872978399109E-2</v>
      </c>
      <c r="J476" s="5">
        <v>-9.1375872978399109E-2</v>
      </c>
      <c r="K476" s="5">
        <v>0.31411530815109351</v>
      </c>
      <c r="L476" s="5">
        <v>5.7654075546719682E-2</v>
      </c>
      <c r="M476" s="3" t="s">
        <v>63</v>
      </c>
    </row>
    <row r="477" spans="1:13">
      <c r="A477" s="3" t="s">
        <v>1023</v>
      </c>
      <c r="B477" s="3" t="s">
        <v>1024</v>
      </c>
      <c r="C477" s="3" t="s">
        <v>57</v>
      </c>
      <c r="D477" s="3" t="s">
        <v>58</v>
      </c>
      <c r="E477" s="8">
        <v>17.34</v>
      </c>
      <c r="F477" s="8">
        <v>15.43</v>
      </c>
      <c r="G477" s="8">
        <v>15.72500038146973</v>
      </c>
      <c r="H477" s="5">
        <f t="shared" si="14"/>
        <v>1.911862485221838E-2</v>
      </c>
      <c r="I477" s="5">
        <f t="shared" si="15"/>
        <v>-9.3137232902553047E-2</v>
      </c>
      <c r="J477" s="5">
        <v>-0.1101499423298732</v>
      </c>
      <c r="K477" s="5">
        <v>0.82306163021868783</v>
      </c>
      <c r="L477" s="5">
        <v>5.5666003976143137E-2</v>
      </c>
      <c r="M477" s="3" t="s">
        <v>879</v>
      </c>
    </row>
    <row r="478" spans="1:13">
      <c r="A478" s="3" t="s">
        <v>1025</v>
      </c>
      <c r="B478" s="3" t="s">
        <v>1026</v>
      </c>
      <c r="C478" s="3" t="s">
        <v>45</v>
      </c>
      <c r="D478" s="3" t="s">
        <v>46</v>
      </c>
      <c r="E478" s="8">
        <v>1696.06</v>
      </c>
      <c r="F478" s="8">
        <v>1554.37</v>
      </c>
      <c r="G478" s="8">
        <v>1536.93994140625</v>
      </c>
      <c r="H478" s="5">
        <f t="shared" si="14"/>
        <v>-1.1213584020374756E-2</v>
      </c>
      <c r="I478" s="5">
        <f t="shared" si="15"/>
        <v>-9.3817470250905033E-2</v>
      </c>
      <c r="J478" s="5">
        <v>-0.1045540841715505</v>
      </c>
      <c r="K478" s="5">
        <v>9.9403578528827044E-2</v>
      </c>
      <c r="L478" s="5">
        <v>5.3677932405566599E-2</v>
      </c>
      <c r="M478" s="3" t="s">
        <v>47</v>
      </c>
    </row>
    <row r="479" spans="1:13">
      <c r="A479" s="3" t="s">
        <v>1027</v>
      </c>
      <c r="B479" s="3" t="s">
        <v>1028</v>
      </c>
      <c r="C479" s="3" t="s">
        <v>50</v>
      </c>
      <c r="D479" s="3" t="s">
        <v>50</v>
      </c>
      <c r="E479" s="8">
        <v>41.06</v>
      </c>
      <c r="F479" s="8">
        <v>36.46</v>
      </c>
      <c r="G479" s="8">
        <v>37.200000762939453</v>
      </c>
      <c r="H479" s="5">
        <f t="shared" si="14"/>
        <v>2.0296235955552744E-2</v>
      </c>
      <c r="I479" s="5">
        <f t="shared" si="15"/>
        <v>-9.4008749075999765E-2</v>
      </c>
      <c r="J479" s="5">
        <v>-0.1212340322969391</v>
      </c>
      <c r="K479" s="5">
        <v>0.83300198807157055</v>
      </c>
      <c r="L479" s="5">
        <v>5.168986083499006E-2</v>
      </c>
      <c r="M479" s="3" t="s">
        <v>879</v>
      </c>
    </row>
    <row r="480" spans="1:13">
      <c r="A480" s="3" t="s">
        <v>1029</v>
      </c>
      <c r="B480" s="3" t="s">
        <v>1030</v>
      </c>
      <c r="C480" s="3" t="s">
        <v>57</v>
      </c>
      <c r="D480" s="3" t="s">
        <v>338</v>
      </c>
      <c r="E480" s="8">
        <v>377.96</v>
      </c>
      <c r="F480" s="8">
        <v>340.82</v>
      </c>
      <c r="G480" s="8">
        <v>342.39999389648437</v>
      </c>
      <c r="H480" s="5">
        <f t="shared" si="14"/>
        <v>4.6358602678375771E-3</v>
      </c>
      <c r="I480" s="5">
        <f t="shared" si="15"/>
        <v>-9.408404620466615E-2</v>
      </c>
      <c r="J480" s="5">
        <v>-9.8264366599640107E-2</v>
      </c>
      <c r="K480" s="5">
        <v>0.50894632206759438</v>
      </c>
      <c r="L480" s="5">
        <v>4.9701789264413522E-2</v>
      </c>
      <c r="M480" s="3" t="s">
        <v>63</v>
      </c>
    </row>
    <row r="481" spans="1:13">
      <c r="A481" s="3" t="s">
        <v>1031</v>
      </c>
      <c r="B481" s="3" t="s">
        <v>1032</v>
      </c>
      <c r="C481" s="3" t="s">
        <v>45</v>
      </c>
      <c r="D481" s="3" t="s">
        <v>46</v>
      </c>
      <c r="E481" s="8">
        <v>589.15</v>
      </c>
      <c r="F481" s="8">
        <v>544.5</v>
      </c>
      <c r="G481" s="8">
        <v>533.55999755859375</v>
      </c>
      <c r="H481" s="5">
        <f t="shared" si="14"/>
        <v>-2.0091831848312647E-2</v>
      </c>
      <c r="I481" s="5">
        <f t="shared" si="15"/>
        <v>-9.4356280134781034E-2</v>
      </c>
      <c r="J481" s="5">
        <v>-9.4356280134781034E-2</v>
      </c>
      <c r="K481" s="5">
        <v>4.5725646123260438E-2</v>
      </c>
      <c r="L481" s="5">
        <v>4.7713717693836977E-2</v>
      </c>
      <c r="M481" s="3" t="s">
        <v>47</v>
      </c>
    </row>
    <row r="482" spans="1:13">
      <c r="A482" s="3" t="s">
        <v>1033</v>
      </c>
      <c r="B482" s="3" t="s">
        <v>1034</v>
      </c>
      <c r="C482" s="3" t="s">
        <v>45</v>
      </c>
      <c r="D482" s="3" t="s">
        <v>46</v>
      </c>
      <c r="E482" s="8">
        <v>582.84</v>
      </c>
      <c r="F482" s="8">
        <v>532.91</v>
      </c>
      <c r="G482" s="8">
        <v>526.78997802734375</v>
      </c>
      <c r="H482" s="5">
        <f t="shared" si="14"/>
        <v>-1.1484156748149288E-2</v>
      </c>
      <c r="I482" s="5">
        <f t="shared" si="15"/>
        <v>-9.6167081828042456E-2</v>
      </c>
      <c r="J482" s="5">
        <v>-9.6167081828042456E-2</v>
      </c>
      <c r="K482" s="5">
        <v>8.74751491053678E-2</v>
      </c>
      <c r="L482" s="5">
        <v>4.5725646123260438E-2</v>
      </c>
      <c r="M482" s="3" t="s">
        <v>47</v>
      </c>
    </row>
    <row r="483" spans="1:13">
      <c r="A483" s="3" t="s">
        <v>1035</v>
      </c>
      <c r="B483" s="3" t="s">
        <v>1036</v>
      </c>
      <c r="C483" s="3" t="s">
        <v>45</v>
      </c>
      <c r="D483" s="3" t="s">
        <v>46</v>
      </c>
      <c r="E483" s="8">
        <v>170.37</v>
      </c>
      <c r="F483" s="8">
        <v>154.24</v>
      </c>
      <c r="G483" s="8">
        <v>153.8500061035156</v>
      </c>
      <c r="H483" s="5">
        <f t="shared" si="14"/>
        <v>-2.528487399406254E-3</v>
      </c>
      <c r="I483" s="5">
        <f t="shared" si="15"/>
        <v>-9.6965392360652713E-2</v>
      </c>
      <c r="J483" s="5">
        <v>-9.6965392360652713E-2</v>
      </c>
      <c r="K483" s="5">
        <v>0.27236580516898612</v>
      </c>
      <c r="L483" s="5">
        <v>4.37375745526839E-2</v>
      </c>
      <c r="M483" s="3" t="s">
        <v>63</v>
      </c>
    </row>
    <row r="484" spans="1:13">
      <c r="A484" s="3" t="s">
        <v>1037</v>
      </c>
      <c r="B484" s="3" t="s">
        <v>1038</v>
      </c>
      <c r="C484" s="3" t="s">
        <v>40</v>
      </c>
      <c r="D484" s="3" t="s">
        <v>161</v>
      </c>
      <c r="E484" s="8">
        <v>379.65</v>
      </c>
      <c r="F484" s="8">
        <v>335.46</v>
      </c>
      <c r="G484" s="8">
        <v>342.64999389648437</v>
      </c>
      <c r="H484" s="5">
        <f t="shared" si="14"/>
        <v>2.1433237633352364E-2</v>
      </c>
      <c r="I484" s="5">
        <f t="shared" si="15"/>
        <v>-9.7458201247242471E-2</v>
      </c>
      <c r="J484" s="5">
        <v>-0.1244682239331855</v>
      </c>
      <c r="K484" s="5">
        <v>0.85487077534791256</v>
      </c>
      <c r="L484" s="5">
        <v>4.1749502982107348E-2</v>
      </c>
      <c r="M484" s="3" t="s">
        <v>879</v>
      </c>
    </row>
    <row r="485" spans="1:13">
      <c r="A485" s="3" t="s">
        <v>1039</v>
      </c>
      <c r="B485" s="3" t="s">
        <v>1040</v>
      </c>
      <c r="C485" s="3" t="s">
        <v>45</v>
      </c>
      <c r="D485" s="3" t="s">
        <v>46</v>
      </c>
      <c r="E485" s="8">
        <v>805.78</v>
      </c>
      <c r="F485" s="8">
        <v>735.25</v>
      </c>
      <c r="G485" s="8">
        <v>727.03997802734375</v>
      </c>
      <c r="H485" s="5">
        <f t="shared" si="14"/>
        <v>-1.1166299860804196E-2</v>
      </c>
      <c r="I485" s="5">
        <f t="shared" si="15"/>
        <v>-9.7719007635652666E-2</v>
      </c>
      <c r="J485" s="5">
        <v>-9.7719007635652666E-2</v>
      </c>
      <c r="K485" s="5">
        <v>0.1013916500994036</v>
      </c>
      <c r="L485" s="5">
        <v>3.9761431411530823E-2</v>
      </c>
      <c r="M485" s="3" t="s">
        <v>47</v>
      </c>
    </row>
    <row r="486" spans="1:13">
      <c r="A486" s="3" t="s">
        <v>1041</v>
      </c>
      <c r="B486" s="3" t="s">
        <v>1042</v>
      </c>
      <c r="C486" s="3" t="s">
        <v>95</v>
      </c>
      <c r="D486" s="3" t="s">
        <v>96</v>
      </c>
      <c r="E486" s="8">
        <v>836.15</v>
      </c>
      <c r="F486" s="8">
        <v>766.91</v>
      </c>
      <c r="G486" s="8">
        <v>751.97998046875</v>
      </c>
      <c r="H486" s="5">
        <f t="shared" si="14"/>
        <v>-1.946775962140268E-2</v>
      </c>
      <c r="I486" s="5">
        <f t="shared" si="15"/>
        <v>-0.10066377986156783</v>
      </c>
      <c r="J486" s="5">
        <v>-0.1196778538430245</v>
      </c>
      <c r="K486" s="5">
        <v>4.7713717693836977E-2</v>
      </c>
      <c r="L486" s="5">
        <v>3.7773359840954271E-2</v>
      </c>
      <c r="M486" s="3" t="s">
        <v>47</v>
      </c>
    </row>
    <row r="487" spans="1:13">
      <c r="A487" s="3" t="s">
        <v>1043</v>
      </c>
      <c r="B487" s="3" t="s">
        <v>1044</v>
      </c>
      <c r="C487" s="3" t="s">
        <v>40</v>
      </c>
      <c r="D487" s="3" t="s">
        <v>161</v>
      </c>
      <c r="E487" s="8">
        <v>222.4</v>
      </c>
      <c r="F487" s="8">
        <v>199.65</v>
      </c>
      <c r="G487" s="8">
        <v>199.1000061035156</v>
      </c>
      <c r="H487" s="5">
        <f t="shared" si="14"/>
        <v>-2.75479036556181E-3</v>
      </c>
      <c r="I487" s="5">
        <f t="shared" si="15"/>
        <v>-0.1047661596064946</v>
      </c>
      <c r="J487" s="5">
        <v>-0.1047661596064946</v>
      </c>
      <c r="K487" s="5">
        <v>0.26441351888667991</v>
      </c>
      <c r="L487" s="5">
        <v>3.5785288270377733E-2</v>
      </c>
      <c r="M487" s="3" t="s">
        <v>63</v>
      </c>
    </row>
    <row r="488" spans="1:13">
      <c r="A488" s="3" t="s">
        <v>1045</v>
      </c>
      <c r="B488" s="3" t="s">
        <v>1046</v>
      </c>
      <c r="C488" s="3" t="s">
        <v>45</v>
      </c>
      <c r="D488" s="3" t="s">
        <v>46</v>
      </c>
      <c r="E488" s="8">
        <v>419.34</v>
      </c>
      <c r="F488" s="8">
        <v>377.25</v>
      </c>
      <c r="G488" s="8">
        <v>374.70001220703119</v>
      </c>
      <c r="H488" s="5">
        <f t="shared" si="14"/>
        <v>-6.759410982024705E-3</v>
      </c>
      <c r="I488" s="5">
        <f t="shared" si="15"/>
        <v>-0.10645296845750174</v>
      </c>
      <c r="J488" s="5">
        <v>-0.1064529684575017</v>
      </c>
      <c r="K488" s="5">
        <v>0.16302186878727629</v>
      </c>
      <c r="L488" s="5">
        <v>3.3797216699801187E-2</v>
      </c>
      <c r="M488" s="3" t="s">
        <v>63</v>
      </c>
    </row>
    <row r="489" spans="1:13">
      <c r="A489" s="3" t="s">
        <v>1047</v>
      </c>
      <c r="B489" s="3" t="s">
        <v>1048</v>
      </c>
      <c r="C489" s="3" t="s">
        <v>57</v>
      </c>
      <c r="D489" s="3" t="s">
        <v>58</v>
      </c>
      <c r="E489" s="8">
        <v>300.56</v>
      </c>
      <c r="F489" s="8">
        <v>265.7</v>
      </c>
      <c r="G489" s="8">
        <v>268.55999755859381</v>
      </c>
      <c r="H489" s="5">
        <f t="shared" si="14"/>
        <v>1.0764010382362965E-2</v>
      </c>
      <c r="I489" s="5">
        <f t="shared" si="15"/>
        <v>-0.10646793465998872</v>
      </c>
      <c r="J489" s="5">
        <v>-0.1159834974713868</v>
      </c>
      <c r="K489" s="5">
        <v>0.66003976143141152</v>
      </c>
      <c r="L489" s="5">
        <v>3.1809145129224649E-2</v>
      </c>
      <c r="M489" s="3" t="s">
        <v>879</v>
      </c>
    </row>
    <row r="490" spans="1:13">
      <c r="A490" s="3" t="s">
        <v>1049</v>
      </c>
      <c r="B490" s="3" t="s">
        <v>1050</v>
      </c>
      <c r="C490" s="3" t="s">
        <v>45</v>
      </c>
      <c r="D490" s="3" t="s">
        <v>46</v>
      </c>
      <c r="E490" s="8">
        <v>677.41</v>
      </c>
      <c r="F490" s="8">
        <v>611.39</v>
      </c>
      <c r="G490" s="8">
        <v>604.47998046875</v>
      </c>
      <c r="H490" s="5">
        <f t="shared" si="14"/>
        <v>-1.130214679868824E-2</v>
      </c>
      <c r="I490" s="5">
        <f t="shared" si="15"/>
        <v>-0.10766008699495133</v>
      </c>
      <c r="J490" s="5">
        <v>-0.1102877134969958</v>
      </c>
      <c r="K490" s="5">
        <v>9.5427435387673953E-2</v>
      </c>
      <c r="L490" s="5">
        <v>2.982107355864811E-2</v>
      </c>
      <c r="M490" s="3" t="s">
        <v>47</v>
      </c>
    </row>
    <row r="491" spans="1:13">
      <c r="A491" s="3" t="s">
        <v>1051</v>
      </c>
      <c r="B491" s="3" t="s">
        <v>1052</v>
      </c>
      <c r="C491" s="3" t="s">
        <v>45</v>
      </c>
      <c r="D491" s="3" t="s">
        <v>46</v>
      </c>
      <c r="E491" s="8">
        <v>283.48</v>
      </c>
      <c r="F491" s="8">
        <v>254.89</v>
      </c>
      <c r="G491" s="8">
        <v>251.9700012207031</v>
      </c>
      <c r="H491" s="5">
        <f t="shared" si="14"/>
        <v>-1.1455917373364599E-2</v>
      </c>
      <c r="I491" s="5">
        <f t="shared" si="15"/>
        <v>-0.1111542217415582</v>
      </c>
      <c r="J491" s="5">
        <v>-0.13591787780443079</v>
      </c>
      <c r="K491" s="5">
        <v>9.1451292246520877E-2</v>
      </c>
      <c r="L491" s="5">
        <v>2.7833001988071569E-2</v>
      </c>
      <c r="M491" s="3" t="s">
        <v>47</v>
      </c>
    </row>
    <row r="492" spans="1:13">
      <c r="A492" s="3" t="s">
        <v>1053</v>
      </c>
      <c r="B492" s="3" t="s">
        <v>1054</v>
      </c>
      <c r="C492" s="3" t="s">
        <v>95</v>
      </c>
      <c r="D492" s="3" t="s">
        <v>181</v>
      </c>
      <c r="E492" s="8">
        <v>107.9</v>
      </c>
      <c r="F492" s="8">
        <v>94.97</v>
      </c>
      <c r="G492" s="8">
        <v>95.769996643066406</v>
      </c>
      <c r="H492" s="5">
        <f t="shared" si="14"/>
        <v>8.4236774040897799E-3</v>
      </c>
      <c r="I492" s="5">
        <f t="shared" si="15"/>
        <v>-0.11241893750633547</v>
      </c>
      <c r="J492" s="5">
        <v>-0.1198331788693235</v>
      </c>
      <c r="K492" s="5">
        <v>0.59642147117296218</v>
      </c>
      <c r="L492" s="5">
        <v>2.584493041749503E-2</v>
      </c>
      <c r="M492" s="3" t="s">
        <v>63</v>
      </c>
    </row>
    <row r="493" spans="1:13">
      <c r="A493" s="3" t="s">
        <v>1055</v>
      </c>
      <c r="B493" s="3" t="s">
        <v>1056</v>
      </c>
      <c r="C493" s="3" t="s">
        <v>57</v>
      </c>
      <c r="D493" s="3" t="s">
        <v>58</v>
      </c>
      <c r="E493" s="8">
        <v>26.69</v>
      </c>
      <c r="F493" s="8">
        <v>23.23</v>
      </c>
      <c r="G493" s="8">
        <v>23.629999160766602</v>
      </c>
      <c r="H493" s="5">
        <f t="shared" si="14"/>
        <v>1.7219077088532098E-2</v>
      </c>
      <c r="I493" s="5">
        <f t="shared" si="15"/>
        <v>-0.11464971297240167</v>
      </c>
      <c r="J493" s="5">
        <v>-0.12963656800299739</v>
      </c>
      <c r="K493" s="5">
        <v>0.79324055666003979</v>
      </c>
      <c r="L493" s="5">
        <v>2.3856858846918488E-2</v>
      </c>
      <c r="M493" s="3" t="s">
        <v>879</v>
      </c>
    </row>
    <row r="494" spans="1:13">
      <c r="A494" s="3" t="s">
        <v>1057</v>
      </c>
      <c r="B494" s="3" t="s">
        <v>1058</v>
      </c>
      <c r="C494" s="3" t="s">
        <v>45</v>
      </c>
      <c r="D494" s="3" t="s">
        <v>46</v>
      </c>
      <c r="E494" s="8">
        <v>1117.04</v>
      </c>
      <c r="F494" s="8">
        <v>990.15</v>
      </c>
      <c r="G494" s="8">
        <v>985.04998779296875</v>
      </c>
      <c r="H494" s="5">
        <f t="shared" si="14"/>
        <v>-5.150747065627681E-3</v>
      </c>
      <c r="I494" s="5">
        <f t="shared" si="15"/>
        <v>-0.11816050652351862</v>
      </c>
      <c r="J494" s="5">
        <v>-0.1181605065235186</v>
      </c>
      <c r="K494" s="5">
        <v>0.20675944333996021</v>
      </c>
      <c r="L494" s="5">
        <v>2.186878727634195E-2</v>
      </c>
      <c r="M494" s="3" t="s">
        <v>63</v>
      </c>
    </row>
    <row r="495" spans="1:13">
      <c r="A495" s="3" t="s">
        <v>1059</v>
      </c>
      <c r="B495" s="3" t="s">
        <v>1060</v>
      </c>
      <c r="C495" s="3" t="s">
        <v>40</v>
      </c>
      <c r="D495" s="3" t="s">
        <v>161</v>
      </c>
      <c r="E495" s="8">
        <v>496.17</v>
      </c>
      <c r="F495" s="8">
        <v>441.85</v>
      </c>
      <c r="G495" s="8">
        <v>437.35000610351562</v>
      </c>
      <c r="H495" s="5">
        <f t="shared" si="14"/>
        <v>-1.0184437923468126E-2</v>
      </c>
      <c r="I495" s="5">
        <f t="shared" si="15"/>
        <v>-0.11854806597836309</v>
      </c>
      <c r="J495" s="5">
        <v>-0.1186191207280877</v>
      </c>
      <c r="K495" s="5">
        <v>0.1113320079522863</v>
      </c>
      <c r="L495" s="5">
        <v>1.9880715705765412E-2</v>
      </c>
      <c r="M495" s="3" t="s">
        <v>47</v>
      </c>
    </row>
    <row r="496" spans="1:13">
      <c r="A496" s="3" t="s">
        <v>1061</v>
      </c>
      <c r="B496" s="3" t="s">
        <v>1062</v>
      </c>
      <c r="C496" s="3" t="s">
        <v>45</v>
      </c>
      <c r="D496" s="3" t="s">
        <v>46</v>
      </c>
      <c r="E496" s="8">
        <v>72.55</v>
      </c>
      <c r="F496" s="8">
        <v>62.79</v>
      </c>
      <c r="G496" s="8">
        <v>63.939998626708977</v>
      </c>
      <c r="H496" s="5">
        <f t="shared" si="14"/>
        <v>1.8314996443844267E-2</v>
      </c>
      <c r="I496" s="5">
        <f t="shared" si="15"/>
        <v>-0.11867679356707128</v>
      </c>
      <c r="J496" s="5">
        <v>-0.13452791178497581</v>
      </c>
      <c r="K496" s="5">
        <v>0.80914512922465209</v>
      </c>
      <c r="L496" s="5">
        <v>1.789264413518887E-2</v>
      </c>
      <c r="M496" s="3" t="s">
        <v>879</v>
      </c>
    </row>
    <row r="497" spans="1:13">
      <c r="A497" s="3" t="s">
        <v>1063</v>
      </c>
      <c r="B497" s="3" t="s">
        <v>1064</v>
      </c>
      <c r="C497" s="3" t="s">
        <v>71</v>
      </c>
      <c r="D497" s="3" t="s">
        <v>72</v>
      </c>
      <c r="E497" s="8">
        <v>61.25</v>
      </c>
      <c r="F497" s="8">
        <v>52.4</v>
      </c>
      <c r="G497" s="8">
        <v>53.909999847412109</v>
      </c>
      <c r="H497" s="5">
        <f t="shared" si="14"/>
        <v>2.88167909811472E-2</v>
      </c>
      <c r="I497" s="5">
        <f t="shared" si="15"/>
        <v>-0.11983673718510846</v>
      </c>
      <c r="J497" s="5">
        <v>-0.158908507223114</v>
      </c>
      <c r="K497" s="5">
        <v>0.94831013916500995</v>
      </c>
      <c r="L497" s="5">
        <v>1.5904572564612321E-2</v>
      </c>
      <c r="M497" s="3" t="s">
        <v>879</v>
      </c>
    </row>
    <row r="498" spans="1:13">
      <c r="A498" s="3" t="s">
        <v>1065</v>
      </c>
      <c r="B498" s="3" t="s">
        <v>1066</v>
      </c>
      <c r="C498" s="3" t="s">
        <v>40</v>
      </c>
      <c r="D498" s="3" t="s">
        <v>68</v>
      </c>
      <c r="E498" s="8">
        <v>399.47</v>
      </c>
      <c r="F498" s="8">
        <v>360.33</v>
      </c>
      <c r="G498" s="8">
        <v>351.05999755859381</v>
      </c>
      <c r="H498" s="5">
        <f t="shared" si="14"/>
        <v>-2.5726424226143241E-2</v>
      </c>
      <c r="I498" s="5">
        <f t="shared" si="15"/>
        <v>-0.12118557699303134</v>
      </c>
      <c r="J498" s="5">
        <v>-0.1311041319738786</v>
      </c>
      <c r="K498" s="5">
        <v>2.7833001988071569E-2</v>
      </c>
      <c r="L498" s="5">
        <v>1.3916500994035789E-2</v>
      </c>
      <c r="M498" s="3" t="s">
        <v>47</v>
      </c>
    </row>
    <row r="499" spans="1:13">
      <c r="A499" s="3" t="s">
        <v>1067</v>
      </c>
      <c r="B499" s="3" t="s">
        <v>1068</v>
      </c>
      <c r="C499" s="3" t="s">
        <v>40</v>
      </c>
      <c r="D499" s="3" t="s">
        <v>161</v>
      </c>
      <c r="E499" s="8">
        <v>237.27</v>
      </c>
      <c r="F499" s="8">
        <v>210.39</v>
      </c>
      <c r="G499" s="8">
        <v>204.97999572753909</v>
      </c>
      <c r="H499" s="5">
        <f t="shared" si="14"/>
        <v>-2.5714170219406363E-2</v>
      </c>
      <c r="I499" s="5">
        <f t="shared" si="15"/>
        <v>-0.13608970486138539</v>
      </c>
      <c r="J499" s="5">
        <v>-0.18337916526218431</v>
      </c>
      <c r="K499" s="5">
        <v>2.982107355864811E-2</v>
      </c>
      <c r="L499" s="5">
        <v>1.1928429423459241E-2</v>
      </c>
      <c r="M499" s="3" t="s">
        <v>47</v>
      </c>
    </row>
    <row r="500" spans="1:13">
      <c r="A500" s="3" t="s">
        <v>1069</v>
      </c>
      <c r="B500" s="3" t="s">
        <v>1070</v>
      </c>
      <c r="C500" s="3" t="s">
        <v>45</v>
      </c>
      <c r="D500" s="3" t="s">
        <v>46</v>
      </c>
      <c r="E500" s="8">
        <v>210.81</v>
      </c>
      <c r="F500" s="8">
        <v>181.42</v>
      </c>
      <c r="G500" s="8">
        <v>181.72999572753909</v>
      </c>
      <c r="H500" s="5">
        <f t="shared" si="14"/>
        <v>1.7087185951885075E-3</v>
      </c>
      <c r="I500" s="5">
        <f t="shared" si="15"/>
        <v>-0.13794414056477833</v>
      </c>
      <c r="J500" s="5">
        <v>-0.13941463877425181</v>
      </c>
      <c r="K500" s="5">
        <v>0.41351888667992048</v>
      </c>
      <c r="L500" s="5">
        <v>9.9403578528827041E-3</v>
      </c>
      <c r="M500" s="3" t="s">
        <v>63</v>
      </c>
    </row>
    <row r="501" spans="1:13">
      <c r="A501" s="3" t="s">
        <v>1071</v>
      </c>
      <c r="B501" s="3" t="s">
        <v>1072</v>
      </c>
      <c r="C501" s="3" t="s">
        <v>61</v>
      </c>
      <c r="D501" s="3" t="s">
        <v>77</v>
      </c>
      <c r="E501" s="8">
        <v>174.38</v>
      </c>
      <c r="F501" s="8">
        <v>154.27000000000001</v>
      </c>
      <c r="G501" s="8">
        <v>148.4100036621094</v>
      </c>
      <c r="H501" s="5">
        <f t="shared" si="14"/>
        <v>-3.7985326621446824E-2</v>
      </c>
      <c r="I501" s="5">
        <f t="shared" si="15"/>
        <v>-0.14892760831454632</v>
      </c>
      <c r="J501" s="5">
        <v>-0.2354627824291777</v>
      </c>
      <c r="K501" s="5">
        <v>1.5904572564612321E-2</v>
      </c>
      <c r="L501" s="5">
        <v>7.9522862823061622E-3</v>
      </c>
      <c r="M501" s="3" t="s">
        <v>47</v>
      </c>
    </row>
    <row r="502" spans="1:13">
      <c r="A502" s="3" t="s">
        <v>1073</v>
      </c>
      <c r="B502" s="3" t="s">
        <v>1074</v>
      </c>
      <c r="C502" s="3" t="s">
        <v>45</v>
      </c>
      <c r="D502" s="3" t="s">
        <v>46</v>
      </c>
      <c r="E502" s="8">
        <v>645.72</v>
      </c>
      <c r="F502" s="8">
        <v>518.29999999999995</v>
      </c>
      <c r="G502" s="8">
        <v>507.57000732421881</v>
      </c>
      <c r="H502" s="5">
        <f t="shared" si="14"/>
        <v>-2.070228183635181E-2</v>
      </c>
      <c r="I502" s="5">
        <f t="shared" si="15"/>
        <v>-0.21394721036328623</v>
      </c>
      <c r="J502" s="5">
        <v>-0.21394721036328621</v>
      </c>
      <c r="K502" s="5">
        <v>4.37375745526839E-2</v>
      </c>
      <c r="L502" s="5">
        <v>5.9642147117296221E-3</v>
      </c>
      <c r="M502" s="3" t="s">
        <v>47</v>
      </c>
    </row>
    <row r="503" spans="1:13">
      <c r="A503" s="3" t="s">
        <v>1075</v>
      </c>
      <c r="B503" s="3" t="s">
        <v>1076</v>
      </c>
      <c r="C503" s="3" t="s">
        <v>251</v>
      </c>
      <c r="D503" s="3" t="s">
        <v>251</v>
      </c>
      <c r="E503" s="8">
        <v>73.44</v>
      </c>
      <c r="F503" s="8">
        <v>58.8</v>
      </c>
      <c r="G503" s="8">
        <v>54.990001678466797</v>
      </c>
      <c r="H503" s="5">
        <f t="shared" si="14"/>
        <v>-6.4795889821993247E-2</v>
      </c>
      <c r="I503" s="5">
        <f t="shared" si="15"/>
        <v>-0.25122546734113838</v>
      </c>
      <c r="J503" s="5">
        <v>-0.27814923776410799</v>
      </c>
      <c r="K503" s="5">
        <v>5.9642147117296221E-3</v>
      </c>
      <c r="L503" s="5">
        <v>3.9761431411530811E-3</v>
      </c>
      <c r="M503" s="3" t="s">
        <v>47</v>
      </c>
    </row>
    <row r="504" spans="1:13">
      <c r="A504" s="3" t="s">
        <v>1077</v>
      </c>
      <c r="B504" s="3" t="s">
        <v>1078</v>
      </c>
      <c r="C504" s="3" t="s">
        <v>251</v>
      </c>
      <c r="D504" s="3" t="s">
        <v>251</v>
      </c>
      <c r="E504" s="8">
        <v>17.649999999999999</v>
      </c>
      <c r="F504" s="8">
        <v>14.06</v>
      </c>
      <c r="G504" s="8">
        <v>12.914999961853029</v>
      </c>
      <c r="H504" s="5">
        <f t="shared" si="14"/>
        <v>-8.1436702570908293E-2</v>
      </c>
      <c r="I504" s="5">
        <f t="shared" si="15"/>
        <v>-0.26827195683552241</v>
      </c>
      <c r="J504" s="5">
        <v>-0.29656862952870211</v>
      </c>
      <c r="K504" s="5">
        <v>1.988071570576541E-3</v>
      </c>
      <c r="L504" s="5">
        <v>1.988071570576541E-3</v>
      </c>
      <c r="M504" s="3" t="s">
        <v>47</v>
      </c>
    </row>
  </sheetData>
  <autoFilter ref="A1:M50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3" width="29.7109375" customWidth="1"/>
    <col min="4" max="8" width="14.7109375" customWidth="1"/>
    <col min="9" max="9" width="20.7109375" customWidth="1"/>
  </cols>
  <sheetData>
    <row r="1" spans="1:9">
      <c r="A1" s="2" t="s">
        <v>1079</v>
      </c>
      <c r="B1" s="2" t="s">
        <v>25</v>
      </c>
      <c r="C1" s="2" t="s">
        <v>26</v>
      </c>
      <c r="D1" s="2" t="s">
        <v>1080</v>
      </c>
      <c r="E1" s="2" t="s">
        <v>1081</v>
      </c>
      <c r="F1" s="2" t="s">
        <v>1082</v>
      </c>
      <c r="G1" s="2" t="s">
        <v>1083</v>
      </c>
      <c r="H1" s="2" t="s">
        <v>1084</v>
      </c>
      <c r="I1" s="2" t="s">
        <v>37</v>
      </c>
    </row>
    <row r="2" spans="1:9">
      <c r="A2" s="3" t="s">
        <v>1085</v>
      </c>
      <c r="B2" s="3" t="s">
        <v>296</v>
      </c>
      <c r="C2" s="3" t="s">
        <v>297</v>
      </c>
      <c r="D2" s="5">
        <v>6.0742918969962423E-2</v>
      </c>
      <c r="E2" s="5">
        <v>1.705258296201739E-2</v>
      </c>
      <c r="F2" s="5">
        <v>-5.7689828541962029E-2</v>
      </c>
      <c r="G2" s="5">
        <v>1</v>
      </c>
      <c r="H2" s="5">
        <v>0.77534791252485091</v>
      </c>
      <c r="I2" s="3" t="s">
        <v>47</v>
      </c>
    </row>
    <row r="3" spans="1:9">
      <c r="A3" s="3" t="s">
        <v>1085</v>
      </c>
      <c r="B3" s="3" t="s">
        <v>352</v>
      </c>
      <c r="C3" s="3" t="s">
        <v>353</v>
      </c>
      <c r="D3" s="5">
        <v>6.0080211774437897E-2</v>
      </c>
      <c r="E3" s="5">
        <v>1.067827981711611E-2</v>
      </c>
      <c r="F3" s="5">
        <v>-0.1096337334564481</v>
      </c>
      <c r="G3" s="5">
        <v>0.99801192842942343</v>
      </c>
      <c r="H3" s="5">
        <v>0.72166998011928429</v>
      </c>
      <c r="I3" s="3" t="s">
        <v>47</v>
      </c>
    </row>
    <row r="4" spans="1:9">
      <c r="A4" s="3" t="s">
        <v>1085</v>
      </c>
      <c r="B4" s="3" t="s">
        <v>198</v>
      </c>
      <c r="C4" s="3" t="s">
        <v>199</v>
      </c>
      <c r="D4" s="5">
        <v>4.865750543548808E-2</v>
      </c>
      <c r="E4" s="5">
        <v>3.2272231913058391E-2</v>
      </c>
      <c r="F4" s="5">
        <v>-4.0595794392523372E-2</v>
      </c>
      <c r="G4" s="5">
        <v>0.99602385685884687</v>
      </c>
      <c r="H4" s="5">
        <v>0.87077534791252487</v>
      </c>
      <c r="I4" s="3" t="s">
        <v>47</v>
      </c>
    </row>
    <row r="5" spans="1:9">
      <c r="A5" s="3" t="s">
        <v>1085</v>
      </c>
      <c r="B5" s="3" t="s">
        <v>169</v>
      </c>
      <c r="C5" s="3" t="s">
        <v>170</v>
      </c>
      <c r="D5" s="5">
        <v>4.7393383008043521E-2</v>
      </c>
      <c r="E5" s="5">
        <v>4.245284818253392E-2</v>
      </c>
      <c r="F5" s="5">
        <v>-3.2997250229147568E-2</v>
      </c>
      <c r="G5" s="5">
        <v>0.99403578528827041</v>
      </c>
      <c r="H5" s="5">
        <v>0.89860834990059646</v>
      </c>
      <c r="I5" s="3" t="s">
        <v>47</v>
      </c>
    </row>
    <row r="6" spans="1:9">
      <c r="A6" s="3" t="s">
        <v>1085</v>
      </c>
      <c r="B6" s="3" t="s">
        <v>318</v>
      </c>
      <c r="C6" s="3" t="s">
        <v>319</v>
      </c>
      <c r="D6" s="5">
        <v>4.4964671415441249E-2</v>
      </c>
      <c r="E6" s="5">
        <v>1.4992538799137201E-2</v>
      </c>
      <c r="F6" s="5">
        <v>-0.1000719942404608</v>
      </c>
      <c r="G6" s="5">
        <v>0.99204771371769385</v>
      </c>
      <c r="H6" s="5">
        <v>0.75347912524850891</v>
      </c>
      <c r="I6" s="3" t="s">
        <v>47</v>
      </c>
    </row>
    <row r="7" spans="1:9">
      <c r="A7" s="3" t="s">
        <v>1085</v>
      </c>
      <c r="B7" s="3" t="s">
        <v>877</v>
      </c>
      <c r="C7" s="3" t="s">
        <v>878</v>
      </c>
      <c r="D7" s="5">
        <v>4.3008671063920589E-2</v>
      </c>
      <c r="E7" s="5">
        <v>-5.7436541255674538E-2</v>
      </c>
      <c r="F7" s="5">
        <v>-0.1088493314027766</v>
      </c>
      <c r="G7" s="5">
        <v>0.99005964214711728</v>
      </c>
      <c r="H7" s="5">
        <v>0.19880715705765409</v>
      </c>
      <c r="I7" s="3" t="s">
        <v>879</v>
      </c>
    </row>
    <row r="8" spans="1:9">
      <c r="A8" s="3" t="s">
        <v>1085</v>
      </c>
      <c r="B8" s="3" t="s">
        <v>749</v>
      </c>
      <c r="C8" s="3" t="s">
        <v>750</v>
      </c>
      <c r="D8" s="5">
        <v>4.2236509095752613E-2</v>
      </c>
      <c r="E8" s="5">
        <v>-3.4637341704046198E-2</v>
      </c>
      <c r="F8" s="5">
        <v>-0.1015581212868512</v>
      </c>
      <c r="G8" s="5">
        <v>0.98807157057654071</v>
      </c>
      <c r="H8" s="5">
        <v>0.32604373757455268</v>
      </c>
      <c r="I8" s="3" t="s">
        <v>283</v>
      </c>
    </row>
    <row r="9" spans="1:9">
      <c r="A9" s="3" t="s">
        <v>1085</v>
      </c>
      <c r="B9" s="3" t="s">
        <v>119</v>
      </c>
      <c r="C9" s="3" t="s">
        <v>120</v>
      </c>
      <c r="D9" s="5">
        <v>4.0625426560363831E-2</v>
      </c>
      <c r="E9" s="5">
        <v>5.449983162423977E-2</v>
      </c>
      <c r="F9" s="5">
        <v>-5.1989091381325458E-2</v>
      </c>
      <c r="G9" s="5">
        <v>0.98608349900596426</v>
      </c>
      <c r="H9" s="5">
        <v>0.94234592445328036</v>
      </c>
      <c r="I9" s="3" t="s">
        <v>47</v>
      </c>
    </row>
    <row r="10" spans="1:9">
      <c r="A10" s="3" t="s">
        <v>1085</v>
      </c>
      <c r="B10" s="3" t="s">
        <v>182</v>
      </c>
      <c r="C10" s="3" t="s">
        <v>183</v>
      </c>
      <c r="D10" s="5">
        <v>3.9206200965280491E-2</v>
      </c>
      <c r="E10" s="5">
        <v>3.8633003943236773E-2</v>
      </c>
      <c r="F10" s="5">
        <v>-4.6232125625054743E-2</v>
      </c>
      <c r="G10" s="5">
        <v>0.98409542743538769</v>
      </c>
      <c r="H10" s="5">
        <v>0.88667992047713717</v>
      </c>
      <c r="I10" s="3" t="s">
        <v>47</v>
      </c>
    </row>
    <row r="11" spans="1:9">
      <c r="A11" s="3" t="s">
        <v>1085</v>
      </c>
      <c r="B11" s="3" t="s">
        <v>48</v>
      </c>
      <c r="C11" s="3" t="s">
        <v>49</v>
      </c>
      <c r="D11" s="5">
        <v>3.8135608614597638E-2</v>
      </c>
      <c r="E11" s="5">
        <v>0.15721999016957849</v>
      </c>
      <c r="F11" s="5">
        <v>-3.3183121671446103E-2</v>
      </c>
      <c r="G11" s="5">
        <v>0.98210735586481113</v>
      </c>
      <c r="H11" s="5">
        <v>0.99602385685884687</v>
      </c>
      <c r="I11" s="3" t="s">
        <v>47</v>
      </c>
    </row>
    <row r="12" spans="1:9">
      <c r="A12" s="3" t="s">
        <v>1086</v>
      </c>
      <c r="B12" s="3" t="s">
        <v>1077</v>
      </c>
      <c r="C12" s="3" t="s">
        <v>1078</v>
      </c>
      <c r="D12" s="5">
        <v>-8.1436702570908293E-2</v>
      </c>
      <c r="E12" s="5">
        <v>-0.26827195683552241</v>
      </c>
      <c r="F12" s="5">
        <v>-0.29656862952870211</v>
      </c>
      <c r="G12" s="5">
        <v>1.988071570576541E-3</v>
      </c>
      <c r="H12" s="5">
        <v>1.988071570576541E-3</v>
      </c>
      <c r="I12" s="3" t="s">
        <v>47</v>
      </c>
    </row>
    <row r="13" spans="1:9">
      <c r="A13" s="3" t="s">
        <v>1086</v>
      </c>
      <c r="B13" s="3" t="s">
        <v>957</v>
      </c>
      <c r="C13" s="3" t="s">
        <v>958</v>
      </c>
      <c r="D13" s="5">
        <v>-7.884777667176146E-2</v>
      </c>
      <c r="E13" s="5">
        <v>-7.2881897529125328E-2</v>
      </c>
      <c r="F13" s="5">
        <v>-0.12879715673260581</v>
      </c>
      <c r="G13" s="5">
        <v>3.9761431411530811E-3</v>
      </c>
      <c r="H13" s="5">
        <v>0.12127236580516899</v>
      </c>
      <c r="I13" s="3" t="s">
        <v>47</v>
      </c>
    </row>
    <row r="14" spans="1:9">
      <c r="A14" s="3" t="s">
        <v>1086</v>
      </c>
      <c r="B14" s="3" t="s">
        <v>1075</v>
      </c>
      <c r="C14" s="3" t="s">
        <v>1076</v>
      </c>
      <c r="D14" s="5">
        <v>-6.4795889821993247E-2</v>
      </c>
      <c r="E14" s="5">
        <v>-0.25122546734113838</v>
      </c>
      <c r="F14" s="5">
        <v>-0.27814923776410799</v>
      </c>
      <c r="G14" s="5">
        <v>5.9642147117296221E-3</v>
      </c>
      <c r="H14" s="5">
        <v>3.9761431411530811E-3</v>
      </c>
      <c r="I14" s="3" t="s">
        <v>47</v>
      </c>
    </row>
    <row r="15" spans="1:9">
      <c r="A15" s="3" t="s">
        <v>1086</v>
      </c>
      <c r="B15" s="3" t="s">
        <v>660</v>
      </c>
      <c r="C15" s="3" t="s">
        <v>661</v>
      </c>
      <c r="D15" s="5">
        <v>-4.8910654084106768E-2</v>
      </c>
      <c r="E15" s="5">
        <v>-2.3231947501641041E-2</v>
      </c>
      <c r="F15" s="5">
        <v>-8.1875763938257795E-2</v>
      </c>
      <c r="G15" s="5">
        <v>7.9522862823061622E-3</v>
      </c>
      <c r="H15" s="5">
        <v>0.41550695825049699</v>
      </c>
      <c r="I15" s="3" t="s">
        <v>47</v>
      </c>
    </row>
    <row r="16" spans="1:9">
      <c r="A16" s="3" t="s">
        <v>1086</v>
      </c>
      <c r="B16" s="3" t="s">
        <v>1009</v>
      </c>
      <c r="C16" s="3" t="s">
        <v>1010</v>
      </c>
      <c r="D16" s="5">
        <v>-4.6417097264822238E-2</v>
      </c>
      <c r="E16" s="5">
        <v>-8.5945542359360361E-2</v>
      </c>
      <c r="F16" s="5">
        <v>-0.121351842307487</v>
      </c>
      <c r="G16" s="5">
        <v>9.9403578528827041E-3</v>
      </c>
      <c r="H16" s="5">
        <v>6.9582504970178927E-2</v>
      </c>
      <c r="I16" s="3" t="s">
        <v>47</v>
      </c>
    </row>
    <row r="17" spans="1:9">
      <c r="A17" s="3" t="s">
        <v>1086</v>
      </c>
      <c r="B17" s="3" t="s">
        <v>281</v>
      </c>
      <c r="C17" s="3" t="s">
        <v>282</v>
      </c>
      <c r="D17" s="5">
        <v>-4.4032147191539472E-2</v>
      </c>
      <c r="E17" s="5">
        <v>1.9689560598698641E-2</v>
      </c>
      <c r="F17" s="5">
        <v>-0.1099566835345646</v>
      </c>
      <c r="G17" s="5">
        <v>1.1928429423459241E-2</v>
      </c>
      <c r="H17" s="5">
        <v>0.78926441351888665</v>
      </c>
      <c r="I17" s="3" t="s">
        <v>283</v>
      </c>
    </row>
    <row r="18" spans="1:9">
      <c r="A18" s="3" t="s">
        <v>1086</v>
      </c>
      <c r="B18" s="3" t="s">
        <v>328</v>
      </c>
      <c r="C18" s="3" t="s">
        <v>329</v>
      </c>
      <c r="D18" s="5">
        <v>-4.2910109488434323E-2</v>
      </c>
      <c r="E18" s="5">
        <v>1.3444545497526489E-2</v>
      </c>
      <c r="F18" s="5">
        <v>-0.1034552680906534</v>
      </c>
      <c r="G18" s="5">
        <v>1.3916500994035789E-2</v>
      </c>
      <c r="H18" s="5">
        <v>0.74353876739562619</v>
      </c>
      <c r="I18" s="3" t="s">
        <v>283</v>
      </c>
    </row>
    <row r="19" spans="1:9">
      <c r="A19" s="3" t="s">
        <v>1086</v>
      </c>
      <c r="B19" s="3" t="s">
        <v>1071</v>
      </c>
      <c r="C19" s="3" t="s">
        <v>1072</v>
      </c>
      <c r="D19" s="5">
        <v>-3.7985326621446817E-2</v>
      </c>
      <c r="E19" s="5">
        <v>-0.14892760831454629</v>
      </c>
      <c r="F19" s="5">
        <v>-0.2354627824291777</v>
      </c>
      <c r="G19" s="5">
        <v>1.5904572564612321E-2</v>
      </c>
      <c r="H19" s="5">
        <v>7.9522862823061622E-3</v>
      </c>
      <c r="I19" s="3" t="s">
        <v>47</v>
      </c>
    </row>
    <row r="20" spans="1:9">
      <c r="A20" s="3" t="s">
        <v>1086</v>
      </c>
      <c r="B20" s="3" t="s">
        <v>985</v>
      </c>
      <c r="C20" s="3" t="s">
        <v>986</v>
      </c>
      <c r="D20" s="5">
        <v>-3.376925041285328E-2</v>
      </c>
      <c r="E20" s="5">
        <v>-8.0855746513983418E-2</v>
      </c>
      <c r="F20" s="5">
        <v>-8.0855746513983418E-2</v>
      </c>
      <c r="G20" s="5">
        <v>1.789264413518887E-2</v>
      </c>
      <c r="H20" s="5">
        <v>9.3439363817097415E-2</v>
      </c>
      <c r="I20" s="3" t="s">
        <v>47</v>
      </c>
    </row>
    <row r="21" spans="1:9">
      <c r="A21" s="3" t="s">
        <v>1086</v>
      </c>
      <c r="B21" s="3" t="s">
        <v>348</v>
      </c>
      <c r="C21" s="3" t="s">
        <v>349</v>
      </c>
      <c r="D21" s="5">
        <v>-3.3368056070893548E-2</v>
      </c>
      <c r="E21" s="5">
        <v>1.086260324501143E-2</v>
      </c>
      <c r="F21" s="5">
        <v>-3.3368056070893548E-2</v>
      </c>
      <c r="G21" s="5">
        <v>1.9880715705765412E-2</v>
      </c>
      <c r="H21" s="5">
        <v>0.72564612326043743</v>
      </c>
      <c r="I21" s="3" t="s">
        <v>283</v>
      </c>
    </row>
    <row r="22" spans="1:9">
      <c r="A22" s="3" t="s">
        <v>1087</v>
      </c>
      <c r="B22" s="3" t="s">
        <v>38</v>
      </c>
      <c r="C22" s="3" t="s">
        <v>39</v>
      </c>
      <c r="D22" s="5">
        <v>-9.8989086986898123E-3</v>
      </c>
      <c r="E22" s="5">
        <v>0.24001646210772559</v>
      </c>
      <c r="F22" s="5">
        <v>-1.6971841086197759E-2</v>
      </c>
      <c r="G22" s="5">
        <v>0.1172962226640159</v>
      </c>
      <c r="H22" s="5">
        <v>1</v>
      </c>
      <c r="I22" s="3" t="s">
        <v>42</v>
      </c>
    </row>
    <row r="23" spans="1:9">
      <c r="A23" s="3" t="s">
        <v>1087</v>
      </c>
      <c r="B23" s="3" t="s">
        <v>43</v>
      </c>
      <c r="C23" s="3" t="s">
        <v>44</v>
      </c>
      <c r="D23" s="5">
        <v>1.390365114890235E-2</v>
      </c>
      <c r="E23" s="5">
        <v>0.1805796814989753</v>
      </c>
      <c r="F23" s="5">
        <v>-4.0053034040453912E-2</v>
      </c>
      <c r="G23" s="5">
        <v>0.73161033797216701</v>
      </c>
      <c r="H23" s="5">
        <v>0.99801192842942343</v>
      </c>
      <c r="I23" s="3" t="s">
        <v>47</v>
      </c>
    </row>
    <row r="24" spans="1:9">
      <c r="A24" s="3" t="s">
        <v>1087</v>
      </c>
      <c r="B24" s="3" t="s">
        <v>48</v>
      </c>
      <c r="C24" s="3" t="s">
        <v>49</v>
      </c>
      <c r="D24" s="5">
        <v>3.8135608614597638E-2</v>
      </c>
      <c r="E24" s="5">
        <v>0.15721999016957849</v>
      </c>
      <c r="F24" s="5">
        <v>-3.3183121671446103E-2</v>
      </c>
      <c r="G24" s="5">
        <v>0.98210735586481113</v>
      </c>
      <c r="H24" s="5">
        <v>0.99602385685884687</v>
      </c>
      <c r="I24" s="3" t="s">
        <v>47</v>
      </c>
    </row>
    <row r="25" spans="1:9">
      <c r="A25" s="3" t="s">
        <v>1087</v>
      </c>
      <c r="B25" s="3" t="s">
        <v>51</v>
      </c>
      <c r="C25" s="3" t="s">
        <v>52</v>
      </c>
      <c r="D25" s="5">
        <v>1.5191767419685981E-2</v>
      </c>
      <c r="E25" s="5">
        <v>0.1566123648303597</v>
      </c>
      <c r="F25" s="5">
        <v>-3.009259259259256E-2</v>
      </c>
      <c r="G25" s="5">
        <v>0.75546719681908547</v>
      </c>
      <c r="H25" s="5">
        <v>0.99403578528827041</v>
      </c>
      <c r="I25" s="3" t="s">
        <v>47</v>
      </c>
    </row>
    <row r="26" spans="1:9">
      <c r="A26" s="3" t="s">
        <v>1087</v>
      </c>
      <c r="B26" s="3" t="s">
        <v>53</v>
      </c>
      <c r="C26" s="3" t="s">
        <v>54</v>
      </c>
      <c r="D26" s="5">
        <v>2.61027771921396E-2</v>
      </c>
      <c r="E26" s="5">
        <v>0.1457298796368387</v>
      </c>
      <c r="F26" s="5">
        <v>-7.8266104756169463E-3</v>
      </c>
      <c r="G26" s="5">
        <v>0.91451292246520877</v>
      </c>
      <c r="H26" s="5">
        <v>0.99204771371769385</v>
      </c>
      <c r="I26" s="3" t="s">
        <v>47</v>
      </c>
    </row>
    <row r="27" spans="1:9">
      <c r="A27" s="3" t="s">
        <v>1087</v>
      </c>
      <c r="B27" s="3" t="s">
        <v>55</v>
      </c>
      <c r="C27" s="3" t="s">
        <v>56</v>
      </c>
      <c r="D27" s="5">
        <v>3.1858219969466577E-2</v>
      </c>
      <c r="E27" s="5">
        <v>0.1167051884320454</v>
      </c>
      <c r="F27" s="5">
        <v>-2.1041557075223701E-2</v>
      </c>
      <c r="G27" s="5">
        <v>0.96421471172962225</v>
      </c>
      <c r="H27" s="5">
        <v>0.99005964214711728</v>
      </c>
      <c r="I27" s="3" t="s">
        <v>47</v>
      </c>
    </row>
    <row r="28" spans="1:9">
      <c r="A28" s="3" t="s">
        <v>1087</v>
      </c>
      <c r="B28" s="3" t="s">
        <v>59</v>
      </c>
      <c r="C28" s="3" t="s">
        <v>60</v>
      </c>
      <c r="D28" s="5">
        <v>-5.7297810328837961E-4</v>
      </c>
      <c r="E28" s="5">
        <v>0.1118326985028637</v>
      </c>
      <c r="F28" s="5">
        <v>-2.4262948207171339E-2</v>
      </c>
      <c r="G28" s="5">
        <v>0.35387673956262428</v>
      </c>
      <c r="H28" s="5">
        <v>0.98807157057654071</v>
      </c>
      <c r="I28" s="3" t="s">
        <v>63</v>
      </c>
    </row>
    <row r="29" spans="1:9">
      <c r="A29" s="3" t="s">
        <v>1087</v>
      </c>
      <c r="B29" s="3" t="s">
        <v>64</v>
      </c>
      <c r="C29" s="3" t="s">
        <v>65</v>
      </c>
      <c r="D29" s="5">
        <v>1.6488986996950009E-2</v>
      </c>
      <c r="E29" s="5">
        <v>0.1080246691956588</v>
      </c>
      <c r="F29" s="5">
        <v>-3.2237266279819488E-2</v>
      </c>
      <c r="G29" s="5">
        <v>0.7813121272365805</v>
      </c>
      <c r="H29" s="5">
        <v>0.98608349900596426</v>
      </c>
      <c r="I29" s="3" t="s">
        <v>47</v>
      </c>
    </row>
    <row r="30" spans="1:9">
      <c r="A30" s="3" t="s">
        <v>1087</v>
      </c>
      <c r="B30" s="3" t="s">
        <v>66</v>
      </c>
      <c r="C30" s="3" t="s">
        <v>67</v>
      </c>
      <c r="D30" s="5">
        <v>9.7138689742908291E-3</v>
      </c>
      <c r="E30" s="5">
        <v>0.10612240894195279</v>
      </c>
      <c r="F30" s="5">
        <v>-3.453551912568309E-2</v>
      </c>
      <c r="G30" s="5">
        <v>0.63220675944333993</v>
      </c>
      <c r="H30" s="5">
        <v>0.98409542743538769</v>
      </c>
      <c r="I30" s="3" t="s">
        <v>47</v>
      </c>
    </row>
    <row r="31" spans="1:9">
      <c r="A31" s="3" t="s">
        <v>1087</v>
      </c>
      <c r="B31" s="3" t="s">
        <v>69</v>
      </c>
      <c r="C31" s="3" t="s">
        <v>70</v>
      </c>
      <c r="D31" s="5">
        <v>2.1157346616193621E-2</v>
      </c>
      <c r="E31" s="5">
        <v>0.103685882303876</v>
      </c>
      <c r="F31" s="5">
        <v>-7.6545632973503364E-2</v>
      </c>
      <c r="G31" s="5">
        <v>0.84691848906560641</v>
      </c>
      <c r="H31" s="5">
        <v>0.98210735586481113</v>
      </c>
      <c r="I31" s="3" t="s">
        <v>47</v>
      </c>
    </row>
    <row r="32" spans="1:9">
      <c r="A32" s="3" t="s">
        <v>1088</v>
      </c>
      <c r="B32" s="3" t="s">
        <v>1077</v>
      </c>
      <c r="C32" s="3" t="s">
        <v>1078</v>
      </c>
      <c r="D32" s="5">
        <v>-8.1436702570908293E-2</v>
      </c>
      <c r="E32" s="5">
        <v>-0.26827195683552241</v>
      </c>
      <c r="F32" s="5">
        <v>-0.29656862952870211</v>
      </c>
      <c r="G32" s="5">
        <v>1.988071570576541E-3</v>
      </c>
      <c r="H32" s="5">
        <v>1.988071570576541E-3</v>
      </c>
      <c r="I32" s="3" t="s">
        <v>47</v>
      </c>
    </row>
    <row r="33" spans="1:9">
      <c r="A33" s="3" t="s">
        <v>1088</v>
      </c>
      <c r="B33" s="3" t="s">
        <v>1075</v>
      </c>
      <c r="C33" s="3" t="s">
        <v>1076</v>
      </c>
      <c r="D33" s="5">
        <v>-6.4795889821993247E-2</v>
      </c>
      <c r="E33" s="5">
        <v>-0.25122546734113838</v>
      </c>
      <c r="F33" s="5">
        <v>-0.27814923776410799</v>
      </c>
      <c r="G33" s="5">
        <v>5.9642147117296221E-3</v>
      </c>
      <c r="H33" s="5">
        <v>3.9761431411530811E-3</v>
      </c>
      <c r="I33" s="3" t="s">
        <v>47</v>
      </c>
    </row>
    <row r="34" spans="1:9">
      <c r="A34" s="3" t="s">
        <v>1088</v>
      </c>
      <c r="B34" s="3" t="s">
        <v>1073</v>
      </c>
      <c r="C34" s="3" t="s">
        <v>1074</v>
      </c>
      <c r="D34" s="5">
        <v>-2.070228183635181E-2</v>
      </c>
      <c r="E34" s="5">
        <v>-0.21394721036328621</v>
      </c>
      <c r="F34" s="5">
        <v>-0.21394721036328621</v>
      </c>
      <c r="G34" s="5">
        <v>4.37375745526839E-2</v>
      </c>
      <c r="H34" s="5">
        <v>5.9642147117296221E-3</v>
      </c>
      <c r="I34" s="3" t="s">
        <v>47</v>
      </c>
    </row>
    <row r="35" spans="1:9">
      <c r="A35" s="3" t="s">
        <v>1088</v>
      </c>
      <c r="B35" s="3" t="s">
        <v>1071</v>
      </c>
      <c r="C35" s="3" t="s">
        <v>1072</v>
      </c>
      <c r="D35" s="5">
        <v>-3.7985326621446817E-2</v>
      </c>
      <c r="E35" s="5">
        <v>-0.14892760831454629</v>
      </c>
      <c r="F35" s="5">
        <v>-0.2354627824291777</v>
      </c>
      <c r="G35" s="5">
        <v>1.5904572564612321E-2</v>
      </c>
      <c r="H35" s="5">
        <v>7.9522862823061622E-3</v>
      </c>
      <c r="I35" s="3" t="s">
        <v>47</v>
      </c>
    </row>
    <row r="36" spans="1:9">
      <c r="A36" s="3" t="s">
        <v>1088</v>
      </c>
      <c r="B36" s="3" t="s">
        <v>1069</v>
      </c>
      <c r="C36" s="3" t="s">
        <v>1070</v>
      </c>
      <c r="D36" s="5">
        <v>1.708718595188508E-3</v>
      </c>
      <c r="E36" s="5">
        <v>-0.1379441405647783</v>
      </c>
      <c r="F36" s="5">
        <v>-0.13941463877425181</v>
      </c>
      <c r="G36" s="5">
        <v>0.41351888667992048</v>
      </c>
      <c r="H36" s="5">
        <v>9.9403578528827041E-3</v>
      </c>
      <c r="I36" s="3" t="s">
        <v>63</v>
      </c>
    </row>
    <row r="37" spans="1:9">
      <c r="A37" s="3" t="s">
        <v>1088</v>
      </c>
      <c r="B37" s="3" t="s">
        <v>1067</v>
      </c>
      <c r="C37" s="3" t="s">
        <v>1068</v>
      </c>
      <c r="D37" s="5">
        <v>-2.5714170219406359E-2</v>
      </c>
      <c r="E37" s="5">
        <v>-0.13608970486138541</v>
      </c>
      <c r="F37" s="5">
        <v>-0.18337916526218431</v>
      </c>
      <c r="G37" s="5">
        <v>2.982107355864811E-2</v>
      </c>
      <c r="H37" s="5">
        <v>1.1928429423459241E-2</v>
      </c>
      <c r="I37" s="3" t="s">
        <v>47</v>
      </c>
    </row>
    <row r="38" spans="1:9">
      <c r="A38" s="3" t="s">
        <v>1088</v>
      </c>
      <c r="B38" s="3" t="s">
        <v>1065</v>
      </c>
      <c r="C38" s="3" t="s">
        <v>1066</v>
      </c>
      <c r="D38" s="5">
        <v>-2.5726424226143241E-2</v>
      </c>
      <c r="E38" s="5">
        <v>-0.1211855769930313</v>
      </c>
      <c r="F38" s="5">
        <v>-0.1311041319738786</v>
      </c>
      <c r="G38" s="5">
        <v>2.7833001988071569E-2</v>
      </c>
      <c r="H38" s="5">
        <v>1.3916500994035789E-2</v>
      </c>
      <c r="I38" s="3" t="s">
        <v>47</v>
      </c>
    </row>
    <row r="39" spans="1:9">
      <c r="A39" s="3" t="s">
        <v>1088</v>
      </c>
      <c r="B39" s="3" t="s">
        <v>1063</v>
      </c>
      <c r="C39" s="3" t="s">
        <v>1064</v>
      </c>
      <c r="D39" s="5">
        <v>2.88167909811472E-2</v>
      </c>
      <c r="E39" s="5">
        <v>-0.1198367371851085</v>
      </c>
      <c r="F39" s="5">
        <v>-0.158908507223114</v>
      </c>
      <c r="G39" s="5">
        <v>0.94831013916500995</v>
      </c>
      <c r="H39" s="5">
        <v>1.5904572564612321E-2</v>
      </c>
      <c r="I39" s="3" t="s">
        <v>879</v>
      </c>
    </row>
    <row r="40" spans="1:9">
      <c r="A40" s="3" t="s">
        <v>1088</v>
      </c>
      <c r="B40" s="3" t="s">
        <v>1061</v>
      </c>
      <c r="C40" s="3" t="s">
        <v>1062</v>
      </c>
      <c r="D40" s="5">
        <v>1.831499644384427E-2</v>
      </c>
      <c r="E40" s="5">
        <v>-0.1186767935670713</v>
      </c>
      <c r="F40" s="5">
        <v>-0.13452791178497581</v>
      </c>
      <c r="G40" s="5">
        <v>0.80914512922465209</v>
      </c>
      <c r="H40" s="5">
        <v>1.789264413518887E-2</v>
      </c>
      <c r="I40" s="3" t="s">
        <v>879</v>
      </c>
    </row>
    <row r="41" spans="1:9">
      <c r="A41" s="3" t="s">
        <v>1088</v>
      </c>
      <c r="B41" s="3" t="s">
        <v>1059</v>
      </c>
      <c r="C41" s="3" t="s">
        <v>1060</v>
      </c>
      <c r="D41" s="5">
        <v>-1.0184437923468129E-2</v>
      </c>
      <c r="E41" s="5">
        <v>-0.11854806597836311</v>
      </c>
      <c r="F41" s="5">
        <v>-0.1186191207280877</v>
      </c>
      <c r="G41" s="5">
        <v>0.1113320079522863</v>
      </c>
      <c r="H41" s="5">
        <v>1.9880715705765412E-2</v>
      </c>
      <c r="I41" s="3" t="s">
        <v>47</v>
      </c>
    </row>
  </sheetData>
  <autoFilter ref="A1:I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31.7109375" customWidth="1"/>
    <col min="3" max="4" width="25.7109375" customWidth="1"/>
    <col min="5" max="7" width="14.7109375" customWidth="1"/>
    <col min="8" max="12" width="13.7109375" customWidth="1"/>
    <col min="13" max="13" width="18.7109375" customWidth="1"/>
  </cols>
  <sheetData>
    <row r="1" spans="1:13" ht="24.7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</row>
    <row r="2" spans="1:13">
      <c r="A2" s="3" t="s">
        <v>1089</v>
      </c>
      <c r="B2" s="3" t="s">
        <v>1090</v>
      </c>
      <c r="C2" s="3" t="s">
        <v>80</v>
      </c>
      <c r="D2" s="3" t="s">
        <v>81</v>
      </c>
      <c r="E2" s="8">
        <v>15.15</v>
      </c>
      <c r="F2" s="8">
        <v>16.98</v>
      </c>
      <c r="G2" s="8">
        <v>20.379999160766602</v>
      </c>
      <c r="H2" s="5">
        <f t="shared" ref="H2:H65" si="0">IFERROR(G2/F2-1,"")</f>
        <v>0.20023552183548898</v>
      </c>
      <c r="I2" s="5">
        <f t="shared" ref="I2:I65" si="1">IFERROR(G2/E2-1,"")</f>
        <v>0.34521446605720141</v>
      </c>
      <c r="J2" s="5">
        <v>-8.3278688524590083E-2</v>
      </c>
      <c r="K2" s="5">
        <v>1</v>
      </c>
      <c r="L2" s="5">
        <v>1</v>
      </c>
      <c r="M2" s="3" t="s">
        <v>47</v>
      </c>
    </row>
    <row r="3" spans="1:13">
      <c r="A3" s="3" t="s">
        <v>1091</v>
      </c>
      <c r="B3" s="3" t="s">
        <v>1092</v>
      </c>
      <c r="C3" s="3" t="s">
        <v>50</v>
      </c>
      <c r="D3" s="3" t="s">
        <v>50</v>
      </c>
      <c r="E3" s="8">
        <v>30.61</v>
      </c>
      <c r="F3" s="8">
        <v>37.85</v>
      </c>
      <c r="G3" s="8">
        <v>36.889999389648438</v>
      </c>
      <c r="H3" s="5">
        <f t="shared" si="0"/>
        <v>-2.536329221536493E-2</v>
      </c>
      <c r="I3" s="5">
        <f t="shared" si="1"/>
        <v>0.20516169191925648</v>
      </c>
      <c r="J3" s="5">
        <v>-6.9095816464237347E-2</v>
      </c>
      <c r="K3" s="5">
        <v>0.12333333333333329</v>
      </c>
      <c r="L3" s="5">
        <v>0.9966666666666667</v>
      </c>
      <c r="M3" s="3" t="s">
        <v>42</v>
      </c>
    </row>
    <row r="4" spans="1:13">
      <c r="A4" s="3" t="s">
        <v>1093</v>
      </c>
      <c r="B4" s="3" t="s">
        <v>1094</v>
      </c>
      <c r="C4" s="3" t="s">
        <v>71</v>
      </c>
      <c r="D4" s="3" t="s">
        <v>146</v>
      </c>
      <c r="E4" s="8">
        <v>6.91</v>
      </c>
      <c r="F4" s="8">
        <v>7.45</v>
      </c>
      <c r="G4" s="8">
        <v>7.9099998474121094</v>
      </c>
      <c r="H4" s="5">
        <f t="shared" si="0"/>
        <v>6.1744945961357045E-2</v>
      </c>
      <c r="I4" s="5">
        <f t="shared" si="1"/>
        <v>0.14471777820725173</v>
      </c>
      <c r="J4" s="5">
        <v>-1.381215469613262E-2</v>
      </c>
      <c r="K4" s="5">
        <v>0.99333333333333329</v>
      </c>
      <c r="L4" s="5">
        <v>0.99333333333333329</v>
      </c>
      <c r="M4" s="3" t="s">
        <v>47</v>
      </c>
    </row>
    <row r="5" spans="1:13">
      <c r="A5" s="3" t="s">
        <v>1095</v>
      </c>
      <c r="B5" s="3" t="s">
        <v>1096</v>
      </c>
      <c r="C5" s="3" t="s">
        <v>45</v>
      </c>
      <c r="D5" s="3" t="s">
        <v>46</v>
      </c>
      <c r="E5" s="8">
        <v>57.57</v>
      </c>
      <c r="F5" s="8">
        <v>68.209999999999994</v>
      </c>
      <c r="G5" s="8">
        <v>65.900001525878906</v>
      </c>
      <c r="H5" s="5">
        <f t="shared" si="0"/>
        <v>-3.3865979682173974E-2</v>
      </c>
      <c r="I5" s="5">
        <f t="shared" si="1"/>
        <v>0.14469344321484989</v>
      </c>
      <c r="J5" s="5">
        <v>-8.6503387180823288E-2</v>
      </c>
      <c r="K5" s="5">
        <v>7.3333333333333334E-2</v>
      </c>
      <c r="L5" s="5">
        <v>0.99</v>
      </c>
      <c r="M5" s="3" t="s">
        <v>42</v>
      </c>
    </row>
    <row r="6" spans="1:13">
      <c r="A6" s="3" t="s">
        <v>1097</v>
      </c>
      <c r="B6" s="3" t="s">
        <v>1098</v>
      </c>
      <c r="C6" s="3" t="s">
        <v>50</v>
      </c>
      <c r="D6" s="3" t="s">
        <v>50</v>
      </c>
      <c r="E6" s="8">
        <v>12.87</v>
      </c>
      <c r="F6" s="8">
        <v>14.84</v>
      </c>
      <c r="G6" s="8">
        <v>14.64000034332275</v>
      </c>
      <c r="H6" s="5">
        <f t="shared" si="0"/>
        <v>-1.3477065813830791E-2</v>
      </c>
      <c r="I6" s="5">
        <f t="shared" si="1"/>
        <v>0.137529164205342</v>
      </c>
      <c r="J6" s="5">
        <v>-3.9244186046511587E-2</v>
      </c>
      <c r="K6" s="5">
        <v>0.23</v>
      </c>
      <c r="L6" s="5">
        <v>0.98666666666666669</v>
      </c>
      <c r="M6" s="3" t="s">
        <v>42</v>
      </c>
    </row>
    <row r="7" spans="1:13">
      <c r="A7" s="3" t="s">
        <v>1099</v>
      </c>
      <c r="B7" s="3" t="s">
        <v>1100</v>
      </c>
      <c r="C7" s="3" t="s">
        <v>45</v>
      </c>
      <c r="D7" s="3" t="s">
        <v>46</v>
      </c>
      <c r="E7" s="8">
        <v>8.44</v>
      </c>
      <c r="F7" s="8">
        <v>9.06</v>
      </c>
      <c r="G7" s="8">
        <v>9.5600004196166992</v>
      </c>
      <c r="H7" s="5">
        <f t="shared" si="0"/>
        <v>5.5187684284403904E-2</v>
      </c>
      <c r="I7" s="5">
        <f t="shared" si="1"/>
        <v>0.13270147151856637</v>
      </c>
      <c r="J7" s="5">
        <v>-1.882352941176468E-2</v>
      </c>
      <c r="K7" s="5">
        <v>0.99</v>
      </c>
      <c r="L7" s="5">
        <v>0.98333333333333328</v>
      </c>
      <c r="M7" s="3" t="s">
        <v>47</v>
      </c>
    </row>
    <row r="8" spans="1:13">
      <c r="A8" s="3" t="s">
        <v>1101</v>
      </c>
      <c r="B8" s="3" t="s">
        <v>1102</v>
      </c>
      <c r="C8" s="3" t="s">
        <v>61</v>
      </c>
      <c r="D8" s="3" t="s">
        <v>77</v>
      </c>
      <c r="E8" s="8">
        <v>12.48</v>
      </c>
      <c r="F8" s="8">
        <v>13.66</v>
      </c>
      <c r="G8" s="8">
        <v>14.11999988555908</v>
      </c>
      <c r="H8" s="5">
        <f t="shared" si="0"/>
        <v>3.3674955018966335E-2</v>
      </c>
      <c r="I8" s="5">
        <f t="shared" si="1"/>
        <v>0.13141024724031092</v>
      </c>
      <c r="J8" s="5">
        <v>-0.11395027624309401</v>
      </c>
      <c r="K8" s="5">
        <v>0.96</v>
      </c>
      <c r="L8" s="5">
        <v>0.98</v>
      </c>
      <c r="M8" s="3" t="s">
        <v>47</v>
      </c>
    </row>
    <row r="9" spans="1:13">
      <c r="A9" s="3" t="s">
        <v>1103</v>
      </c>
      <c r="B9" s="3" t="s">
        <v>1104</v>
      </c>
      <c r="C9" s="3" t="s">
        <v>71</v>
      </c>
      <c r="D9" s="3" t="s">
        <v>168</v>
      </c>
      <c r="E9" s="8">
        <v>7.81</v>
      </c>
      <c r="F9" s="8">
        <v>8.85</v>
      </c>
      <c r="G9" s="8">
        <v>8.8100004196166992</v>
      </c>
      <c r="H9" s="5">
        <f t="shared" si="0"/>
        <v>-4.5197265969830758E-3</v>
      </c>
      <c r="I9" s="5">
        <f t="shared" si="1"/>
        <v>0.12804102683952623</v>
      </c>
      <c r="J9" s="5">
        <v>-5.8411214953272284E-3</v>
      </c>
      <c r="K9" s="5">
        <v>0.34333333333333332</v>
      </c>
      <c r="L9" s="5">
        <v>0.97666666666666668</v>
      </c>
      <c r="M9" s="3" t="s">
        <v>63</v>
      </c>
    </row>
    <row r="10" spans="1:13">
      <c r="A10" s="3" t="s">
        <v>1105</v>
      </c>
      <c r="B10" s="3" t="s">
        <v>1106</v>
      </c>
      <c r="C10" s="3" t="s">
        <v>61</v>
      </c>
      <c r="D10" s="3" t="s">
        <v>62</v>
      </c>
      <c r="E10" s="8">
        <v>150.55000000000001</v>
      </c>
      <c r="F10" s="8">
        <v>165.35</v>
      </c>
      <c r="G10" s="8">
        <v>169.08000183105469</v>
      </c>
      <c r="H10" s="5">
        <f t="shared" si="0"/>
        <v>2.2558220931688577E-2</v>
      </c>
      <c r="I10" s="5">
        <f t="shared" si="1"/>
        <v>0.12308204470976203</v>
      </c>
      <c r="J10" s="5">
        <v>-2.2901246283292261E-2</v>
      </c>
      <c r="K10" s="5">
        <v>0.91</v>
      </c>
      <c r="L10" s="5">
        <v>0.97333333333333338</v>
      </c>
      <c r="M10" s="3" t="s">
        <v>47</v>
      </c>
    </row>
    <row r="11" spans="1:13">
      <c r="A11" s="3" t="s">
        <v>1107</v>
      </c>
      <c r="B11" s="3" t="s">
        <v>1108</v>
      </c>
      <c r="C11" s="3" t="s">
        <v>57</v>
      </c>
      <c r="D11" s="3" t="s">
        <v>376</v>
      </c>
      <c r="E11" s="8">
        <v>13.89</v>
      </c>
      <c r="F11" s="8">
        <v>15.2</v>
      </c>
      <c r="G11" s="8">
        <v>15.5</v>
      </c>
      <c r="H11" s="5">
        <f t="shared" si="0"/>
        <v>1.9736842105263275E-2</v>
      </c>
      <c r="I11" s="5">
        <f t="shared" si="1"/>
        <v>0.11591072714182871</v>
      </c>
      <c r="J11" s="5">
        <v>-2.4028268551236739E-2</v>
      </c>
      <c r="K11" s="5">
        <v>0.87</v>
      </c>
      <c r="L11" s="5">
        <v>0.97</v>
      </c>
      <c r="M11" s="3" t="s">
        <v>47</v>
      </c>
    </row>
    <row r="12" spans="1:13">
      <c r="A12" s="3" t="s">
        <v>1109</v>
      </c>
      <c r="B12" s="3" t="s">
        <v>1110</v>
      </c>
      <c r="C12" s="3" t="s">
        <v>71</v>
      </c>
      <c r="D12" s="3" t="s">
        <v>146</v>
      </c>
      <c r="E12" s="8">
        <v>51.32</v>
      </c>
      <c r="F12" s="8">
        <v>55.82</v>
      </c>
      <c r="G12" s="8">
        <v>57.229999542236328</v>
      </c>
      <c r="H12" s="5">
        <f t="shared" si="0"/>
        <v>2.5259755324907429E-2</v>
      </c>
      <c r="I12" s="5">
        <f t="shared" si="1"/>
        <v>0.11515977284170553</v>
      </c>
      <c r="J12" s="5">
        <v>-5.5228932834491262E-3</v>
      </c>
      <c r="K12" s="5">
        <v>0.93666666666666665</v>
      </c>
      <c r="L12" s="5">
        <v>0.96666666666666667</v>
      </c>
      <c r="M12" s="3" t="s">
        <v>47</v>
      </c>
    </row>
    <row r="13" spans="1:13">
      <c r="A13" s="3" t="s">
        <v>1111</v>
      </c>
      <c r="B13" s="3" t="s">
        <v>1112</v>
      </c>
      <c r="C13" s="3" t="s">
        <v>71</v>
      </c>
      <c r="D13" s="3" t="s">
        <v>72</v>
      </c>
      <c r="E13" s="8">
        <v>13.98</v>
      </c>
      <c r="F13" s="8">
        <v>15.86</v>
      </c>
      <c r="G13" s="8">
        <v>15.579999923706049</v>
      </c>
      <c r="H13" s="5">
        <f t="shared" si="0"/>
        <v>-1.7654481481333528E-2</v>
      </c>
      <c r="I13" s="5">
        <f t="shared" si="1"/>
        <v>0.11444920770429534</v>
      </c>
      <c r="J13" s="5">
        <v>-2.002861230329045E-2</v>
      </c>
      <c r="K13" s="5">
        <v>0.1866666666666667</v>
      </c>
      <c r="L13" s="5">
        <v>0.96333333333333337</v>
      </c>
      <c r="M13" s="3" t="s">
        <v>42</v>
      </c>
    </row>
    <row r="14" spans="1:13">
      <c r="A14" s="3" t="s">
        <v>1113</v>
      </c>
      <c r="B14" s="3" t="s">
        <v>1114</v>
      </c>
      <c r="C14" s="3" t="s">
        <v>251</v>
      </c>
      <c r="D14" s="3" t="s">
        <v>251</v>
      </c>
      <c r="E14" s="8">
        <v>3.87</v>
      </c>
      <c r="F14" s="8">
        <v>4.2699999999999996</v>
      </c>
      <c r="G14" s="8">
        <v>4.309999942779541</v>
      </c>
      <c r="H14" s="5">
        <f t="shared" si="0"/>
        <v>9.3676680982532901E-3</v>
      </c>
      <c r="I14" s="5">
        <f t="shared" si="1"/>
        <v>0.11369507565362813</v>
      </c>
      <c r="J14" s="5">
        <v>-2.0408163265306149E-2</v>
      </c>
      <c r="K14" s="5">
        <v>0.67333333333333334</v>
      </c>
      <c r="L14" s="5">
        <v>0.96</v>
      </c>
      <c r="M14" s="3" t="s">
        <v>63</v>
      </c>
    </row>
    <row r="15" spans="1:13">
      <c r="A15" s="3" t="s">
        <v>1115</v>
      </c>
      <c r="B15" s="3" t="s">
        <v>1116</v>
      </c>
      <c r="C15" s="3" t="s">
        <v>71</v>
      </c>
      <c r="D15" s="3" t="s">
        <v>168</v>
      </c>
      <c r="E15" s="8">
        <v>4.93</v>
      </c>
      <c r="F15" s="8">
        <v>5.26</v>
      </c>
      <c r="G15" s="8">
        <v>5.4800000190734863</v>
      </c>
      <c r="H15" s="5">
        <f t="shared" si="0"/>
        <v>4.1825098683172302E-2</v>
      </c>
      <c r="I15" s="5">
        <f t="shared" si="1"/>
        <v>0.11156186999462214</v>
      </c>
      <c r="J15" s="5">
        <v>-1.7716535433070831E-2</v>
      </c>
      <c r="K15" s="5">
        <v>0.96666666666666667</v>
      </c>
      <c r="L15" s="5">
        <v>0.95666666666666667</v>
      </c>
      <c r="M15" s="3" t="s">
        <v>47</v>
      </c>
    </row>
    <row r="16" spans="1:13">
      <c r="A16" s="3" t="s">
        <v>1117</v>
      </c>
      <c r="B16" s="3" t="s">
        <v>1118</v>
      </c>
      <c r="C16" s="3" t="s">
        <v>50</v>
      </c>
      <c r="D16" s="3" t="s">
        <v>50</v>
      </c>
      <c r="E16" s="8">
        <v>13.01</v>
      </c>
      <c r="F16" s="8">
        <v>14.6</v>
      </c>
      <c r="G16" s="8">
        <v>14.44999980926514</v>
      </c>
      <c r="H16" s="5">
        <f t="shared" si="0"/>
        <v>-1.0273985666771179E-2</v>
      </c>
      <c r="I16" s="5">
        <f t="shared" si="1"/>
        <v>0.11068407450154805</v>
      </c>
      <c r="J16" s="5">
        <v>-4.6852122986822842E-2</v>
      </c>
      <c r="K16" s="5">
        <v>0.26</v>
      </c>
      <c r="L16" s="5">
        <v>0.95333333333333337</v>
      </c>
      <c r="M16" s="3" t="s">
        <v>63</v>
      </c>
    </row>
    <row r="17" spans="1:13">
      <c r="A17" s="3" t="s">
        <v>1119</v>
      </c>
      <c r="B17" s="3" t="s">
        <v>1120</v>
      </c>
      <c r="C17" s="3" t="s">
        <v>71</v>
      </c>
      <c r="D17" s="3" t="s">
        <v>168</v>
      </c>
      <c r="E17" s="8">
        <v>4.96</v>
      </c>
      <c r="F17" s="8">
        <v>5.35</v>
      </c>
      <c r="G17" s="8">
        <v>5.4899997711181641</v>
      </c>
      <c r="H17" s="5">
        <f t="shared" si="0"/>
        <v>2.6168181517413958E-2</v>
      </c>
      <c r="I17" s="5">
        <f t="shared" si="1"/>
        <v>0.10685479256414609</v>
      </c>
      <c r="J17" s="5">
        <v>-1.737451737451734E-2</v>
      </c>
      <c r="K17" s="5">
        <v>0.94</v>
      </c>
      <c r="L17" s="5">
        <v>0.95</v>
      </c>
      <c r="M17" s="3" t="s">
        <v>47</v>
      </c>
    </row>
    <row r="18" spans="1:13">
      <c r="A18" s="3" t="s">
        <v>1121</v>
      </c>
      <c r="B18" s="3" t="s">
        <v>1122</v>
      </c>
      <c r="C18" s="3" t="s">
        <v>71</v>
      </c>
      <c r="D18" s="3" t="s">
        <v>168</v>
      </c>
      <c r="E18" s="8">
        <v>6.03</v>
      </c>
      <c r="F18" s="8">
        <v>6.51</v>
      </c>
      <c r="G18" s="8">
        <v>6.6700000762939453</v>
      </c>
      <c r="H18" s="5">
        <f t="shared" si="0"/>
        <v>2.4577584684169818E-2</v>
      </c>
      <c r="I18" s="5">
        <f t="shared" si="1"/>
        <v>0.1061359993853972</v>
      </c>
      <c r="J18" s="5">
        <v>-9.6774193548387899E-3</v>
      </c>
      <c r="K18" s="5">
        <v>0.92666666666666664</v>
      </c>
      <c r="L18" s="5">
        <v>0.94666666666666666</v>
      </c>
      <c r="M18" s="3" t="s">
        <v>47</v>
      </c>
    </row>
    <row r="19" spans="1:13">
      <c r="A19" s="3" t="s">
        <v>1123</v>
      </c>
      <c r="B19" s="3" t="s">
        <v>1124</v>
      </c>
      <c r="C19" s="3" t="s">
        <v>40</v>
      </c>
      <c r="D19" s="3" t="s">
        <v>68</v>
      </c>
      <c r="E19" s="8">
        <v>116.29</v>
      </c>
      <c r="F19" s="8">
        <v>125.77</v>
      </c>
      <c r="G19" s="8">
        <v>128.3999938964844</v>
      </c>
      <c r="H19" s="5">
        <f t="shared" si="0"/>
        <v>2.0911138558355802E-2</v>
      </c>
      <c r="I19" s="5">
        <f t="shared" si="1"/>
        <v>0.10413615871084692</v>
      </c>
      <c r="J19" s="5">
        <v>-2.5907172995780488E-2</v>
      </c>
      <c r="K19" s="5">
        <v>0.89</v>
      </c>
      <c r="L19" s="5">
        <v>0.94333333333333336</v>
      </c>
      <c r="M19" s="3" t="s">
        <v>47</v>
      </c>
    </row>
    <row r="20" spans="1:13">
      <c r="A20" s="3" t="s">
        <v>1125</v>
      </c>
      <c r="B20" s="3" t="s">
        <v>1126</v>
      </c>
      <c r="C20" s="3" t="s">
        <v>71</v>
      </c>
      <c r="D20" s="3" t="s">
        <v>146</v>
      </c>
      <c r="E20" s="8">
        <v>29.98</v>
      </c>
      <c r="F20" s="8">
        <v>32</v>
      </c>
      <c r="G20" s="8">
        <v>33.069999694824219</v>
      </c>
      <c r="H20" s="5">
        <f t="shared" si="0"/>
        <v>3.3437490463256836E-2</v>
      </c>
      <c r="I20" s="5">
        <f t="shared" si="1"/>
        <v>0.10306870229567111</v>
      </c>
      <c r="J20" s="5">
        <v>-7.1875000000000133E-3</v>
      </c>
      <c r="K20" s="5">
        <v>0.95333333333333337</v>
      </c>
      <c r="L20" s="5">
        <v>0.94</v>
      </c>
      <c r="M20" s="3" t="s">
        <v>47</v>
      </c>
    </row>
    <row r="21" spans="1:13">
      <c r="A21" s="3" t="s">
        <v>1127</v>
      </c>
      <c r="B21" s="3" t="s">
        <v>1128</v>
      </c>
      <c r="C21" s="3" t="s">
        <v>71</v>
      </c>
      <c r="D21" s="3" t="s">
        <v>168</v>
      </c>
      <c r="E21" s="8">
        <v>6.79</v>
      </c>
      <c r="F21" s="8">
        <v>7.3</v>
      </c>
      <c r="G21" s="8">
        <v>7.429999828338623</v>
      </c>
      <c r="H21" s="5">
        <f t="shared" si="0"/>
        <v>1.7808195662825099E-2</v>
      </c>
      <c r="I21" s="5">
        <f t="shared" si="1"/>
        <v>9.4256233923214028E-2</v>
      </c>
      <c r="J21" s="5">
        <v>-2.5367156208277789E-2</v>
      </c>
      <c r="K21" s="5">
        <v>0.83666666666666667</v>
      </c>
      <c r="L21" s="5">
        <v>0.93666666666666665</v>
      </c>
      <c r="M21" s="3" t="s">
        <v>47</v>
      </c>
    </row>
    <row r="22" spans="1:13">
      <c r="A22" s="3" t="s">
        <v>1129</v>
      </c>
      <c r="B22" s="3" t="s">
        <v>1130</v>
      </c>
      <c r="C22" s="3" t="s">
        <v>90</v>
      </c>
      <c r="D22" s="3" t="s">
        <v>90</v>
      </c>
      <c r="E22" s="8">
        <v>5.0599999999999996</v>
      </c>
      <c r="F22" s="8">
        <v>5.46</v>
      </c>
      <c r="G22" s="8">
        <v>5.5199999809265137</v>
      </c>
      <c r="H22" s="5">
        <f t="shared" si="0"/>
        <v>1.0989007495698422E-2</v>
      </c>
      <c r="I22" s="5">
        <f t="shared" si="1"/>
        <v>9.0909087139627198E-2</v>
      </c>
      <c r="J22" s="5">
        <v>-1.305970149253732E-2</v>
      </c>
      <c r="K22" s="5">
        <v>0.73</v>
      </c>
      <c r="L22" s="5">
        <v>0.93333333333333335</v>
      </c>
      <c r="M22" s="3" t="s">
        <v>63</v>
      </c>
    </row>
    <row r="23" spans="1:13">
      <c r="A23" s="3" t="s">
        <v>1131</v>
      </c>
      <c r="B23" s="3" t="s">
        <v>1132</v>
      </c>
      <c r="C23" s="3" t="s">
        <v>45</v>
      </c>
      <c r="D23" s="3" t="s">
        <v>345</v>
      </c>
      <c r="E23" s="8">
        <v>5.1100000000000003</v>
      </c>
      <c r="F23" s="8">
        <v>5.26</v>
      </c>
      <c r="G23" s="8">
        <v>5.5500001907348633</v>
      </c>
      <c r="H23" s="5">
        <f t="shared" si="0"/>
        <v>5.5133116109289615E-2</v>
      </c>
      <c r="I23" s="5">
        <f t="shared" si="1"/>
        <v>8.6105712472575924E-2</v>
      </c>
      <c r="J23" s="5">
        <v>-1.707779886148009E-2</v>
      </c>
      <c r="K23" s="5">
        <v>0.98666666666666669</v>
      </c>
      <c r="L23" s="5">
        <v>0.93</v>
      </c>
      <c r="M23" s="3" t="s">
        <v>47</v>
      </c>
    </row>
    <row r="24" spans="1:13">
      <c r="A24" s="3" t="s">
        <v>1133</v>
      </c>
      <c r="B24" s="3" t="s">
        <v>1134</v>
      </c>
      <c r="C24" s="3" t="s">
        <v>45</v>
      </c>
      <c r="D24" s="3" t="s">
        <v>46</v>
      </c>
      <c r="E24" s="8">
        <v>43.94</v>
      </c>
      <c r="F24" s="8">
        <v>46.92</v>
      </c>
      <c r="G24" s="8">
        <v>47.630001068115227</v>
      </c>
      <c r="H24" s="5">
        <f t="shared" si="0"/>
        <v>1.5132162577050856E-2</v>
      </c>
      <c r="I24" s="5">
        <f t="shared" si="1"/>
        <v>8.3978176333983301E-2</v>
      </c>
      <c r="J24" s="5">
        <v>-1.642254771415896E-2</v>
      </c>
      <c r="K24" s="5">
        <v>0.79</v>
      </c>
      <c r="L24" s="5">
        <v>0.92666666666666664</v>
      </c>
      <c r="M24" s="3" t="s">
        <v>47</v>
      </c>
    </row>
    <row r="25" spans="1:13">
      <c r="A25" s="3" t="s">
        <v>1135</v>
      </c>
      <c r="B25" s="3" t="s">
        <v>1136</v>
      </c>
      <c r="C25" s="3" t="s">
        <v>71</v>
      </c>
      <c r="D25" s="3" t="s">
        <v>168</v>
      </c>
      <c r="E25" s="8">
        <v>18</v>
      </c>
      <c r="F25" s="8">
        <v>19.05</v>
      </c>
      <c r="G25" s="8">
        <v>19.430000305175781</v>
      </c>
      <c r="H25" s="5">
        <f t="shared" si="0"/>
        <v>1.9947522581405863E-2</v>
      </c>
      <c r="I25" s="5">
        <f t="shared" si="1"/>
        <v>7.9444461398654465E-2</v>
      </c>
      <c r="J25" s="5">
        <v>-9.004237288135486E-3</v>
      </c>
      <c r="K25" s="5">
        <v>0.87666666666666671</v>
      </c>
      <c r="L25" s="5">
        <v>0.92333333333333334</v>
      </c>
      <c r="M25" s="3" t="s">
        <v>47</v>
      </c>
    </row>
    <row r="26" spans="1:13">
      <c r="A26" s="3" t="s">
        <v>1137</v>
      </c>
      <c r="B26" s="3" t="s">
        <v>1138</v>
      </c>
      <c r="C26" s="3" t="s">
        <v>71</v>
      </c>
      <c r="D26" s="3" t="s">
        <v>168</v>
      </c>
      <c r="E26" s="8">
        <v>11.05</v>
      </c>
      <c r="F26" s="8">
        <v>11.72</v>
      </c>
      <c r="G26" s="8">
        <v>11.920000076293951</v>
      </c>
      <c r="H26" s="5">
        <f t="shared" si="0"/>
        <v>1.7064852926105045E-2</v>
      </c>
      <c r="I26" s="5">
        <f t="shared" si="1"/>
        <v>7.8733038578638004E-2</v>
      </c>
      <c r="J26" s="5">
        <v>-1.193520886615518E-2</v>
      </c>
      <c r="K26" s="5">
        <v>0.82333333333333336</v>
      </c>
      <c r="L26" s="5">
        <v>0.92</v>
      </c>
      <c r="M26" s="3" t="s">
        <v>47</v>
      </c>
    </row>
    <row r="27" spans="1:13">
      <c r="A27" s="3" t="s">
        <v>1139</v>
      </c>
      <c r="B27" s="3" t="s">
        <v>1140</v>
      </c>
      <c r="C27" s="3" t="s">
        <v>45</v>
      </c>
      <c r="D27" s="3" t="s">
        <v>345</v>
      </c>
      <c r="E27" s="8">
        <v>9.19</v>
      </c>
      <c r="F27" s="8">
        <v>9.82</v>
      </c>
      <c r="G27" s="8">
        <v>9.8900003433227539</v>
      </c>
      <c r="H27" s="5">
        <f t="shared" si="0"/>
        <v>7.1283445338852225E-3</v>
      </c>
      <c r="I27" s="5">
        <f t="shared" si="1"/>
        <v>7.6169787086262764E-2</v>
      </c>
      <c r="J27" s="5">
        <v>-2.1406727828746312E-2</v>
      </c>
      <c r="K27" s="5">
        <v>0.61</v>
      </c>
      <c r="L27" s="5">
        <v>0.91666666666666663</v>
      </c>
      <c r="M27" s="3" t="s">
        <v>63</v>
      </c>
    </row>
    <row r="28" spans="1:13">
      <c r="A28" s="3" t="s">
        <v>1141</v>
      </c>
      <c r="B28" s="3" t="s">
        <v>1142</v>
      </c>
      <c r="C28" s="3" t="s">
        <v>90</v>
      </c>
      <c r="D28" s="3" t="s">
        <v>90</v>
      </c>
      <c r="E28" s="8">
        <v>14.37</v>
      </c>
      <c r="F28" s="8">
        <v>16.190000000000001</v>
      </c>
      <c r="G28" s="8">
        <v>15.430000305175779</v>
      </c>
      <c r="H28" s="5">
        <f t="shared" si="0"/>
        <v>-4.694253828438677E-2</v>
      </c>
      <c r="I28" s="5">
        <f t="shared" si="1"/>
        <v>7.376480898926796E-2</v>
      </c>
      <c r="J28" s="5">
        <v>-4.694253828438677E-2</v>
      </c>
      <c r="K28" s="5">
        <v>3.6666666666666667E-2</v>
      </c>
      <c r="L28" s="5">
        <v>0.91333333333333333</v>
      </c>
      <c r="M28" s="3" t="s">
        <v>42</v>
      </c>
    </row>
    <row r="29" spans="1:13">
      <c r="A29" s="3" t="s">
        <v>1143</v>
      </c>
      <c r="B29" s="3" t="s">
        <v>1144</v>
      </c>
      <c r="C29" s="3" t="s">
        <v>71</v>
      </c>
      <c r="D29" s="3" t="s">
        <v>168</v>
      </c>
      <c r="E29" s="8">
        <v>3.39</v>
      </c>
      <c r="F29" s="8">
        <v>3.53</v>
      </c>
      <c r="G29" s="8">
        <v>3.6400001049041748</v>
      </c>
      <c r="H29" s="5">
        <f t="shared" si="0"/>
        <v>3.116150280571528E-2</v>
      </c>
      <c r="I29" s="5">
        <f t="shared" si="1"/>
        <v>7.3746343629550015E-2</v>
      </c>
      <c r="J29" s="5">
        <v>-2.8409090909090939E-2</v>
      </c>
      <c r="K29" s="5">
        <v>0.95</v>
      </c>
      <c r="L29" s="5">
        <v>0.91</v>
      </c>
      <c r="M29" s="3" t="s">
        <v>47</v>
      </c>
    </row>
    <row r="30" spans="1:13">
      <c r="A30" s="3" t="s">
        <v>1145</v>
      </c>
      <c r="B30" s="3" t="s">
        <v>1146</v>
      </c>
      <c r="C30" s="3" t="s">
        <v>40</v>
      </c>
      <c r="D30" s="3" t="s">
        <v>68</v>
      </c>
      <c r="E30" s="8">
        <v>114.76</v>
      </c>
      <c r="F30" s="8">
        <v>128.88</v>
      </c>
      <c r="G30" s="8">
        <v>122.63999938964839</v>
      </c>
      <c r="H30" s="5">
        <f t="shared" si="0"/>
        <v>-4.8417136951828033E-2</v>
      </c>
      <c r="I30" s="5">
        <f t="shared" si="1"/>
        <v>6.866503476514807E-2</v>
      </c>
      <c r="J30" s="5">
        <v>-0.10857441617288251</v>
      </c>
      <c r="K30" s="5">
        <v>2.6666666666666668E-2</v>
      </c>
      <c r="L30" s="5">
        <v>0.90666666666666662</v>
      </c>
      <c r="M30" s="3" t="s">
        <v>42</v>
      </c>
    </row>
    <row r="31" spans="1:13">
      <c r="A31" s="3" t="s">
        <v>1147</v>
      </c>
      <c r="B31" s="3" t="s">
        <v>1148</v>
      </c>
      <c r="C31" s="3" t="s">
        <v>71</v>
      </c>
      <c r="D31" s="3" t="s">
        <v>168</v>
      </c>
      <c r="E31" s="8">
        <v>6.6</v>
      </c>
      <c r="F31" s="8">
        <v>6.92</v>
      </c>
      <c r="G31" s="8">
        <v>7.0500001907348633</v>
      </c>
      <c r="H31" s="5">
        <f t="shared" si="0"/>
        <v>1.8786154730471516E-2</v>
      </c>
      <c r="I31" s="5">
        <f t="shared" si="1"/>
        <v>6.8181847081040026E-2</v>
      </c>
      <c r="J31" s="5">
        <v>-1.0204081632653071E-2</v>
      </c>
      <c r="K31" s="5">
        <v>0.85333333333333339</v>
      </c>
      <c r="L31" s="5">
        <v>0.90333333333333332</v>
      </c>
      <c r="M31" s="3" t="s">
        <v>47</v>
      </c>
    </row>
    <row r="32" spans="1:13">
      <c r="A32" s="3" t="s">
        <v>1149</v>
      </c>
      <c r="B32" s="3" t="s">
        <v>1150</v>
      </c>
      <c r="C32" s="3" t="s">
        <v>71</v>
      </c>
      <c r="D32" s="3" t="s">
        <v>168</v>
      </c>
      <c r="E32" s="8">
        <v>38.29</v>
      </c>
      <c r="F32" s="8">
        <v>40.119999999999997</v>
      </c>
      <c r="G32" s="8">
        <v>40.860000610351562</v>
      </c>
      <c r="H32" s="5">
        <f t="shared" si="0"/>
        <v>1.8444681215143754E-2</v>
      </c>
      <c r="I32" s="5">
        <f t="shared" si="1"/>
        <v>6.7119368251542522E-2</v>
      </c>
      <c r="J32" s="5">
        <v>-1.130653266331649E-2</v>
      </c>
      <c r="K32" s="5">
        <v>0.84666666666666668</v>
      </c>
      <c r="L32" s="5">
        <v>0.9</v>
      </c>
      <c r="M32" s="3" t="s">
        <v>47</v>
      </c>
    </row>
    <row r="33" spans="1:13">
      <c r="A33" s="3" t="s">
        <v>1151</v>
      </c>
      <c r="B33" s="3" t="s">
        <v>1152</v>
      </c>
      <c r="C33" s="3" t="s">
        <v>50</v>
      </c>
      <c r="D33" s="3" t="s">
        <v>50</v>
      </c>
      <c r="E33" s="8">
        <v>17.96</v>
      </c>
      <c r="F33" s="8">
        <v>19.350000000000001</v>
      </c>
      <c r="G33" s="8">
        <v>19.159999847412109</v>
      </c>
      <c r="H33" s="5">
        <f t="shared" si="0"/>
        <v>-9.8191293327075657E-3</v>
      </c>
      <c r="I33" s="5">
        <f t="shared" si="1"/>
        <v>6.681513627016189E-2</v>
      </c>
      <c r="J33" s="5">
        <v>-3.0736618971913151E-2</v>
      </c>
      <c r="K33" s="5">
        <v>0.27333333333333332</v>
      </c>
      <c r="L33" s="5">
        <v>0.89666666666666661</v>
      </c>
      <c r="M33" s="3" t="s">
        <v>63</v>
      </c>
    </row>
    <row r="34" spans="1:13">
      <c r="A34" s="3" t="s">
        <v>1153</v>
      </c>
      <c r="B34" s="3" t="s">
        <v>1154</v>
      </c>
      <c r="C34" s="3" t="s">
        <v>50</v>
      </c>
      <c r="D34" s="3" t="s">
        <v>50</v>
      </c>
      <c r="E34" s="8">
        <v>26.83</v>
      </c>
      <c r="F34" s="8">
        <v>28.48</v>
      </c>
      <c r="G34" s="8">
        <v>28.620000839233398</v>
      </c>
      <c r="H34" s="5">
        <f t="shared" si="0"/>
        <v>4.9157598045435069E-3</v>
      </c>
      <c r="I34" s="5">
        <f t="shared" si="1"/>
        <v>6.6716393560693366E-2</v>
      </c>
      <c r="J34" s="5">
        <v>-2.7306273062730702E-2</v>
      </c>
      <c r="K34" s="5">
        <v>0.52666666666666662</v>
      </c>
      <c r="L34" s="5">
        <v>0.89333333333333331</v>
      </c>
      <c r="M34" s="3" t="s">
        <v>63</v>
      </c>
    </row>
    <row r="35" spans="1:13">
      <c r="A35" s="3" t="s">
        <v>1155</v>
      </c>
      <c r="B35" s="3" t="s">
        <v>1156</v>
      </c>
      <c r="C35" s="3" t="s">
        <v>45</v>
      </c>
      <c r="D35" s="3" t="s">
        <v>46</v>
      </c>
      <c r="E35" s="8">
        <v>18.97</v>
      </c>
      <c r="F35" s="8">
        <v>20.010000000000002</v>
      </c>
      <c r="G35" s="8">
        <v>20.219999313354489</v>
      </c>
      <c r="H35" s="5">
        <f t="shared" si="0"/>
        <v>1.0494718308569961E-2</v>
      </c>
      <c r="I35" s="5">
        <f t="shared" si="1"/>
        <v>6.5893479881628414E-2</v>
      </c>
      <c r="J35" s="5">
        <v>-2.309711286089244E-2</v>
      </c>
      <c r="K35" s="5">
        <v>0.72333333333333338</v>
      </c>
      <c r="L35" s="5">
        <v>0.89</v>
      </c>
      <c r="M35" s="3" t="s">
        <v>63</v>
      </c>
    </row>
    <row r="36" spans="1:13">
      <c r="A36" s="3" t="s">
        <v>1157</v>
      </c>
      <c r="B36" s="3" t="s">
        <v>1158</v>
      </c>
      <c r="C36" s="3" t="s">
        <v>40</v>
      </c>
      <c r="D36" s="3" t="s">
        <v>68</v>
      </c>
      <c r="E36" s="8">
        <v>22.48</v>
      </c>
      <c r="F36" s="8">
        <v>24.25</v>
      </c>
      <c r="G36" s="8">
        <v>23.930000305175781</v>
      </c>
      <c r="H36" s="5">
        <f t="shared" si="0"/>
        <v>-1.3195863704091537E-2</v>
      </c>
      <c r="I36" s="5">
        <f t="shared" si="1"/>
        <v>6.4501792934865687E-2</v>
      </c>
      <c r="J36" s="5">
        <v>-2.224199288256223E-2</v>
      </c>
      <c r="K36" s="5">
        <v>0.23333333333333331</v>
      </c>
      <c r="L36" s="5">
        <v>0.88666666666666671</v>
      </c>
      <c r="M36" s="3" t="s">
        <v>42</v>
      </c>
    </row>
    <row r="37" spans="1:13">
      <c r="A37" s="3" t="s">
        <v>1159</v>
      </c>
      <c r="B37" s="3" t="s">
        <v>1160</v>
      </c>
      <c r="C37" s="3" t="s">
        <v>95</v>
      </c>
      <c r="D37" s="3" t="s">
        <v>99</v>
      </c>
      <c r="E37" s="8">
        <v>25.63</v>
      </c>
      <c r="F37" s="8">
        <v>26.54</v>
      </c>
      <c r="G37" s="8">
        <v>27.280000686645511</v>
      </c>
      <c r="H37" s="5">
        <f t="shared" si="0"/>
        <v>2.7882467469687811E-2</v>
      </c>
      <c r="I37" s="5">
        <f t="shared" si="1"/>
        <v>6.4377709194128441E-2</v>
      </c>
      <c r="J37" s="5">
        <v>-3.3164260632071667E-2</v>
      </c>
      <c r="K37" s="5">
        <v>0.94333333333333336</v>
      </c>
      <c r="L37" s="5">
        <v>0.8833333333333333</v>
      </c>
      <c r="M37" s="3" t="s">
        <v>47</v>
      </c>
    </row>
    <row r="38" spans="1:13">
      <c r="A38" s="3" t="s">
        <v>1161</v>
      </c>
      <c r="B38" s="3" t="s">
        <v>1162</v>
      </c>
      <c r="C38" s="3" t="s">
        <v>71</v>
      </c>
      <c r="D38" s="3" t="s">
        <v>168</v>
      </c>
      <c r="E38" s="8">
        <v>10.43</v>
      </c>
      <c r="F38" s="8">
        <v>10.98</v>
      </c>
      <c r="G38" s="8">
        <v>11.090000152587891</v>
      </c>
      <c r="H38" s="5">
        <f t="shared" si="0"/>
        <v>1.0018228833141185E-2</v>
      </c>
      <c r="I38" s="5">
        <f t="shared" si="1"/>
        <v>6.3279017506029822E-2</v>
      </c>
      <c r="J38" s="5">
        <v>-9.3720712277413076E-3</v>
      </c>
      <c r="K38" s="5">
        <v>0.70333333333333337</v>
      </c>
      <c r="L38" s="5">
        <v>0.88</v>
      </c>
      <c r="M38" s="3" t="s">
        <v>63</v>
      </c>
    </row>
    <row r="39" spans="1:13">
      <c r="A39" s="3" t="s">
        <v>1163</v>
      </c>
      <c r="B39" s="3" t="s">
        <v>1164</v>
      </c>
      <c r="C39" s="3" t="s">
        <v>71</v>
      </c>
      <c r="D39" s="3" t="s">
        <v>168</v>
      </c>
      <c r="E39" s="8">
        <v>7.67</v>
      </c>
      <c r="F39" s="8">
        <v>8.07</v>
      </c>
      <c r="G39" s="8">
        <v>8.1499996185302734</v>
      </c>
      <c r="H39" s="5">
        <f t="shared" si="0"/>
        <v>9.9132117137885611E-3</v>
      </c>
      <c r="I39" s="5">
        <f t="shared" si="1"/>
        <v>6.2581436575003035E-2</v>
      </c>
      <c r="J39" s="5">
        <v>-1.2626262626262539E-2</v>
      </c>
      <c r="K39" s="5">
        <v>0.7</v>
      </c>
      <c r="L39" s="5">
        <v>0.87666666666666671</v>
      </c>
      <c r="M39" s="3" t="s">
        <v>63</v>
      </c>
    </row>
    <row r="40" spans="1:13">
      <c r="A40" s="3" t="s">
        <v>1165</v>
      </c>
      <c r="B40" s="3" t="s">
        <v>1166</v>
      </c>
      <c r="C40" s="3" t="s">
        <v>95</v>
      </c>
      <c r="D40" s="3" t="s">
        <v>99</v>
      </c>
      <c r="E40" s="8">
        <v>39.93</v>
      </c>
      <c r="F40" s="8">
        <v>42.31</v>
      </c>
      <c r="G40" s="8">
        <v>42.400001525878913</v>
      </c>
      <c r="H40" s="5">
        <f t="shared" si="0"/>
        <v>2.1271927648052191E-3</v>
      </c>
      <c r="I40" s="5">
        <f t="shared" si="1"/>
        <v>6.1858290154743534E-2</v>
      </c>
      <c r="J40" s="5">
        <v>-2.7548209366391241E-2</v>
      </c>
      <c r="K40" s="5">
        <v>0.47</v>
      </c>
      <c r="L40" s="5">
        <v>0.87333333333333329</v>
      </c>
      <c r="M40" s="3" t="s">
        <v>63</v>
      </c>
    </row>
    <row r="41" spans="1:13">
      <c r="A41" s="3" t="s">
        <v>1167</v>
      </c>
      <c r="B41" s="3" t="s">
        <v>1168</v>
      </c>
      <c r="C41" s="3" t="s">
        <v>71</v>
      </c>
      <c r="D41" s="3" t="s">
        <v>146</v>
      </c>
      <c r="E41" s="8">
        <v>57.94</v>
      </c>
      <c r="F41" s="8">
        <v>60.12</v>
      </c>
      <c r="G41" s="8">
        <v>61.5</v>
      </c>
      <c r="H41" s="5">
        <f t="shared" si="0"/>
        <v>2.2954091816367317E-2</v>
      </c>
      <c r="I41" s="5">
        <f t="shared" si="1"/>
        <v>6.1442871936486121E-2</v>
      </c>
      <c r="J41" s="5">
        <v>-1.9350606756313501E-2</v>
      </c>
      <c r="K41" s="5">
        <v>0.91666666666666663</v>
      </c>
      <c r="L41" s="5">
        <v>0.87</v>
      </c>
      <c r="M41" s="3" t="s">
        <v>47</v>
      </c>
    </row>
    <row r="42" spans="1:13">
      <c r="A42" s="3" t="s">
        <v>1169</v>
      </c>
      <c r="B42" s="3" t="s">
        <v>1170</v>
      </c>
      <c r="C42" s="3" t="s">
        <v>90</v>
      </c>
      <c r="D42" s="3" t="s">
        <v>90</v>
      </c>
      <c r="E42" s="8">
        <v>18</v>
      </c>
      <c r="F42" s="8">
        <v>19.22</v>
      </c>
      <c r="G42" s="8">
        <v>19.069999694824219</v>
      </c>
      <c r="H42" s="5">
        <f t="shared" si="0"/>
        <v>-7.8043863254828594E-3</v>
      </c>
      <c r="I42" s="5">
        <f t="shared" si="1"/>
        <v>5.9444427490234375E-2</v>
      </c>
      <c r="J42" s="5">
        <v>-5.158324821246163E-2</v>
      </c>
      <c r="K42" s="5">
        <v>0.29666666666666669</v>
      </c>
      <c r="L42" s="5">
        <v>0.8666666666666667</v>
      </c>
      <c r="M42" s="3" t="s">
        <v>63</v>
      </c>
    </row>
    <row r="43" spans="1:13">
      <c r="A43" s="3" t="s">
        <v>1171</v>
      </c>
      <c r="B43" s="3" t="s">
        <v>1172</v>
      </c>
      <c r="C43" s="3" t="s">
        <v>251</v>
      </c>
      <c r="D43" s="3" t="s">
        <v>251</v>
      </c>
      <c r="E43" s="8">
        <v>17.7</v>
      </c>
      <c r="F43" s="8">
        <v>18.29</v>
      </c>
      <c r="G43" s="8">
        <v>18.739999771118161</v>
      </c>
      <c r="H43" s="5">
        <f t="shared" si="0"/>
        <v>2.4603596015208451E-2</v>
      </c>
      <c r="I43" s="5">
        <f t="shared" si="1"/>
        <v>5.8757049215715229E-2</v>
      </c>
      <c r="J43" s="5">
        <v>-2.5698324022346179E-2</v>
      </c>
      <c r="K43" s="5">
        <v>0.93</v>
      </c>
      <c r="L43" s="5">
        <v>0.86333333333333329</v>
      </c>
      <c r="M43" s="3" t="s">
        <v>47</v>
      </c>
    </row>
    <row r="44" spans="1:13">
      <c r="A44" s="3" t="s">
        <v>1173</v>
      </c>
      <c r="B44" s="3" t="s">
        <v>1174</v>
      </c>
      <c r="C44" s="3" t="s">
        <v>71</v>
      </c>
      <c r="D44" s="3" t="s">
        <v>146</v>
      </c>
      <c r="E44" s="8">
        <v>36.950000000000003</v>
      </c>
      <c r="F44" s="8">
        <v>38.5</v>
      </c>
      <c r="G44" s="8">
        <v>39.069999694824219</v>
      </c>
      <c r="H44" s="5">
        <f t="shared" si="0"/>
        <v>1.4805186878551035E-2</v>
      </c>
      <c r="I44" s="5">
        <f t="shared" si="1"/>
        <v>5.737482259334814E-2</v>
      </c>
      <c r="J44" s="5">
        <v>-8.8060088060086805E-3</v>
      </c>
      <c r="K44" s="5">
        <v>0.78666666666666663</v>
      </c>
      <c r="L44" s="5">
        <v>0.86</v>
      </c>
      <c r="M44" s="3" t="s">
        <v>47</v>
      </c>
    </row>
    <row r="45" spans="1:13">
      <c r="A45" s="3" t="s">
        <v>1175</v>
      </c>
      <c r="B45" s="3" t="s">
        <v>1176</v>
      </c>
      <c r="C45" s="3" t="s">
        <v>40</v>
      </c>
      <c r="D45" s="3" t="s">
        <v>68</v>
      </c>
      <c r="E45" s="8">
        <v>80.97</v>
      </c>
      <c r="F45" s="8">
        <v>85.18</v>
      </c>
      <c r="G45" s="8">
        <v>85.599998474121094</v>
      </c>
      <c r="H45" s="5">
        <f t="shared" si="0"/>
        <v>4.9307170007171219E-3</v>
      </c>
      <c r="I45" s="5">
        <f t="shared" si="1"/>
        <v>5.718165337928971E-2</v>
      </c>
      <c r="J45" s="5">
        <v>-0.1000370507595405</v>
      </c>
      <c r="K45" s="5">
        <v>0.53</v>
      </c>
      <c r="L45" s="5">
        <v>0.85666666666666669</v>
      </c>
      <c r="M45" s="3" t="s">
        <v>63</v>
      </c>
    </row>
    <row r="46" spans="1:13">
      <c r="A46" s="3" t="s">
        <v>1177</v>
      </c>
      <c r="B46" s="3" t="s">
        <v>1178</v>
      </c>
      <c r="C46" s="3" t="s">
        <v>90</v>
      </c>
      <c r="D46" s="3" t="s">
        <v>90</v>
      </c>
      <c r="E46" s="8">
        <v>45.7</v>
      </c>
      <c r="F46" s="8">
        <v>48.78</v>
      </c>
      <c r="G46" s="8">
        <v>48.299999237060547</v>
      </c>
      <c r="H46" s="5">
        <f t="shared" si="0"/>
        <v>-9.8401140413991728E-3</v>
      </c>
      <c r="I46" s="5">
        <f t="shared" si="1"/>
        <v>5.689276229891771E-2</v>
      </c>
      <c r="J46" s="5">
        <v>-9.8401140413991728E-3</v>
      </c>
      <c r="K46" s="5">
        <v>0.27</v>
      </c>
      <c r="L46" s="5">
        <v>0.85333333333333339</v>
      </c>
      <c r="M46" s="3" t="s">
        <v>63</v>
      </c>
    </row>
    <row r="47" spans="1:13">
      <c r="A47" s="3" t="s">
        <v>1179</v>
      </c>
      <c r="B47" s="3" t="s">
        <v>1180</v>
      </c>
      <c r="C47" s="3" t="s">
        <v>71</v>
      </c>
      <c r="D47" s="3" t="s">
        <v>168</v>
      </c>
      <c r="E47" s="8">
        <v>32.46</v>
      </c>
      <c r="F47" s="8">
        <v>34.119999999999997</v>
      </c>
      <c r="G47" s="8">
        <v>34.299999237060547</v>
      </c>
      <c r="H47" s="5">
        <f t="shared" si="0"/>
        <v>5.275475881024283E-3</v>
      </c>
      <c r="I47" s="5">
        <f t="shared" si="1"/>
        <v>5.6685127451033379E-2</v>
      </c>
      <c r="J47" s="5">
        <v>-1.8139262726740709E-2</v>
      </c>
      <c r="K47" s="5">
        <v>0.54</v>
      </c>
      <c r="L47" s="5">
        <v>0.85</v>
      </c>
      <c r="M47" s="3" t="s">
        <v>63</v>
      </c>
    </row>
    <row r="48" spans="1:13">
      <c r="A48" s="3" t="s">
        <v>1181</v>
      </c>
      <c r="B48" s="3" t="s">
        <v>1182</v>
      </c>
      <c r="C48" s="3" t="s">
        <v>71</v>
      </c>
      <c r="D48" s="3" t="s">
        <v>168</v>
      </c>
      <c r="E48" s="8">
        <v>8.56</v>
      </c>
      <c r="F48" s="8">
        <v>8.9</v>
      </c>
      <c r="G48" s="8">
        <v>9.0399999618530273</v>
      </c>
      <c r="H48" s="5">
        <f t="shared" si="0"/>
        <v>1.5730332792474933E-2</v>
      </c>
      <c r="I48" s="5">
        <f t="shared" si="1"/>
        <v>5.6074761898718073E-2</v>
      </c>
      <c r="J48" s="5">
        <v>-2.3230088495575171E-2</v>
      </c>
      <c r="K48" s="5">
        <v>0.80666666666666664</v>
      </c>
      <c r="L48" s="5">
        <v>0.84666666666666668</v>
      </c>
      <c r="M48" s="3" t="s">
        <v>47</v>
      </c>
    </row>
    <row r="49" spans="1:13">
      <c r="A49" s="3" t="s">
        <v>1183</v>
      </c>
      <c r="B49" s="3" t="s">
        <v>1184</v>
      </c>
      <c r="C49" s="3" t="s">
        <v>95</v>
      </c>
      <c r="D49" s="3" t="s">
        <v>99</v>
      </c>
      <c r="E49" s="8">
        <v>25.15</v>
      </c>
      <c r="F49" s="8">
        <v>26.5</v>
      </c>
      <c r="G49" s="8">
        <v>26.5</v>
      </c>
      <c r="H49" s="5">
        <f t="shared" si="0"/>
        <v>0</v>
      </c>
      <c r="I49" s="5">
        <f t="shared" si="1"/>
        <v>5.3677932405566731E-2</v>
      </c>
      <c r="J49" s="5">
        <v>-1.340282948622484E-2</v>
      </c>
      <c r="K49" s="5">
        <v>0.41666666666666669</v>
      </c>
      <c r="L49" s="5">
        <v>0.84333333333333338</v>
      </c>
      <c r="M49" s="3" t="s">
        <v>63</v>
      </c>
    </row>
    <row r="50" spans="1:13">
      <c r="A50" s="3" t="s">
        <v>1185</v>
      </c>
      <c r="B50" s="3" t="s">
        <v>1186</v>
      </c>
      <c r="C50" s="3" t="s">
        <v>57</v>
      </c>
      <c r="D50" s="3" t="s">
        <v>112</v>
      </c>
      <c r="E50" s="8">
        <v>12.3</v>
      </c>
      <c r="F50" s="8">
        <v>12.48</v>
      </c>
      <c r="G50" s="8">
        <v>12.960000038146971</v>
      </c>
      <c r="H50" s="5">
        <f t="shared" si="0"/>
        <v>3.8461541518186815E-2</v>
      </c>
      <c r="I50" s="5">
        <f t="shared" si="1"/>
        <v>5.3658539686745499E-2</v>
      </c>
      <c r="J50" s="5">
        <v>-3.2591414944356127E-2</v>
      </c>
      <c r="K50" s="5">
        <v>0.96333333333333337</v>
      </c>
      <c r="L50" s="5">
        <v>0.84</v>
      </c>
      <c r="M50" s="3" t="s">
        <v>47</v>
      </c>
    </row>
    <row r="51" spans="1:13">
      <c r="A51" s="3" t="s">
        <v>1187</v>
      </c>
      <c r="B51" s="3" t="s">
        <v>1188</v>
      </c>
      <c r="C51" s="3" t="s">
        <v>45</v>
      </c>
      <c r="D51" s="3" t="s">
        <v>46</v>
      </c>
      <c r="E51" s="8">
        <v>21.5</v>
      </c>
      <c r="F51" s="8">
        <v>21.96</v>
      </c>
      <c r="G51" s="8">
        <v>22.620000839233398</v>
      </c>
      <c r="H51" s="5">
        <f t="shared" si="0"/>
        <v>3.0054683025200202E-2</v>
      </c>
      <c r="I51" s="5">
        <f t="shared" si="1"/>
        <v>5.2093062289925607E-2</v>
      </c>
      <c r="J51" s="5">
        <v>-4.8372093023255743E-2</v>
      </c>
      <c r="K51" s="5">
        <v>0.94666666666666666</v>
      </c>
      <c r="L51" s="5">
        <v>0.83666666666666667</v>
      </c>
      <c r="M51" s="3" t="s">
        <v>47</v>
      </c>
    </row>
    <row r="52" spans="1:13">
      <c r="A52" s="3" t="s">
        <v>1189</v>
      </c>
      <c r="B52" s="3" t="s">
        <v>1190</v>
      </c>
      <c r="C52" s="3" t="s">
        <v>50</v>
      </c>
      <c r="D52" s="3" t="s">
        <v>50</v>
      </c>
      <c r="E52" s="8">
        <v>73.27</v>
      </c>
      <c r="F52" s="8">
        <v>76.319999999999993</v>
      </c>
      <c r="G52" s="8">
        <v>77.019996643066406</v>
      </c>
      <c r="H52" s="5">
        <f t="shared" si="0"/>
        <v>9.171863771834543E-3</v>
      </c>
      <c r="I52" s="5">
        <f t="shared" si="1"/>
        <v>5.1180519217502551E-2</v>
      </c>
      <c r="J52" s="5">
        <v>-3.046833422032991E-2</v>
      </c>
      <c r="K52" s="5">
        <v>0.67</v>
      </c>
      <c r="L52" s="5">
        <v>0.83333333333333337</v>
      </c>
      <c r="M52" s="3" t="s">
        <v>63</v>
      </c>
    </row>
    <row r="53" spans="1:13">
      <c r="A53" s="3" t="s">
        <v>1191</v>
      </c>
      <c r="B53" s="3" t="s">
        <v>1192</v>
      </c>
      <c r="C53" s="3" t="s">
        <v>45</v>
      </c>
      <c r="D53" s="3" t="s">
        <v>345</v>
      </c>
      <c r="E53" s="8">
        <v>3.33</v>
      </c>
      <c r="F53" s="8">
        <v>3.44</v>
      </c>
      <c r="G53" s="8">
        <v>3.5</v>
      </c>
      <c r="H53" s="5">
        <f t="shared" si="0"/>
        <v>1.744186046511631E-2</v>
      </c>
      <c r="I53" s="5">
        <f t="shared" si="1"/>
        <v>5.1051051051051122E-2</v>
      </c>
      <c r="J53" s="5">
        <v>-1.432664756447E-2</v>
      </c>
      <c r="K53" s="5">
        <v>0.82666666666666666</v>
      </c>
      <c r="L53" s="5">
        <v>0.83</v>
      </c>
      <c r="M53" s="3" t="s">
        <v>47</v>
      </c>
    </row>
    <row r="54" spans="1:13">
      <c r="A54" s="3" t="s">
        <v>1193</v>
      </c>
      <c r="B54" s="3" t="s">
        <v>1194</v>
      </c>
      <c r="C54" s="3" t="s">
        <v>71</v>
      </c>
      <c r="D54" s="3" t="s">
        <v>168</v>
      </c>
      <c r="E54" s="8">
        <v>7.01</v>
      </c>
      <c r="F54" s="8">
        <v>7.24</v>
      </c>
      <c r="G54" s="8">
        <v>7.3600001335144043</v>
      </c>
      <c r="H54" s="5">
        <f t="shared" si="0"/>
        <v>1.6574604076575072E-2</v>
      </c>
      <c r="I54" s="5">
        <f t="shared" si="1"/>
        <v>4.9928692370100558E-2</v>
      </c>
      <c r="J54" s="5">
        <v>-1.8055555555555491E-2</v>
      </c>
      <c r="K54" s="5">
        <v>0.81666666666666665</v>
      </c>
      <c r="L54" s="5">
        <v>0.82666666666666666</v>
      </c>
      <c r="M54" s="3" t="s">
        <v>47</v>
      </c>
    </row>
    <row r="55" spans="1:13">
      <c r="A55" s="3" t="s">
        <v>1195</v>
      </c>
      <c r="B55" s="3" t="s">
        <v>1196</v>
      </c>
      <c r="C55" s="3" t="s">
        <v>71</v>
      </c>
      <c r="D55" s="3" t="s">
        <v>168</v>
      </c>
      <c r="E55" s="8">
        <v>11.71</v>
      </c>
      <c r="F55" s="8">
        <v>12.09</v>
      </c>
      <c r="G55" s="8">
        <v>12.289999961853029</v>
      </c>
      <c r="H55" s="5">
        <f t="shared" si="0"/>
        <v>1.6542594032508573E-2</v>
      </c>
      <c r="I55" s="5">
        <f t="shared" si="1"/>
        <v>4.9530312711616453E-2</v>
      </c>
      <c r="J55" s="5">
        <v>-1.322314049586781E-2</v>
      </c>
      <c r="K55" s="5">
        <v>0.81333333333333335</v>
      </c>
      <c r="L55" s="5">
        <v>0.82333333333333336</v>
      </c>
      <c r="M55" s="3" t="s">
        <v>47</v>
      </c>
    </row>
    <row r="56" spans="1:13">
      <c r="A56" s="3" t="s">
        <v>1197</v>
      </c>
      <c r="B56" s="3" t="s">
        <v>1198</v>
      </c>
      <c r="C56" s="3" t="s">
        <v>71</v>
      </c>
      <c r="D56" s="3" t="s">
        <v>72</v>
      </c>
      <c r="E56" s="8">
        <v>16.3</v>
      </c>
      <c r="F56" s="8">
        <v>16.829999999999998</v>
      </c>
      <c r="G56" s="8">
        <v>17.090000152587891</v>
      </c>
      <c r="H56" s="5">
        <f t="shared" si="0"/>
        <v>1.544861275032039E-2</v>
      </c>
      <c r="I56" s="5">
        <f t="shared" si="1"/>
        <v>4.8466267029931842E-2</v>
      </c>
      <c r="J56" s="5">
        <v>-7.8644888082276543E-3</v>
      </c>
      <c r="K56" s="5">
        <v>0.8</v>
      </c>
      <c r="L56" s="5">
        <v>0.82</v>
      </c>
      <c r="M56" s="3" t="s">
        <v>47</v>
      </c>
    </row>
    <row r="57" spans="1:13">
      <c r="A57" s="3" t="s">
        <v>1199</v>
      </c>
      <c r="B57" s="3" t="s">
        <v>1200</v>
      </c>
      <c r="C57" s="3" t="s">
        <v>57</v>
      </c>
      <c r="D57" s="3" t="s">
        <v>376</v>
      </c>
      <c r="E57" s="8">
        <v>10.01</v>
      </c>
      <c r="F57" s="8">
        <v>10.4</v>
      </c>
      <c r="G57" s="8">
        <v>10.489999771118161</v>
      </c>
      <c r="H57" s="5">
        <f t="shared" si="0"/>
        <v>8.6538241459770404E-3</v>
      </c>
      <c r="I57" s="5">
        <f t="shared" si="1"/>
        <v>4.7952025086729355E-2</v>
      </c>
      <c r="J57" s="5">
        <v>-1.4436958614052029E-2</v>
      </c>
      <c r="K57" s="5">
        <v>0.65333333333333332</v>
      </c>
      <c r="L57" s="5">
        <v>0.81666666666666665</v>
      </c>
      <c r="M57" s="3" t="s">
        <v>63</v>
      </c>
    </row>
    <row r="58" spans="1:13">
      <c r="A58" s="3" t="s">
        <v>1201</v>
      </c>
      <c r="B58" s="3" t="s">
        <v>1202</v>
      </c>
      <c r="C58" s="3" t="s">
        <v>71</v>
      </c>
      <c r="D58" s="3" t="s">
        <v>72</v>
      </c>
      <c r="E58" s="8">
        <v>6.27</v>
      </c>
      <c r="F58" s="8">
        <v>6.52</v>
      </c>
      <c r="G58" s="8">
        <v>6.570000171661377</v>
      </c>
      <c r="H58" s="5">
        <f t="shared" si="0"/>
        <v>7.6687379848738857E-3</v>
      </c>
      <c r="I58" s="5">
        <f t="shared" si="1"/>
        <v>4.7846917330363281E-2</v>
      </c>
      <c r="J58" s="5">
        <v>-1.116427432216893E-2</v>
      </c>
      <c r="K58" s="5">
        <v>0.6166666666666667</v>
      </c>
      <c r="L58" s="5">
        <v>0.81333333333333335</v>
      </c>
      <c r="M58" s="3" t="s">
        <v>63</v>
      </c>
    </row>
    <row r="59" spans="1:13">
      <c r="A59" s="3" t="s">
        <v>1203</v>
      </c>
      <c r="B59" s="3" t="s">
        <v>1204</v>
      </c>
      <c r="C59" s="3" t="s">
        <v>90</v>
      </c>
      <c r="D59" s="3" t="s">
        <v>90</v>
      </c>
      <c r="E59" s="8">
        <v>25.5</v>
      </c>
      <c r="F59" s="8">
        <v>27.62</v>
      </c>
      <c r="G59" s="8">
        <v>26.719999313354489</v>
      </c>
      <c r="H59" s="5">
        <f t="shared" si="0"/>
        <v>-3.2585108133436402E-2</v>
      </c>
      <c r="I59" s="5">
        <f t="shared" si="1"/>
        <v>4.7843110327627114E-2</v>
      </c>
      <c r="J59" s="5">
        <v>-3.2585108133436402E-2</v>
      </c>
      <c r="K59" s="5">
        <v>8.666666666666667E-2</v>
      </c>
      <c r="L59" s="5">
        <v>0.81</v>
      </c>
      <c r="M59" s="3" t="s">
        <v>42</v>
      </c>
    </row>
    <row r="60" spans="1:13">
      <c r="A60" s="3" t="s">
        <v>1205</v>
      </c>
      <c r="B60" s="3" t="s">
        <v>1206</v>
      </c>
      <c r="C60" s="3" t="s">
        <v>95</v>
      </c>
      <c r="D60" s="3" t="s">
        <v>99</v>
      </c>
      <c r="E60" s="8">
        <v>96.3</v>
      </c>
      <c r="F60" s="8">
        <v>91.71</v>
      </c>
      <c r="G60" s="8">
        <v>100.879997253418</v>
      </c>
      <c r="H60" s="5">
        <f t="shared" si="0"/>
        <v>9.9989066115123704E-2</v>
      </c>
      <c r="I60" s="5">
        <f t="shared" si="1"/>
        <v>4.7559680720851594E-2</v>
      </c>
      <c r="J60" s="5">
        <v>-5.8670820353063258E-2</v>
      </c>
      <c r="K60" s="5">
        <v>0.9966666666666667</v>
      </c>
      <c r="L60" s="5">
        <v>0.80666666666666664</v>
      </c>
      <c r="M60" s="3" t="s">
        <v>47</v>
      </c>
    </row>
    <row r="61" spans="1:13">
      <c r="A61" s="3" t="s">
        <v>1207</v>
      </c>
      <c r="B61" s="3" t="s">
        <v>1208</v>
      </c>
      <c r="C61" s="3" t="s">
        <v>71</v>
      </c>
      <c r="D61" s="3" t="s">
        <v>72</v>
      </c>
      <c r="E61" s="8">
        <v>5.54</v>
      </c>
      <c r="F61" s="8">
        <v>5.69</v>
      </c>
      <c r="G61" s="8">
        <v>5.8000001907348633</v>
      </c>
      <c r="H61" s="5">
        <f t="shared" si="0"/>
        <v>1.9332195208235925E-2</v>
      </c>
      <c r="I61" s="5">
        <f t="shared" si="1"/>
        <v>4.6931442370913956E-2</v>
      </c>
      <c r="J61" s="5">
        <v>-1.8965517241379182E-2</v>
      </c>
      <c r="K61" s="5">
        <v>0.86333333333333329</v>
      </c>
      <c r="L61" s="5">
        <v>0.80333333333333334</v>
      </c>
      <c r="M61" s="3" t="s">
        <v>47</v>
      </c>
    </row>
    <row r="62" spans="1:13">
      <c r="A62" s="3" t="s">
        <v>1209</v>
      </c>
      <c r="B62" s="3" t="s">
        <v>1210</v>
      </c>
      <c r="C62" s="3" t="s">
        <v>57</v>
      </c>
      <c r="D62" s="3" t="s">
        <v>338</v>
      </c>
      <c r="E62" s="8">
        <v>83.58</v>
      </c>
      <c r="F62" s="8">
        <v>87.73</v>
      </c>
      <c r="G62" s="8">
        <v>87.489997863769531</v>
      </c>
      <c r="H62" s="5">
        <f t="shared" si="0"/>
        <v>-2.7356905987743207E-3</v>
      </c>
      <c r="I62" s="5">
        <f t="shared" si="1"/>
        <v>4.6781501121913482E-2</v>
      </c>
      <c r="J62" s="5">
        <v>-1.264933239634569E-2</v>
      </c>
      <c r="K62" s="5">
        <v>0.36333333333333329</v>
      </c>
      <c r="L62" s="5">
        <v>0.8</v>
      </c>
      <c r="M62" s="3" t="s">
        <v>63</v>
      </c>
    </row>
    <row r="63" spans="1:13">
      <c r="A63" s="3" t="s">
        <v>1211</v>
      </c>
      <c r="B63" s="3" t="s">
        <v>1212</v>
      </c>
      <c r="C63" s="3" t="s">
        <v>90</v>
      </c>
      <c r="D63" s="3" t="s">
        <v>90</v>
      </c>
      <c r="E63" s="8">
        <v>10.92</v>
      </c>
      <c r="F63" s="8">
        <v>11.42</v>
      </c>
      <c r="G63" s="8">
        <v>11.430000305175779</v>
      </c>
      <c r="H63" s="5">
        <f t="shared" si="0"/>
        <v>8.7568346547972631E-4</v>
      </c>
      <c r="I63" s="5">
        <f t="shared" si="1"/>
        <v>4.6703324649796762E-2</v>
      </c>
      <c r="J63" s="5">
        <v>-1.9625334522747621E-2</v>
      </c>
      <c r="K63" s="5">
        <v>0.44333333333333341</v>
      </c>
      <c r="L63" s="5">
        <v>0.79666666666666663</v>
      </c>
      <c r="M63" s="3" t="s">
        <v>63</v>
      </c>
    </row>
    <row r="64" spans="1:13">
      <c r="A64" s="3" t="s">
        <v>1213</v>
      </c>
      <c r="B64" s="3" t="s">
        <v>1214</v>
      </c>
      <c r="C64" s="3" t="s">
        <v>71</v>
      </c>
      <c r="D64" s="3" t="s">
        <v>168</v>
      </c>
      <c r="E64" s="8">
        <v>6.63</v>
      </c>
      <c r="F64" s="8">
        <v>6.8</v>
      </c>
      <c r="G64" s="8">
        <v>6.929999828338623</v>
      </c>
      <c r="H64" s="5">
        <f t="shared" si="0"/>
        <v>1.9117621814503494E-2</v>
      </c>
      <c r="I64" s="5">
        <f t="shared" si="1"/>
        <v>4.5248842886670193E-2</v>
      </c>
      <c r="J64" s="5">
        <v>-3.5511363636363653E-2</v>
      </c>
      <c r="K64" s="5">
        <v>0.85666666666666669</v>
      </c>
      <c r="L64" s="5">
        <v>0.79333333333333333</v>
      </c>
      <c r="M64" s="3" t="s">
        <v>47</v>
      </c>
    </row>
    <row r="65" spans="1:13">
      <c r="A65" s="3" t="s">
        <v>1215</v>
      </c>
      <c r="B65" s="3" t="s">
        <v>1216</v>
      </c>
      <c r="C65" s="3" t="s">
        <v>45</v>
      </c>
      <c r="D65" s="3" t="s">
        <v>46</v>
      </c>
      <c r="E65" s="8">
        <v>6.04</v>
      </c>
      <c r="F65" s="8">
        <v>6.22</v>
      </c>
      <c r="G65" s="8">
        <v>6.309999942779541</v>
      </c>
      <c r="H65" s="5">
        <f t="shared" si="0"/>
        <v>1.4469444176775204E-2</v>
      </c>
      <c r="I65" s="5">
        <f t="shared" si="1"/>
        <v>4.4701977281381033E-2</v>
      </c>
      <c r="J65" s="5">
        <v>-2.423263327948311E-2</v>
      </c>
      <c r="K65" s="5">
        <v>0.77666666666666662</v>
      </c>
      <c r="L65" s="5">
        <v>0.79</v>
      </c>
      <c r="M65" s="3" t="s">
        <v>47</v>
      </c>
    </row>
    <row r="66" spans="1:13">
      <c r="A66" s="3" t="s">
        <v>1217</v>
      </c>
      <c r="B66" s="3" t="s">
        <v>1218</v>
      </c>
      <c r="C66" s="3" t="s">
        <v>80</v>
      </c>
      <c r="D66" s="3" t="s">
        <v>137</v>
      </c>
      <c r="E66" s="8">
        <v>95.74</v>
      </c>
      <c r="F66" s="8">
        <v>99.05</v>
      </c>
      <c r="G66" s="8">
        <v>99.889999389648438</v>
      </c>
      <c r="H66" s="5">
        <f t="shared" ref="H66:H129" si="2">IFERROR(G66/F66-1,"")</f>
        <v>8.480559208969618E-3</v>
      </c>
      <c r="I66" s="5">
        <f t="shared" ref="I66:I129" si="3">IFERROR(G66/E66-1,"")</f>
        <v>4.3346557234681837E-2</v>
      </c>
      <c r="J66" s="5">
        <v>-1.0115314586283669E-2</v>
      </c>
      <c r="K66" s="5">
        <v>0.64666666666666661</v>
      </c>
      <c r="L66" s="5">
        <v>0.78666666666666663</v>
      </c>
      <c r="M66" s="3" t="s">
        <v>63</v>
      </c>
    </row>
    <row r="67" spans="1:13">
      <c r="A67" s="3" t="s">
        <v>1219</v>
      </c>
      <c r="B67" s="3" t="s">
        <v>1220</v>
      </c>
      <c r="C67" s="3" t="s">
        <v>71</v>
      </c>
      <c r="D67" s="3" t="s">
        <v>72</v>
      </c>
      <c r="E67" s="8">
        <v>83.03</v>
      </c>
      <c r="F67" s="8">
        <v>85.29</v>
      </c>
      <c r="G67" s="8">
        <v>86.550003051757813</v>
      </c>
      <c r="H67" s="5">
        <f t="shared" si="2"/>
        <v>1.4773162759500691E-2</v>
      </c>
      <c r="I67" s="5">
        <f t="shared" si="3"/>
        <v>4.2394352062601559E-2</v>
      </c>
      <c r="J67" s="5">
        <v>-4.5284836805973838E-2</v>
      </c>
      <c r="K67" s="5">
        <v>0.78333333333333333</v>
      </c>
      <c r="L67" s="5">
        <v>0.78333333333333333</v>
      </c>
      <c r="M67" s="3" t="s">
        <v>47</v>
      </c>
    </row>
    <row r="68" spans="1:13">
      <c r="A68" s="3" t="s">
        <v>1221</v>
      </c>
      <c r="B68" s="3" t="s">
        <v>1222</v>
      </c>
      <c r="C68" s="3" t="s">
        <v>71</v>
      </c>
      <c r="D68" s="3" t="s">
        <v>168</v>
      </c>
      <c r="E68" s="8">
        <v>8.9700000000000006</v>
      </c>
      <c r="F68" s="8">
        <v>9.16</v>
      </c>
      <c r="G68" s="8">
        <v>9.3500003814697266</v>
      </c>
      <c r="H68" s="5">
        <f t="shared" si="2"/>
        <v>2.0742399723769234E-2</v>
      </c>
      <c r="I68" s="5">
        <f t="shared" si="3"/>
        <v>4.2363476195064198E-2</v>
      </c>
      <c r="J68" s="5">
        <v>-2.386117136659438E-2</v>
      </c>
      <c r="K68" s="5">
        <v>0.88666666666666671</v>
      </c>
      <c r="L68" s="5">
        <v>0.78</v>
      </c>
      <c r="M68" s="3" t="s">
        <v>47</v>
      </c>
    </row>
    <row r="69" spans="1:13">
      <c r="A69" s="3" t="s">
        <v>1223</v>
      </c>
      <c r="B69" s="3" t="s">
        <v>1224</v>
      </c>
      <c r="C69" s="3" t="s">
        <v>40</v>
      </c>
      <c r="D69" s="3" t="s">
        <v>68</v>
      </c>
      <c r="E69" s="8">
        <v>40.04</v>
      </c>
      <c r="F69" s="8">
        <v>41.4</v>
      </c>
      <c r="G69" s="8">
        <v>41.720001220703118</v>
      </c>
      <c r="H69" s="5">
        <f t="shared" si="2"/>
        <v>7.7294980846163153E-3</v>
      </c>
      <c r="I69" s="5">
        <f t="shared" si="3"/>
        <v>4.1958072445132943E-2</v>
      </c>
      <c r="J69" s="5">
        <v>-5.9669811320754773E-2</v>
      </c>
      <c r="K69" s="5">
        <v>0.62333333333333329</v>
      </c>
      <c r="L69" s="5">
        <v>0.77666666666666662</v>
      </c>
      <c r="M69" s="3" t="s">
        <v>63</v>
      </c>
    </row>
    <row r="70" spans="1:13">
      <c r="A70" s="3" t="s">
        <v>1225</v>
      </c>
      <c r="B70" s="3" t="s">
        <v>1226</v>
      </c>
      <c r="C70" s="3" t="s">
        <v>80</v>
      </c>
      <c r="D70" s="3" t="s">
        <v>81</v>
      </c>
      <c r="E70" s="8">
        <v>11.19</v>
      </c>
      <c r="F70" s="8">
        <v>11.67</v>
      </c>
      <c r="G70" s="8">
        <v>11.64999961853027</v>
      </c>
      <c r="H70" s="5">
        <f t="shared" si="2"/>
        <v>-1.7138287463350776E-3</v>
      </c>
      <c r="I70" s="5">
        <f t="shared" si="3"/>
        <v>4.110809817071237E-2</v>
      </c>
      <c r="J70" s="5">
        <v>-3.8427167113494143E-2</v>
      </c>
      <c r="K70" s="5">
        <v>0.39666666666666672</v>
      </c>
      <c r="L70" s="5">
        <v>0.77333333333333332</v>
      </c>
      <c r="M70" s="3" t="s">
        <v>63</v>
      </c>
    </row>
    <row r="71" spans="1:13">
      <c r="A71" s="3" t="s">
        <v>1227</v>
      </c>
      <c r="B71" s="3" t="s">
        <v>1228</v>
      </c>
      <c r="C71" s="3" t="s">
        <v>45</v>
      </c>
      <c r="D71" s="3" t="s">
        <v>345</v>
      </c>
      <c r="E71" s="8">
        <v>16.309999999999999</v>
      </c>
      <c r="F71" s="8">
        <v>17</v>
      </c>
      <c r="G71" s="8">
        <v>16.979999542236332</v>
      </c>
      <c r="H71" s="5">
        <f t="shared" si="2"/>
        <v>-1.1764975155098556E-3</v>
      </c>
      <c r="I71" s="5">
        <f t="shared" si="3"/>
        <v>4.1079064514796704E-2</v>
      </c>
      <c r="J71" s="5">
        <v>-3.0998851894374461E-2</v>
      </c>
      <c r="K71" s="5">
        <v>0.4</v>
      </c>
      <c r="L71" s="5">
        <v>0.77</v>
      </c>
      <c r="M71" s="3" t="s">
        <v>63</v>
      </c>
    </row>
    <row r="72" spans="1:13">
      <c r="A72" s="3" t="s">
        <v>1229</v>
      </c>
      <c r="B72" s="3" t="s">
        <v>1230</v>
      </c>
      <c r="C72" s="3" t="s">
        <v>45</v>
      </c>
      <c r="D72" s="3" t="s">
        <v>46</v>
      </c>
      <c r="E72" s="8">
        <v>37.01</v>
      </c>
      <c r="F72" s="8">
        <v>38.659999999999997</v>
      </c>
      <c r="G72" s="8">
        <v>38.509998321533203</v>
      </c>
      <c r="H72" s="5">
        <f t="shared" si="2"/>
        <v>-3.8800227228865669E-3</v>
      </c>
      <c r="I72" s="5">
        <f t="shared" si="3"/>
        <v>4.052954124650654E-2</v>
      </c>
      <c r="J72" s="5">
        <v>-3.8908403134288012E-2</v>
      </c>
      <c r="K72" s="5">
        <v>0.35333333333333328</v>
      </c>
      <c r="L72" s="5">
        <v>0.76666666666666672</v>
      </c>
      <c r="M72" s="3" t="s">
        <v>63</v>
      </c>
    </row>
    <row r="73" spans="1:13">
      <c r="A73" s="3" t="s">
        <v>1231</v>
      </c>
      <c r="B73" s="3" t="s">
        <v>1232</v>
      </c>
      <c r="C73" s="3" t="s">
        <v>251</v>
      </c>
      <c r="D73" s="3" t="s">
        <v>251</v>
      </c>
      <c r="E73" s="8">
        <v>5.03</v>
      </c>
      <c r="F73" s="8">
        <v>5.18</v>
      </c>
      <c r="G73" s="8">
        <v>5.2300000190734863</v>
      </c>
      <c r="H73" s="5">
        <f t="shared" si="2"/>
        <v>9.6525133346498926E-3</v>
      </c>
      <c r="I73" s="5">
        <f t="shared" si="3"/>
        <v>3.9761435203476303E-2</v>
      </c>
      <c r="J73" s="5">
        <v>-9.6899224806201723E-3</v>
      </c>
      <c r="K73" s="5">
        <v>0.68666666666666665</v>
      </c>
      <c r="L73" s="5">
        <v>0.76333333333333331</v>
      </c>
      <c r="M73" s="3" t="s">
        <v>63</v>
      </c>
    </row>
    <row r="74" spans="1:13">
      <c r="A74" s="3" t="s">
        <v>1233</v>
      </c>
      <c r="B74" s="3" t="s">
        <v>1234</v>
      </c>
      <c r="C74" s="3" t="s">
        <v>71</v>
      </c>
      <c r="D74" s="3" t="s">
        <v>168</v>
      </c>
      <c r="E74" s="8">
        <v>11.47</v>
      </c>
      <c r="F74" s="8">
        <v>11.66</v>
      </c>
      <c r="G74" s="8">
        <v>11.920000076293951</v>
      </c>
      <c r="H74" s="5">
        <f t="shared" si="2"/>
        <v>2.2298462803940877E-2</v>
      </c>
      <c r="I74" s="5">
        <f t="shared" si="3"/>
        <v>3.9232787819873494E-2</v>
      </c>
      <c r="J74" s="5">
        <v>-2.7684563758389239E-2</v>
      </c>
      <c r="K74" s="5">
        <v>0.90666666666666662</v>
      </c>
      <c r="L74" s="5">
        <v>0.76</v>
      </c>
      <c r="M74" s="3" t="s">
        <v>47</v>
      </c>
    </row>
    <row r="75" spans="1:13">
      <c r="A75" s="3" t="s">
        <v>1235</v>
      </c>
      <c r="B75" s="3" t="s">
        <v>1236</v>
      </c>
      <c r="C75" s="3" t="s">
        <v>95</v>
      </c>
      <c r="D75" s="3" t="s">
        <v>99</v>
      </c>
      <c r="E75" s="8">
        <v>13.9</v>
      </c>
      <c r="F75" s="8">
        <v>14.27</v>
      </c>
      <c r="G75" s="8">
        <v>14.439999580383301</v>
      </c>
      <c r="H75" s="5">
        <f t="shared" si="2"/>
        <v>1.1913075009341467E-2</v>
      </c>
      <c r="I75" s="5">
        <f t="shared" si="3"/>
        <v>3.8848890675057479E-2</v>
      </c>
      <c r="J75" s="5">
        <v>-2.230215827338133E-2</v>
      </c>
      <c r="K75" s="5">
        <v>0.7533333333333333</v>
      </c>
      <c r="L75" s="5">
        <v>0.75666666666666671</v>
      </c>
      <c r="M75" s="3" t="s">
        <v>47</v>
      </c>
    </row>
    <row r="76" spans="1:13">
      <c r="A76" s="3" t="s">
        <v>1237</v>
      </c>
      <c r="B76" s="3" t="s">
        <v>1238</v>
      </c>
      <c r="C76" s="3" t="s">
        <v>71</v>
      </c>
      <c r="D76" s="3" t="s">
        <v>72</v>
      </c>
      <c r="E76" s="8">
        <v>21.1</v>
      </c>
      <c r="F76" s="8">
        <v>21.82</v>
      </c>
      <c r="G76" s="8">
        <v>21.89999961853027</v>
      </c>
      <c r="H76" s="5">
        <f t="shared" si="2"/>
        <v>3.6663436539994265E-3</v>
      </c>
      <c r="I76" s="5">
        <f t="shared" si="3"/>
        <v>3.791467386399372E-2</v>
      </c>
      <c r="J76" s="5">
        <v>-3.791469194312802E-2</v>
      </c>
      <c r="K76" s="5">
        <v>0.49333333333333329</v>
      </c>
      <c r="L76" s="5">
        <v>0.7533333333333333</v>
      </c>
      <c r="M76" s="3" t="s">
        <v>63</v>
      </c>
    </row>
    <row r="77" spans="1:13">
      <c r="A77" s="3" t="s">
        <v>1239</v>
      </c>
      <c r="B77" s="3" t="s">
        <v>1240</v>
      </c>
      <c r="C77" s="3" t="s">
        <v>71</v>
      </c>
      <c r="D77" s="3" t="s">
        <v>72</v>
      </c>
      <c r="E77" s="8">
        <v>9.9600000000000009</v>
      </c>
      <c r="F77" s="8">
        <v>10.25</v>
      </c>
      <c r="G77" s="8">
        <v>10.329999923706049</v>
      </c>
      <c r="H77" s="5">
        <f t="shared" si="2"/>
        <v>7.8048706054683059E-3</v>
      </c>
      <c r="I77" s="5">
        <f t="shared" si="3"/>
        <v>3.7148586717474785E-2</v>
      </c>
      <c r="J77" s="5">
        <v>-1.4056224899598461E-2</v>
      </c>
      <c r="K77" s="5">
        <v>0.62666666666666671</v>
      </c>
      <c r="L77" s="5">
        <v>0.75</v>
      </c>
      <c r="M77" s="3" t="s">
        <v>63</v>
      </c>
    </row>
    <row r="78" spans="1:13">
      <c r="A78" s="3" t="s">
        <v>1241</v>
      </c>
      <c r="B78" s="3" t="s">
        <v>1242</v>
      </c>
      <c r="C78" s="3" t="s">
        <v>57</v>
      </c>
      <c r="D78" s="3" t="s">
        <v>376</v>
      </c>
      <c r="E78" s="8">
        <v>89.09</v>
      </c>
      <c r="F78" s="8">
        <v>88.25</v>
      </c>
      <c r="G78" s="8">
        <v>92.349998474121094</v>
      </c>
      <c r="H78" s="5">
        <f t="shared" si="2"/>
        <v>4.6458906222335283E-2</v>
      </c>
      <c r="I78" s="5">
        <f t="shared" si="3"/>
        <v>3.6592192997206174E-2</v>
      </c>
      <c r="J78" s="5">
        <v>-4.9724997193849041E-2</v>
      </c>
      <c r="K78" s="5">
        <v>0.98</v>
      </c>
      <c r="L78" s="5">
        <v>0.7466666666666667</v>
      </c>
      <c r="M78" s="3" t="s">
        <v>47</v>
      </c>
    </row>
    <row r="79" spans="1:13">
      <c r="A79" s="3" t="s">
        <v>1243</v>
      </c>
      <c r="B79" s="3" t="s">
        <v>1244</v>
      </c>
      <c r="C79" s="3" t="s">
        <v>71</v>
      </c>
      <c r="D79" s="3" t="s">
        <v>72</v>
      </c>
      <c r="E79" s="8">
        <v>18.05</v>
      </c>
      <c r="F79" s="8">
        <v>18.71</v>
      </c>
      <c r="G79" s="8">
        <v>18.70999908447266</v>
      </c>
      <c r="H79" s="5">
        <f t="shared" si="2"/>
        <v>-4.893251426274503E-8</v>
      </c>
      <c r="I79" s="5">
        <f t="shared" si="3"/>
        <v>3.6565046231172182E-2</v>
      </c>
      <c r="J79" s="5">
        <v>-2.1606648199446021E-2</v>
      </c>
      <c r="K79" s="5">
        <v>0.40333333333333332</v>
      </c>
      <c r="L79" s="5">
        <v>0.74333333333333329</v>
      </c>
      <c r="M79" s="3" t="s">
        <v>63</v>
      </c>
    </row>
    <row r="80" spans="1:13">
      <c r="A80" s="3" t="s">
        <v>1245</v>
      </c>
      <c r="B80" s="3" t="s">
        <v>1246</v>
      </c>
      <c r="C80" s="3" t="s">
        <v>50</v>
      </c>
      <c r="D80" s="3" t="s">
        <v>50</v>
      </c>
      <c r="E80" s="8">
        <v>9.4499999999999993</v>
      </c>
      <c r="F80" s="8">
        <v>9.77</v>
      </c>
      <c r="G80" s="8">
        <v>9.7899999618530273</v>
      </c>
      <c r="H80" s="5">
        <f t="shared" si="2"/>
        <v>2.0470790023570107E-3</v>
      </c>
      <c r="I80" s="5">
        <f t="shared" si="3"/>
        <v>3.5978831942119482E-2</v>
      </c>
      <c r="J80" s="5">
        <v>-2.9629629629629561E-2</v>
      </c>
      <c r="K80" s="5">
        <v>0.46333333333333332</v>
      </c>
      <c r="L80" s="5">
        <v>0.74</v>
      </c>
      <c r="M80" s="3" t="s">
        <v>63</v>
      </c>
    </row>
    <row r="81" spans="1:13">
      <c r="A81" s="3" t="s">
        <v>1247</v>
      </c>
      <c r="B81" s="3" t="s">
        <v>1248</v>
      </c>
      <c r="C81" s="3" t="s">
        <v>40</v>
      </c>
      <c r="D81" s="3" t="s">
        <v>68</v>
      </c>
      <c r="E81" s="8">
        <v>139.41</v>
      </c>
      <c r="F81" s="8">
        <v>153.4</v>
      </c>
      <c r="G81" s="8">
        <v>144.41999816894531</v>
      </c>
      <c r="H81" s="5">
        <f t="shared" si="2"/>
        <v>-5.8539777255897651E-2</v>
      </c>
      <c r="I81" s="5">
        <f t="shared" si="3"/>
        <v>3.5937150627252779E-2</v>
      </c>
      <c r="J81" s="5">
        <v>-9.9992826913420818E-2</v>
      </c>
      <c r="K81" s="5">
        <v>6.6666666666666671E-3</v>
      </c>
      <c r="L81" s="5">
        <v>0.73666666666666669</v>
      </c>
      <c r="M81" s="3" t="s">
        <v>283</v>
      </c>
    </row>
    <row r="82" spans="1:13">
      <c r="A82" s="3" t="s">
        <v>1249</v>
      </c>
      <c r="B82" s="3" t="s">
        <v>1250</v>
      </c>
      <c r="C82" s="3" t="s">
        <v>71</v>
      </c>
      <c r="D82" s="3" t="s">
        <v>72</v>
      </c>
      <c r="E82" s="8">
        <v>12.05</v>
      </c>
      <c r="F82" s="8">
        <v>12.36</v>
      </c>
      <c r="G82" s="8">
        <v>12.47000026702881</v>
      </c>
      <c r="H82" s="5">
        <f t="shared" si="2"/>
        <v>8.8996979796771569E-3</v>
      </c>
      <c r="I82" s="5">
        <f t="shared" si="3"/>
        <v>3.4854793944299578E-2</v>
      </c>
      <c r="J82" s="5">
        <v>-1.2448132780083049E-2</v>
      </c>
      <c r="K82" s="5">
        <v>0.66333333333333333</v>
      </c>
      <c r="L82" s="5">
        <v>0.73333333333333328</v>
      </c>
      <c r="M82" s="3" t="s">
        <v>63</v>
      </c>
    </row>
    <row r="83" spans="1:13">
      <c r="A83" s="3" t="s">
        <v>1251</v>
      </c>
      <c r="B83" s="3" t="s">
        <v>1252</v>
      </c>
      <c r="C83" s="3" t="s">
        <v>50</v>
      </c>
      <c r="D83" s="3" t="s">
        <v>50</v>
      </c>
      <c r="E83" s="8">
        <v>23.55</v>
      </c>
      <c r="F83" s="8">
        <v>24.72</v>
      </c>
      <c r="G83" s="8">
        <v>24.370000839233398</v>
      </c>
      <c r="H83" s="5">
        <f t="shared" si="2"/>
        <v>-1.4158542102208793E-2</v>
      </c>
      <c r="I83" s="5">
        <f t="shared" si="3"/>
        <v>3.4819568544942614E-2</v>
      </c>
      <c r="J83" s="5">
        <v>-3.948462177888612E-2</v>
      </c>
      <c r="K83" s="5">
        <v>0.2166666666666667</v>
      </c>
      <c r="L83" s="5">
        <v>0.73</v>
      </c>
      <c r="M83" s="3" t="s">
        <v>283</v>
      </c>
    </row>
    <row r="84" spans="1:13">
      <c r="A84" s="3" t="s">
        <v>1253</v>
      </c>
      <c r="B84" s="3" t="s">
        <v>1254</v>
      </c>
      <c r="C84" s="3" t="s">
        <v>40</v>
      </c>
      <c r="D84" s="3" t="s">
        <v>68</v>
      </c>
      <c r="E84" s="8">
        <v>56.27</v>
      </c>
      <c r="F84" s="8">
        <v>57.15</v>
      </c>
      <c r="G84" s="8">
        <v>58.189998626708977</v>
      </c>
      <c r="H84" s="5">
        <f t="shared" si="2"/>
        <v>1.8197701254750287E-2</v>
      </c>
      <c r="I84" s="5">
        <f t="shared" si="3"/>
        <v>3.4121176945245635E-2</v>
      </c>
      <c r="J84" s="5">
        <v>-3.7018169468500561E-2</v>
      </c>
      <c r="K84" s="5">
        <v>0.84333333333333338</v>
      </c>
      <c r="L84" s="5">
        <v>0.72666666666666668</v>
      </c>
      <c r="M84" s="3" t="s">
        <v>47</v>
      </c>
    </row>
    <row r="85" spans="1:13">
      <c r="A85" s="3" t="s">
        <v>1255</v>
      </c>
      <c r="B85" s="3" t="s">
        <v>1256</v>
      </c>
      <c r="C85" s="3" t="s">
        <v>80</v>
      </c>
      <c r="D85" s="3" t="s">
        <v>81</v>
      </c>
      <c r="E85" s="8">
        <v>44.48</v>
      </c>
      <c r="F85" s="8">
        <v>43.99</v>
      </c>
      <c r="G85" s="8">
        <v>45.939998626708977</v>
      </c>
      <c r="H85" s="5">
        <f t="shared" si="2"/>
        <v>4.4328225203659422E-2</v>
      </c>
      <c r="I85" s="5">
        <f t="shared" si="3"/>
        <v>3.2823710132845685E-2</v>
      </c>
      <c r="J85" s="5">
        <v>-0.1187569367369589</v>
      </c>
      <c r="K85" s="5">
        <v>0.97</v>
      </c>
      <c r="L85" s="5">
        <v>0.72333333333333338</v>
      </c>
      <c r="M85" s="3" t="s">
        <v>47</v>
      </c>
    </row>
    <row r="86" spans="1:13">
      <c r="A86" s="3" t="s">
        <v>1257</v>
      </c>
      <c r="B86" s="3" t="s">
        <v>1258</v>
      </c>
      <c r="C86" s="3" t="s">
        <v>45</v>
      </c>
      <c r="D86" s="3" t="s">
        <v>46</v>
      </c>
      <c r="E86" s="8">
        <v>29.59</v>
      </c>
      <c r="F86" s="8">
        <v>29.79</v>
      </c>
      <c r="G86" s="8">
        <v>30.54000091552734</v>
      </c>
      <c r="H86" s="5">
        <f t="shared" si="2"/>
        <v>2.5176264368155232E-2</v>
      </c>
      <c r="I86" s="5">
        <f t="shared" si="3"/>
        <v>3.2105471967804666E-2</v>
      </c>
      <c r="J86" s="5">
        <v>-2.00657894736842E-2</v>
      </c>
      <c r="K86" s="5">
        <v>0.93333333333333335</v>
      </c>
      <c r="L86" s="5">
        <v>0.72</v>
      </c>
      <c r="M86" s="3" t="s">
        <v>47</v>
      </c>
    </row>
    <row r="87" spans="1:13">
      <c r="A87" s="3" t="s">
        <v>1259</v>
      </c>
      <c r="B87" s="3" t="s">
        <v>1260</v>
      </c>
      <c r="C87" s="3" t="s">
        <v>50</v>
      </c>
      <c r="D87" s="3" t="s">
        <v>50</v>
      </c>
      <c r="E87" s="8">
        <v>46.6</v>
      </c>
      <c r="F87" s="8">
        <v>48.4</v>
      </c>
      <c r="G87" s="8">
        <v>48.080001831054688</v>
      </c>
      <c r="H87" s="5">
        <f t="shared" si="2"/>
        <v>-6.6115324162254741E-3</v>
      </c>
      <c r="I87" s="5">
        <f t="shared" si="3"/>
        <v>3.1759695945379418E-2</v>
      </c>
      <c r="J87" s="5">
        <v>-5.5364806866952783E-2</v>
      </c>
      <c r="K87" s="5">
        <v>0.30666666666666659</v>
      </c>
      <c r="L87" s="5">
        <v>0.71666666666666667</v>
      </c>
      <c r="M87" s="3" t="s">
        <v>63</v>
      </c>
    </row>
    <row r="88" spans="1:13">
      <c r="A88" s="3" t="s">
        <v>1261</v>
      </c>
      <c r="B88" s="3" t="s">
        <v>1262</v>
      </c>
      <c r="C88" s="3" t="s">
        <v>71</v>
      </c>
      <c r="D88" s="3" t="s">
        <v>168</v>
      </c>
      <c r="E88" s="8">
        <v>16.559999999999999</v>
      </c>
      <c r="F88" s="8">
        <v>16.73</v>
      </c>
      <c r="G88" s="8">
        <v>17.069999694824219</v>
      </c>
      <c r="H88" s="5">
        <f t="shared" si="2"/>
        <v>2.0322755219618571E-2</v>
      </c>
      <c r="I88" s="5">
        <f t="shared" si="3"/>
        <v>3.0797083020786209E-2</v>
      </c>
      <c r="J88" s="5">
        <v>-1.3674197384066609E-2</v>
      </c>
      <c r="K88" s="5">
        <v>0.8833333333333333</v>
      </c>
      <c r="L88" s="5">
        <v>0.71333333333333337</v>
      </c>
      <c r="M88" s="3" t="s">
        <v>47</v>
      </c>
    </row>
    <row r="89" spans="1:13">
      <c r="A89" s="3" t="s">
        <v>1263</v>
      </c>
      <c r="B89" s="3" t="s">
        <v>1264</v>
      </c>
      <c r="C89" s="3" t="s">
        <v>45</v>
      </c>
      <c r="D89" s="3" t="s">
        <v>46</v>
      </c>
      <c r="E89" s="8">
        <v>24.75</v>
      </c>
      <c r="F89" s="8">
        <v>25.68</v>
      </c>
      <c r="G89" s="8">
        <v>25.510000228881839</v>
      </c>
      <c r="H89" s="5">
        <f t="shared" si="2"/>
        <v>-6.6199287818597963E-3</v>
      </c>
      <c r="I89" s="5">
        <f t="shared" si="3"/>
        <v>3.0707079954821692E-2</v>
      </c>
      <c r="J89" s="5">
        <v>-3.4747474747474749E-2</v>
      </c>
      <c r="K89" s="5">
        <v>0.30333333333333329</v>
      </c>
      <c r="L89" s="5">
        <v>0.71</v>
      </c>
      <c r="M89" s="3" t="s">
        <v>63</v>
      </c>
    </row>
    <row r="90" spans="1:13">
      <c r="A90" s="3" t="s">
        <v>1265</v>
      </c>
      <c r="B90" s="3" t="s">
        <v>1266</v>
      </c>
      <c r="C90" s="3" t="s">
        <v>57</v>
      </c>
      <c r="D90" s="3" t="s">
        <v>376</v>
      </c>
      <c r="E90" s="8">
        <v>56.16</v>
      </c>
      <c r="F90" s="8">
        <v>56.59</v>
      </c>
      <c r="G90" s="8">
        <v>57.849998474121087</v>
      </c>
      <c r="H90" s="5">
        <f t="shared" si="2"/>
        <v>2.2265390954604669E-2</v>
      </c>
      <c r="I90" s="5">
        <f t="shared" si="3"/>
        <v>3.0092565422384032E-2</v>
      </c>
      <c r="J90" s="5">
        <v>-2.4352331606217529E-2</v>
      </c>
      <c r="K90" s="5">
        <v>0.90333333333333332</v>
      </c>
      <c r="L90" s="5">
        <v>0.70666666666666667</v>
      </c>
      <c r="M90" s="3" t="s">
        <v>47</v>
      </c>
    </row>
    <row r="91" spans="1:13">
      <c r="A91" s="3" t="s">
        <v>1267</v>
      </c>
      <c r="B91" s="3" t="s">
        <v>1268</v>
      </c>
      <c r="C91" s="3" t="s">
        <v>50</v>
      </c>
      <c r="D91" s="3" t="s">
        <v>50</v>
      </c>
      <c r="E91" s="8">
        <v>21.04</v>
      </c>
      <c r="F91" s="8">
        <v>21.45</v>
      </c>
      <c r="G91" s="8">
        <v>21.670000076293949</v>
      </c>
      <c r="H91" s="5">
        <f t="shared" si="2"/>
        <v>1.0256413813237719E-2</v>
      </c>
      <c r="I91" s="5">
        <f t="shared" si="3"/>
        <v>2.9942969405605924E-2</v>
      </c>
      <c r="J91" s="5">
        <v>-5.1330798479087392E-2</v>
      </c>
      <c r="K91" s="5">
        <v>0.71</v>
      </c>
      <c r="L91" s="5">
        <v>0.70333333333333337</v>
      </c>
      <c r="M91" s="3" t="s">
        <v>63</v>
      </c>
    </row>
    <row r="92" spans="1:13">
      <c r="A92" s="3" t="s">
        <v>1269</v>
      </c>
      <c r="B92" s="3" t="s">
        <v>1270</v>
      </c>
      <c r="C92" s="3" t="s">
        <v>251</v>
      </c>
      <c r="D92" s="3" t="s">
        <v>251</v>
      </c>
      <c r="E92" s="8">
        <v>15.33</v>
      </c>
      <c r="F92" s="8">
        <v>15.55</v>
      </c>
      <c r="G92" s="8">
        <v>15.77000045776367</v>
      </c>
      <c r="H92" s="5">
        <f t="shared" si="2"/>
        <v>1.4147939406023768E-2</v>
      </c>
      <c r="I92" s="5">
        <f t="shared" si="3"/>
        <v>2.870192157623408E-2</v>
      </c>
      <c r="J92" s="5">
        <v>-1.929260450160775E-2</v>
      </c>
      <c r="K92" s="5">
        <v>0.76666666666666672</v>
      </c>
      <c r="L92" s="5">
        <v>0.7</v>
      </c>
      <c r="M92" s="3" t="s">
        <v>47</v>
      </c>
    </row>
    <row r="93" spans="1:13">
      <c r="A93" s="3" t="s">
        <v>1271</v>
      </c>
      <c r="B93" s="3" t="s">
        <v>1272</v>
      </c>
      <c r="C93" s="3" t="s">
        <v>45</v>
      </c>
      <c r="D93" s="3" t="s">
        <v>46</v>
      </c>
      <c r="E93" s="8">
        <v>33.49</v>
      </c>
      <c r="F93" s="8">
        <v>34.08</v>
      </c>
      <c r="G93" s="8">
        <v>34.430000305175781</v>
      </c>
      <c r="H93" s="5">
        <f t="shared" si="2"/>
        <v>1.0269962006331568E-2</v>
      </c>
      <c r="I93" s="5">
        <f t="shared" si="3"/>
        <v>2.8068089136332519E-2</v>
      </c>
      <c r="J93" s="5">
        <v>-2.0126509488211711E-2</v>
      </c>
      <c r="K93" s="5">
        <v>0.71333333333333337</v>
      </c>
      <c r="L93" s="5">
        <v>0.69666666666666666</v>
      </c>
      <c r="M93" s="3" t="s">
        <v>63</v>
      </c>
    </row>
    <row r="94" spans="1:13">
      <c r="A94" s="3" t="s">
        <v>1273</v>
      </c>
      <c r="B94" s="3" t="s">
        <v>1274</v>
      </c>
      <c r="C94" s="3" t="s">
        <v>40</v>
      </c>
      <c r="D94" s="3" t="s">
        <v>161</v>
      </c>
      <c r="E94" s="8">
        <v>198.05</v>
      </c>
      <c r="F94" s="8">
        <v>194.59</v>
      </c>
      <c r="G94" s="8">
        <v>203.6000061035156</v>
      </c>
      <c r="H94" s="5">
        <f t="shared" si="2"/>
        <v>4.6302513507968435E-2</v>
      </c>
      <c r="I94" s="5">
        <f t="shared" si="3"/>
        <v>2.8023257276019065E-2</v>
      </c>
      <c r="J94" s="5">
        <v>-0.1184044433223934</v>
      </c>
      <c r="K94" s="5">
        <v>0.97666666666666668</v>
      </c>
      <c r="L94" s="5">
        <v>0.69333333333333336</v>
      </c>
      <c r="M94" s="3" t="s">
        <v>47</v>
      </c>
    </row>
    <row r="95" spans="1:13">
      <c r="A95" s="3" t="s">
        <v>1275</v>
      </c>
      <c r="B95" s="3" t="s">
        <v>1276</v>
      </c>
      <c r="C95" s="3" t="s">
        <v>71</v>
      </c>
      <c r="D95" s="3" t="s">
        <v>72</v>
      </c>
      <c r="E95" s="8">
        <v>9</v>
      </c>
      <c r="F95" s="8">
        <v>9.19</v>
      </c>
      <c r="G95" s="8">
        <v>9.25</v>
      </c>
      <c r="H95" s="5">
        <f t="shared" si="2"/>
        <v>6.5288356909685152E-3</v>
      </c>
      <c r="I95" s="5">
        <f t="shared" si="3"/>
        <v>2.7777777777777679E-2</v>
      </c>
      <c r="J95" s="5">
        <v>-1.3333333333333201E-2</v>
      </c>
      <c r="K95" s="5">
        <v>0.58666666666666667</v>
      </c>
      <c r="L95" s="5">
        <v>0.69</v>
      </c>
      <c r="M95" s="3" t="s">
        <v>63</v>
      </c>
    </row>
    <row r="96" spans="1:13">
      <c r="A96" s="3" t="s">
        <v>1277</v>
      </c>
      <c r="B96" s="3" t="s">
        <v>1278</v>
      </c>
      <c r="C96" s="3" t="s">
        <v>90</v>
      </c>
      <c r="D96" s="3" t="s">
        <v>90</v>
      </c>
      <c r="E96" s="8">
        <v>33.58</v>
      </c>
      <c r="F96" s="8">
        <v>34.71</v>
      </c>
      <c r="G96" s="8">
        <v>34.509998321533203</v>
      </c>
      <c r="H96" s="5">
        <f t="shared" si="2"/>
        <v>-5.7620765908037441E-3</v>
      </c>
      <c r="I96" s="5">
        <f t="shared" si="3"/>
        <v>2.7695006597177052E-2</v>
      </c>
      <c r="J96" s="5">
        <v>-1.5652687536916728E-2</v>
      </c>
      <c r="K96" s="5">
        <v>0.31666666666666671</v>
      </c>
      <c r="L96" s="5">
        <v>0.68666666666666665</v>
      </c>
      <c r="M96" s="3" t="s">
        <v>63</v>
      </c>
    </row>
    <row r="97" spans="1:13">
      <c r="A97" s="3" t="s">
        <v>1279</v>
      </c>
      <c r="B97" s="3" t="s">
        <v>1280</v>
      </c>
      <c r="C97" s="3" t="s">
        <v>57</v>
      </c>
      <c r="D97" s="3" t="s">
        <v>376</v>
      </c>
      <c r="E97" s="8">
        <v>5.0999999999999996</v>
      </c>
      <c r="F97" s="8">
        <v>5.22</v>
      </c>
      <c r="G97" s="8">
        <v>5.2399997711181641</v>
      </c>
      <c r="H97" s="5">
        <f t="shared" si="2"/>
        <v>3.8313737774260392E-3</v>
      </c>
      <c r="I97" s="5">
        <f t="shared" si="3"/>
        <v>2.7450935513365637E-2</v>
      </c>
      <c r="J97" s="5">
        <v>-5.5452865064694927E-2</v>
      </c>
      <c r="K97" s="5">
        <v>0.5033333333333333</v>
      </c>
      <c r="L97" s="5">
        <v>0.68333333333333335</v>
      </c>
      <c r="M97" s="3" t="s">
        <v>63</v>
      </c>
    </row>
    <row r="98" spans="1:13">
      <c r="A98" s="3" t="s">
        <v>1281</v>
      </c>
      <c r="B98" s="3" t="s">
        <v>1282</v>
      </c>
      <c r="C98" s="3" t="s">
        <v>50</v>
      </c>
      <c r="D98" s="3" t="s">
        <v>50</v>
      </c>
      <c r="E98" s="8">
        <v>47.93</v>
      </c>
      <c r="F98" s="8">
        <v>49.9</v>
      </c>
      <c r="G98" s="8">
        <v>49.220001220703118</v>
      </c>
      <c r="H98" s="5">
        <f t="shared" si="2"/>
        <v>-1.3627230046029726E-2</v>
      </c>
      <c r="I98" s="5">
        <f t="shared" si="3"/>
        <v>2.6914275416296984E-2</v>
      </c>
      <c r="J98" s="5">
        <v>-4.2566191446028578E-2</v>
      </c>
      <c r="K98" s="5">
        <v>0.22666666666666671</v>
      </c>
      <c r="L98" s="5">
        <v>0.68</v>
      </c>
      <c r="M98" s="3" t="s">
        <v>283</v>
      </c>
    </row>
    <row r="99" spans="1:13">
      <c r="A99" s="3" t="s">
        <v>1283</v>
      </c>
      <c r="B99" s="3" t="s">
        <v>1284</v>
      </c>
      <c r="C99" s="3" t="s">
        <v>57</v>
      </c>
      <c r="D99" s="3" t="s">
        <v>376</v>
      </c>
      <c r="E99" s="8">
        <v>15.32</v>
      </c>
      <c r="F99" s="8">
        <v>15.45</v>
      </c>
      <c r="G99" s="8">
        <v>15.72000026702881</v>
      </c>
      <c r="H99" s="5">
        <f t="shared" si="2"/>
        <v>1.7475745438757961E-2</v>
      </c>
      <c r="I99" s="5">
        <f t="shared" si="3"/>
        <v>2.6109678004491599E-2</v>
      </c>
      <c r="J99" s="5">
        <v>-1.229773462783168E-2</v>
      </c>
      <c r="K99" s="5">
        <v>0.83</v>
      </c>
      <c r="L99" s="5">
        <v>0.67666666666666664</v>
      </c>
      <c r="M99" s="3" t="s">
        <v>47</v>
      </c>
    </row>
    <row r="100" spans="1:13">
      <c r="A100" s="3" t="s">
        <v>1285</v>
      </c>
      <c r="B100" s="3" t="s">
        <v>1286</v>
      </c>
      <c r="C100" s="3" t="s">
        <v>71</v>
      </c>
      <c r="D100" s="3" t="s">
        <v>72</v>
      </c>
      <c r="E100" s="8">
        <v>19.100000000000001</v>
      </c>
      <c r="F100" s="8">
        <v>19.420000000000002</v>
      </c>
      <c r="G100" s="8">
        <v>19.579999923706051</v>
      </c>
      <c r="H100" s="5">
        <f t="shared" si="2"/>
        <v>8.2389250106100764E-3</v>
      </c>
      <c r="I100" s="5">
        <f t="shared" si="3"/>
        <v>2.5130886057908253E-2</v>
      </c>
      <c r="J100" s="5">
        <v>-2.6701570680628391E-2</v>
      </c>
      <c r="K100" s="5">
        <v>0.64333333333333331</v>
      </c>
      <c r="L100" s="5">
        <v>0.67333333333333334</v>
      </c>
      <c r="M100" s="3" t="s">
        <v>63</v>
      </c>
    </row>
    <row r="101" spans="1:13">
      <c r="A101" s="3" t="s">
        <v>1287</v>
      </c>
      <c r="B101" s="3" t="s">
        <v>1288</v>
      </c>
      <c r="C101" s="3" t="s">
        <v>71</v>
      </c>
      <c r="D101" s="3" t="s">
        <v>72</v>
      </c>
      <c r="E101" s="8">
        <v>14.45</v>
      </c>
      <c r="F101" s="8">
        <v>14.72</v>
      </c>
      <c r="G101" s="8">
        <v>14.810000419616699</v>
      </c>
      <c r="H101" s="5">
        <f t="shared" si="2"/>
        <v>6.1141589413518105E-3</v>
      </c>
      <c r="I101" s="5">
        <f t="shared" si="3"/>
        <v>2.491352384890666E-2</v>
      </c>
      <c r="J101" s="5">
        <v>-1.5916955017300949E-2</v>
      </c>
      <c r="K101" s="5">
        <v>0.56666666666666665</v>
      </c>
      <c r="L101" s="5">
        <v>0.67</v>
      </c>
      <c r="M101" s="3" t="s">
        <v>63</v>
      </c>
    </row>
    <row r="102" spans="1:13">
      <c r="A102" s="3" t="s">
        <v>1289</v>
      </c>
      <c r="B102" s="3" t="s">
        <v>1290</v>
      </c>
      <c r="C102" s="3" t="s">
        <v>45</v>
      </c>
      <c r="D102" s="3" t="s">
        <v>46</v>
      </c>
      <c r="E102" s="8">
        <v>8.0399999999999991</v>
      </c>
      <c r="F102" s="8">
        <v>7.89</v>
      </c>
      <c r="G102" s="8">
        <v>8.2399997711181641</v>
      </c>
      <c r="H102" s="5">
        <f t="shared" si="2"/>
        <v>4.4359920293810529E-2</v>
      </c>
      <c r="I102" s="5">
        <f t="shared" si="3"/>
        <v>2.4875593422657438E-2</v>
      </c>
      <c r="J102" s="5">
        <v>-2.712700369913679E-2</v>
      </c>
      <c r="K102" s="5">
        <v>0.97333333333333338</v>
      </c>
      <c r="L102" s="5">
        <v>0.66666666666666663</v>
      </c>
      <c r="M102" s="3" t="s">
        <v>47</v>
      </c>
    </row>
    <row r="103" spans="1:13">
      <c r="A103" s="3" t="s">
        <v>1291</v>
      </c>
      <c r="B103" s="3" t="s">
        <v>1292</v>
      </c>
      <c r="C103" s="3" t="s">
        <v>71</v>
      </c>
      <c r="D103" s="3" t="s">
        <v>72</v>
      </c>
      <c r="E103" s="8">
        <v>9.25</v>
      </c>
      <c r="F103" s="8">
        <v>9.39</v>
      </c>
      <c r="G103" s="8">
        <v>9.4799995422363281</v>
      </c>
      <c r="H103" s="5">
        <f t="shared" si="2"/>
        <v>9.5846157866164017E-3</v>
      </c>
      <c r="I103" s="5">
        <f t="shared" si="3"/>
        <v>2.486481537690044E-2</v>
      </c>
      <c r="J103" s="5">
        <v>-1.081081081081081E-2</v>
      </c>
      <c r="K103" s="5">
        <v>0.68333333333333335</v>
      </c>
      <c r="L103" s="5">
        <v>0.66333333333333333</v>
      </c>
      <c r="M103" s="3" t="s">
        <v>63</v>
      </c>
    </row>
    <row r="104" spans="1:13">
      <c r="A104" s="3" t="s">
        <v>1293</v>
      </c>
      <c r="B104" s="3" t="s">
        <v>1294</v>
      </c>
      <c r="C104" s="3" t="s">
        <v>251</v>
      </c>
      <c r="D104" s="3" t="s">
        <v>251</v>
      </c>
      <c r="E104" s="8">
        <v>4.55</v>
      </c>
      <c r="F104" s="8">
        <v>4.59</v>
      </c>
      <c r="G104" s="8">
        <v>4.6599998474121094</v>
      </c>
      <c r="H104" s="5">
        <f t="shared" si="2"/>
        <v>1.5250511418760215E-2</v>
      </c>
      <c r="I104" s="5">
        <f t="shared" si="3"/>
        <v>2.4175790640024175E-2</v>
      </c>
      <c r="J104" s="5">
        <v>-2.3404255319149029E-2</v>
      </c>
      <c r="K104" s="5">
        <v>0.79333333333333333</v>
      </c>
      <c r="L104" s="5">
        <v>0.66</v>
      </c>
      <c r="M104" s="3" t="s">
        <v>47</v>
      </c>
    </row>
    <row r="105" spans="1:13">
      <c r="A105" s="3" t="s">
        <v>1295</v>
      </c>
      <c r="B105" s="3" t="s">
        <v>1296</v>
      </c>
      <c r="C105" s="3" t="s">
        <v>71</v>
      </c>
      <c r="D105" s="3" t="s">
        <v>168</v>
      </c>
      <c r="E105" s="8">
        <v>2.9</v>
      </c>
      <c r="F105" s="8">
        <v>2.9</v>
      </c>
      <c r="G105" s="8">
        <v>2.970000028610229</v>
      </c>
      <c r="H105" s="5">
        <f t="shared" si="2"/>
        <v>2.4137940900079036E-2</v>
      </c>
      <c r="I105" s="5">
        <f t="shared" si="3"/>
        <v>2.4137940900079036E-2</v>
      </c>
      <c r="J105" s="5">
        <v>-2.6936026936026921E-2</v>
      </c>
      <c r="K105" s="5">
        <v>0.92333333333333334</v>
      </c>
      <c r="L105" s="5">
        <v>0.65666666666666662</v>
      </c>
      <c r="M105" s="3" t="s">
        <v>47</v>
      </c>
    </row>
    <row r="106" spans="1:13">
      <c r="A106" s="3" t="s">
        <v>1297</v>
      </c>
      <c r="B106" s="3" t="s">
        <v>1298</v>
      </c>
      <c r="C106" s="3" t="s">
        <v>40</v>
      </c>
      <c r="D106" s="3" t="s">
        <v>41</v>
      </c>
      <c r="E106" s="8">
        <v>21.69</v>
      </c>
      <c r="F106" s="8">
        <v>22</v>
      </c>
      <c r="G106" s="8">
        <v>22.20999908447266</v>
      </c>
      <c r="H106" s="5">
        <f t="shared" si="2"/>
        <v>9.5454129305754254E-3</v>
      </c>
      <c r="I106" s="5">
        <f t="shared" si="3"/>
        <v>2.3974139440878783E-2</v>
      </c>
      <c r="J106" s="5">
        <v>-3.2272936837252297E-2</v>
      </c>
      <c r="K106" s="5">
        <v>0.68</v>
      </c>
      <c r="L106" s="5">
        <v>0.65333333333333332</v>
      </c>
      <c r="M106" s="3" t="s">
        <v>63</v>
      </c>
    </row>
    <row r="107" spans="1:13">
      <c r="A107" s="3" t="s">
        <v>1299</v>
      </c>
      <c r="B107" s="3" t="s">
        <v>1300</v>
      </c>
      <c r="C107" s="3" t="s">
        <v>61</v>
      </c>
      <c r="D107" s="3" t="s">
        <v>77</v>
      </c>
      <c r="E107" s="8">
        <v>49.5</v>
      </c>
      <c r="F107" s="8">
        <v>50.39</v>
      </c>
      <c r="G107" s="8">
        <v>50.680000305175781</v>
      </c>
      <c r="H107" s="5">
        <f t="shared" si="2"/>
        <v>5.7551161971776121E-3</v>
      </c>
      <c r="I107" s="5">
        <f t="shared" si="3"/>
        <v>2.3838390003551035E-2</v>
      </c>
      <c r="J107" s="5">
        <v>-1.7526389165504971E-2</v>
      </c>
      <c r="K107" s="5">
        <v>0.55000000000000004</v>
      </c>
      <c r="L107" s="5">
        <v>0.65</v>
      </c>
      <c r="M107" s="3" t="s">
        <v>63</v>
      </c>
    </row>
    <row r="108" spans="1:13">
      <c r="A108" s="3" t="s">
        <v>1301</v>
      </c>
      <c r="B108" s="3" t="s">
        <v>1302</v>
      </c>
      <c r="C108" s="3" t="s">
        <v>71</v>
      </c>
      <c r="D108" s="3" t="s">
        <v>72</v>
      </c>
      <c r="E108" s="8">
        <v>27.39</v>
      </c>
      <c r="F108" s="8">
        <v>27.8</v>
      </c>
      <c r="G108" s="8">
        <v>28.020000457763668</v>
      </c>
      <c r="H108" s="5">
        <f t="shared" si="2"/>
        <v>7.9136855310670828E-3</v>
      </c>
      <c r="I108" s="5">
        <f t="shared" si="3"/>
        <v>2.3001112003054658E-2</v>
      </c>
      <c r="J108" s="5">
        <v>-1.2778386272362271E-2</v>
      </c>
      <c r="K108" s="5">
        <v>0.6333333333333333</v>
      </c>
      <c r="L108" s="5">
        <v>0.64666666666666661</v>
      </c>
      <c r="M108" s="3" t="s">
        <v>63</v>
      </c>
    </row>
    <row r="109" spans="1:13">
      <c r="A109" s="3" t="s">
        <v>1303</v>
      </c>
      <c r="B109" s="3" t="s">
        <v>1304</v>
      </c>
      <c r="C109" s="3" t="s">
        <v>90</v>
      </c>
      <c r="D109" s="3" t="s">
        <v>90</v>
      </c>
      <c r="E109" s="8">
        <v>17.98</v>
      </c>
      <c r="F109" s="8">
        <v>18.75</v>
      </c>
      <c r="G109" s="8">
        <v>18.389999389648441</v>
      </c>
      <c r="H109" s="5">
        <f t="shared" si="2"/>
        <v>-1.9200032552083135E-2</v>
      </c>
      <c r="I109" s="5">
        <f t="shared" si="3"/>
        <v>2.2803080625608541E-2</v>
      </c>
      <c r="J109" s="5">
        <v>-7.0778564206269046E-2</v>
      </c>
      <c r="K109" s="5">
        <v>0.16666666666666671</v>
      </c>
      <c r="L109" s="5">
        <v>0.64333333333333331</v>
      </c>
      <c r="M109" s="3" t="s">
        <v>283</v>
      </c>
    </row>
    <row r="110" spans="1:13">
      <c r="A110" s="3" t="s">
        <v>1305</v>
      </c>
      <c r="B110" s="3" t="s">
        <v>1306</v>
      </c>
      <c r="C110" s="3" t="s">
        <v>50</v>
      </c>
      <c r="D110" s="3" t="s">
        <v>50</v>
      </c>
      <c r="E110" s="8">
        <v>2.2200000000000002</v>
      </c>
      <c r="F110" s="8">
        <v>2.25</v>
      </c>
      <c r="G110" s="8">
        <v>2.2699999809265141</v>
      </c>
      <c r="H110" s="5">
        <f t="shared" si="2"/>
        <v>8.8888804117841502E-3</v>
      </c>
      <c r="I110" s="5">
        <f t="shared" si="3"/>
        <v>2.252251393086202E-2</v>
      </c>
      <c r="J110" s="5">
        <v>-2.2522522522522629E-2</v>
      </c>
      <c r="K110" s="5">
        <v>0.66</v>
      </c>
      <c r="L110" s="5">
        <v>0.64</v>
      </c>
      <c r="M110" s="3" t="s">
        <v>63</v>
      </c>
    </row>
    <row r="111" spans="1:13">
      <c r="A111" s="3" t="s">
        <v>1307</v>
      </c>
      <c r="B111" s="3" t="s">
        <v>1308</v>
      </c>
      <c r="C111" s="3" t="s">
        <v>71</v>
      </c>
      <c r="D111" s="3" t="s">
        <v>72</v>
      </c>
      <c r="E111" s="8">
        <v>5.82</v>
      </c>
      <c r="F111" s="8">
        <v>5.92</v>
      </c>
      <c r="G111" s="8">
        <v>5.9499998092651367</v>
      </c>
      <c r="H111" s="5">
        <f t="shared" si="2"/>
        <v>5.067535348840746E-3</v>
      </c>
      <c r="I111" s="5">
        <f t="shared" si="3"/>
        <v>2.2336736987136785E-2</v>
      </c>
      <c r="J111" s="5">
        <v>-8.5910652920963004E-3</v>
      </c>
      <c r="K111" s="5">
        <v>0.53666666666666663</v>
      </c>
      <c r="L111" s="5">
        <v>0.63666666666666671</v>
      </c>
      <c r="M111" s="3" t="s">
        <v>63</v>
      </c>
    </row>
    <row r="112" spans="1:13">
      <c r="A112" s="3" t="s">
        <v>1309</v>
      </c>
      <c r="B112" s="3" t="s">
        <v>1310</v>
      </c>
      <c r="C112" s="3" t="s">
        <v>40</v>
      </c>
      <c r="D112" s="3" t="s">
        <v>68</v>
      </c>
      <c r="E112" s="8">
        <v>35.18</v>
      </c>
      <c r="F112" s="8">
        <v>35.79</v>
      </c>
      <c r="G112" s="8">
        <v>35.919998168945313</v>
      </c>
      <c r="H112" s="5">
        <f t="shared" si="2"/>
        <v>3.6322483639372738E-3</v>
      </c>
      <c r="I112" s="5">
        <f t="shared" si="3"/>
        <v>2.1034626746597951E-2</v>
      </c>
      <c r="J112" s="5">
        <v>-3.6668561682774332E-2</v>
      </c>
      <c r="K112" s="5">
        <v>0.49</v>
      </c>
      <c r="L112" s="5">
        <v>0.6333333333333333</v>
      </c>
      <c r="M112" s="3" t="s">
        <v>63</v>
      </c>
    </row>
    <row r="113" spans="1:13">
      <c r="A113" s="3" t="s">
        <v>1311</v>
      </c>
      <c r="B113" s="3" t="s">
        <v>1312</v>
      </c>
      <c r="C113" s="3" t="s">
        <v>71</v>
      </c>
      <c r="D113" s="3" t="s">
        <v>72</v>
      </c>
      <c r="E113" s="8">
        <v>6.84</v>
      </c>
      <c r="F113" s="8">
        <v>6.88</v>
      </c>
      <c r="G113" s="8">
        <v>6.9800000190734863</v>
      </c>
      <c r="H113" s="5">
        <f t="shared" si="2"/>
        <v>1.4534886493239307E-2</v>
      </c>
      <c r="I113" s="5">
        <f t="shared" si="3"/>
        <v>2.0467839045831271E-2</v>
      </c>
      <c r="J113" s="5">
        <v>-2.7777777777777679E-2</v>
      </c>
      <c r="K113" s="5">
        <v>0.78</v>
      </c>
      <c r="L113" s="5">
        <v>0.63</v>
      </c>
      <c r="M113" s="3" t="s">
        <v>47</v>
      </c>
    </row>
    <row r="114" spans="1:13">
      <c r="A114" s="3" t="s">
        <v>1313</v>
      </c>
      <c r="B114" s="3" t="s">
        <v>1314</v>
      </c>
      <c r="C114" s="3" t="s">
        <v>45</v>
      </c>
      <c r="D114" s="3" t="s">
        <v>46</v>
      </c>
      <c r="E114" s="8">
        <v>5.87</v>
      </c>
      <c r="F114" s="8">
        <v>5.93</v>
      </c>
      <c r="G114" s="8">
        <v>5.9899997711181641</v>
      </c>
      <c r="H114" s="5">
        <f t="shared" si="2"/>
        <v>1.011800524758244E-2</v>
      </c>
      <c r="I114" s="5">
        <f t="shared" si="3"/>
        <v>2.0442891161527088E-2</v>
      </c>
      <c r="J114" s="5">
        <v>-1.495016611295674E-2</v>
      </c>
      <c r="K114" s="5">
        <v>0.70666666666666667</v>
      </c>
      <c r="L114" s="5">
        <v>0.62666666666666671</v>
      </c>
      <c r="M114" s="3" t="s">
        <v>63</v>
      </c>
    </row>
    <row r="115" spans="1:13">
      <c r="A115" s="3" t="s">
        <v>1315</v>
      </c>
      <c r="B115" s="3" t="s">
        <v>1316</v>
      </c>
      <c r="C115" s="3" t="s">
        <v>45</v>
      </c>
      <c r="D115" s="3" t="s">
        <v>345</v>
      </c>
      <c r="E115" s="8">
        <v>23</v>
      </c>
      <c r="F115" s="8">
        <v>23.33</v>
      </c>
      <c r="G115" s="8">
        <v>23.469999313354489</v>
      </c>
      <c r="H115" s="5">
        <f t="shared" si="2"/>
        <v>6.0008278334544585E-3</v>
      </c>
      <c r="I115" s="5">
        <f t="shared" si="3"/>
        <v>2.0434752754542984E-2</v>
      </c>
      <c r="J115" s="5">
        <v>-1.5040825096690909E-2</v>
      </c>
      <c r="K115" s="5">
        <v>0.56000000000000005</v>
      </c>
      <c r="L115" s="5">
        <v>0.62333333333333329</v>
      </c>
      <c r="M115" s="3" t="s">
        <v>63</v>
      </c>
    </row>
    <row r="116" spans="1:13">
      <c r="A116" s="3" t="s">
        <v>1317</v>
      </c>
      <c r="B116" s="3" t="s">
        <v>1318</v>
      </c>
      <c r="C116" s="3" t="s">
        <v>71</v>
      </c>
      <c r="D116" s="3" t="s">
        <v>72</v>
      </c>
      <c r="E116" s="8">
        <v>4.49</v>
      </c>
      <c r="F116" s="8">
        <v>4.57</v>
      </c>
      <c r="G116" s="8">
        <v>4.5799999237060547</v>
      </c>
      <c r="H116" s="5">
        <f t="shared" si="2"/>
        <v>2.1881671129222457E-3</v>
      </c>
      <c r="I116" s="5">
        <f t="shared" si="3"/>
        <v>2.0044526437874133E-2</v>
      </c>
      <c r="J116" s="5">
        <v>-1.7817371937639211E-2</v>
      </c>
      <c r="K116" s="5">
        <v>0.47333333333333327</v>
      </c>
      <c r="L116" s="5">
        <v>0.62</v>
      </c>
      <c r="M116" s="3" t="s">
        <v>63</v>
      </c>
    </row>
    <row r="117" spans="1:13">
      <c r="A117" s="3" t="s">
        <v>1319</v>
      </c>
      <c r="B117" s="3" t="s">
        <v>1320</v>
      </c>
      <c r="C117" s="3" t="s">
        <v>164</v>
      </c>
      <c r="D117" s="3" t="s">
        <v>882</v>
      </c>
      <c r="E117" s="8">
        <v>3.1</v>
      </c>
      <c r="F117" s="8">
        <v>3.14</v>
      </c>
      <c r="G117" s="8">
        <v>3.160000085830688</v>
      </c>
      <c r="H117" s="5">
        <f t="shared" si="2"/>
        <v>6.369454086206261E-3</v>
      </c>
      <c r="I117" s="5">
        <f t="shared" si="3"/>
        <v>1.9354866396996018E-2</v>
      </c>
      <c r="J117" s="5">
        <v>-2.866242038216571E-2</v>
      </c>
      <c r="K117" s="5">
        <v>0.57999999999999996</v>
      </c>
      <c r="L117" s="5">
        <v>0.6166666666666667</v>
      </c>
      <c r="M117" s="3" t="s">
        <v>63</v>
      </c>
    </row>
    <row r="118" spans="1:13">
      <c r="A118" s="3" t="s">
        <v>1321</v>
      </c>
      <c r="B118" s="3" t="s">
        <v>1322</v>
      </c>
      <c r="C118" s="3" t="s">
        <v>50</v>
      </c>
      <c r="D118" s="3" t="s">
        <v>50</v>
      </c>
      <c r="E118" s="8">
        <v>26.57</v>
      </c>
      <c r="F118" s="8">
        <v>27.11</v>
      </c>
      <c r="G118" s="8">
        <v>27.059999465942379</v>
      </c>
      <c r="H118" s="5">
        <f t="shared" si="2"/>
        <v>-1.8443575823541281E-3</v>
      </c>
      <c r="I118" s="5">
        <f t="shared" si="3"/>
        <v>1.8441831612434179E-2</v>
      </c>
      <c r="J118" s="5">
        <v>-4.9303726006774462E-2</v>
      </c>
      <c r="K118" s="5">
        <v>0.39333333333333331</v>
      </c>
      <c r="L118" s="5">
        <v>0.61333333333333329</v>
      </c>
      <c r="M118" s="3" t="s">
        <v>63</v>
      </c>
    </row>
    <row r="119" spans="1:13">
      <c r="A119" s="3" t="s">
        <v>1323</v>
      </c>
      <c r="B119" s="3" t="s">
        <v>1324</v>
      </c>
      <c r="C119" s="3" t="s">
        <v>45</v>
      </c>
      <c r="D119" s="3" t="s">
        <v>46</v>
      </c>
      <c r="E119" s="8">
        <v>4.34</v>
      </c>
      <c r="F119" s="8">
        <v>4.38</v>
      </c>
      <c r="G119" s="8">
        <v>4.4200000762939453</v>
      </c>
      <c r="H119" s="5">
        <f t="shared" si="2"/>
        <v>9.1324375100332311E-3</v>
      </c>
      <c r="I119" s="5">
        <f t="shared" si="3"/>
        <v>1.8433197302752502E-2</v>
      </c>
      <c r="J119" s="5">
        <v>-1.7937219730941759E-2</v>
      </c>
      <c r="K119" s="5">
        <v>0.66666666666666663</v>
      </c>
      <c r="L119" s="5">
        <v>0.61</v>
      </c>
      <c r="M119" s="3" t="s">
        <v>63</v>
      </c>
    </row>
    <row r="120" spans="1:13">
      <c r="A120" s="3" t="s">
        <v>1325</v>
      </c>
      <c r="B120" s="3" t="s">
        <v>1326</v>
      </c>
      <c r="C120" s="3" t="s">
        <v>50</v>
      </c>
      <c r="D120" s="3" t="s">
        <v>50</v>
      </c>
      <c r="E120" s="8">
        <v>17.43</v>
      </c>
      <c r="F120" s="8">
        <v>17.649999999999999</v>
      </c>
      <c r="G120" s="8">
        <v>17.75</v>
      </c>
      <c r="H120" s="5">
        <f t="shared" si="2"/>
        <v>5.6657223796034994E-3</v>
      </c>
      <c r="I120" s="5">
        <f t="shared" si="3"/>
        <v>1.8359150889271314E-2</v>
      </c>
      <c r="J120" s="5">
        <v>-3.2346491228070207E-2</v>
      </c>
      <c r="K120" s="5">
        <v>0.54666666666666663</v>
      </c>
      <c r="L120" s="5">
        <v>0.60666666666666669</v>
      </c>
      <c r="M120" s="3" t="s">
        <v>63</v>
      </c>
    </row>
    <row r="121" spans="1:13">
      <c r="A121" s="3" t="s">
        <v>1327</v>
      </c>
      <c r="B121" s="3" t="s">
        <v>1328</v>
      </c>
      <c r="C121" s="3" t="s">
        <v>45</v>
      </c>
      <c r="D121" s="3" t="s">
        <v>345</v>
      </c>
      <c r="E121" s="8">
        <v>4.74</v>
      </c>
      <c r="F121" s="8">
        <v>4.76</v>
      </c>
      <c r="G121" s="8">
        <v>4.820000171661377</v>
      </c>
      <c r="H121" s="5">
        <f t="shared" si="2"/>
        <v>1.2605078080121235E-2</v>
      </c>
      <c r="I121" s="5">
        <f t="shared" si="3"/>
        <v>1.6877673346282096E-2</v>
      </c>
      <c r="J121" s="5">
        <v>-2.7083333333333352E-2</v>
      </c>
      <c r="K121" s="5">
        <v>0.76</v>
      </c>
      <c r="L121" s="5">
        <v>0.60333333333333339</v>
      </c>
      <c r="M121" s="3" t="s">
        <v>47</v>
      </c>
    </row>
    <row r="122" spans="1:13">
      <c r="A122" s="3" t="s">
        <v>1329</v>
      </c>
      <c r="B122" s="3" t="s">
        <v>1330</v>
      </c>
      <c r="C122" s="3" t="s">
        <v>71</v>
      </c>
      <c r="D122" s="3" t="s">
        <v>168</v>
      </c>
      <c r="E122" s="8">
        <v>2.98</v>
      </c>
      <c r="F122" s="8">
        <v>2.97</v>
      </c>
      <c r="G122" s="8">
        <v>3.029999971389771</v>
      </c>
      <c r="H122" s="5">
        <f t="shared" si="2"/>
        <v>2.0202010568946438E-2</v>
      </c>
      <c r="I122" s="5">
        <f t="shared" si="3"/>
        <v>1.6778513889184943E-2</v>
      </c>
      <c r="J122" s="5">
        <v>-3.8834951456310551E-2</v>
      </c>
      <c r="K122" s="5">
        <v>0.88</v>
      </c>
      <c r="L122" s="5">
        <v>0.6</v>
      </c>
      <c r="M122" s="3" t="s">
        <v>47</v>
      </c>
    </row>
    <row r="123" spans="1:13">
      <c r="A123" s="3" t="s">
        <v>1331</v>
      </c>
      <c r="B123" s="3" t="s">
        <v>1332</v>
      </c>
      <c r="C123" s="3" t="s">
        <v>45</v>
      </c>
      <c r="D123" s="3" t="s">
        <v>46</v>
      </c>
      <c r="E123" s="8">
        <v>6.01</v>
      </c>
      <c r="F123" s="8">
        <v>6.07</v>
      </c>
      <c r="G123" s="8">
        <v>6.1100001335144043</v>
      </c>
      <c r="H123" s="5">
        <f t="shared" si="2"/>
        <v>6.5898078277437655E-3</v>
      </c>
      <c r="I123" s="5">
        <f t="shared" si="3"/>
        <v>1.6638957323528158E-2</v>
      </c>
      <c r="J123" s="5">
        <v>-1.153212520593083E-2</v>
      </c>
      <c r="K123" s="5">
        <v>0.59</v>
      </c>
      <c r="L123" s="5">
        <v>0.59666666666666668</v>
      </c>
      <c r="M123" s="3" t="s">
        <v>63</v>
      </c>
    </row>
    <row r="124" spans="1:13">
      <c r="A124" s="3" t="s">
        <v>1333</v>
      </c>
      <c r="B124" s="3" t="s">
        <v>1334</v>
      </c>
      <c r="C124" s="3" t="s">
        <v>61</v>
      </c>
      <c r="D124" s="3" t="s">
        <v>77</v>
      </c>
      <c r="E124" s="8">
        <v>28.8</v>
      </c>
      <c r="F124" s="8">
        <v>28.99</v>
      </c>
      <c r="G124" s="8">
        <v>29.270000457763668</v>
      </c>
      <c r="H124" s="5">
        <f t="shared" si="2"/>
        <v>9.65851872244472E-3</v>
      </c>
      <c r="I124" s="5">
        <f t="shared" si="3"/>
        <v>1.6319460339016212E-2</v>
      </c>
      <c r="J124" s="5">
        <v>-8.8283024991885672E-2</v>
      </c>
      <c r="K124" s="5">
        <v>0.69</v>
      </c>
      <c r="L124" s="5">
        <v>0.59333333333333338</v>
      </c>
      <c r="M124" s="3" t="s">
        <v>63</v>
      </c>
    </row>
    <row r="125" spans="1:13">
      <c r="A125" s="3" t="s">
        <v>1335</v>
      </c>
      <c r="B125" s="3" t="s">
        <v>1336</v>
      </c>
      <c r="C125" s="3" t="s">
        <v>40</v>
      </c>
      <c r="D125" s="3" t="s">
        <v>68</v>
      </c>
      <c r="E125" s="8">
        <v>4.91</v>
      </c>
      <c r="F125" s="8">
        <v>4.96</v>
      </c>
      <c r="G125" s="8">
        <v>4.9899997711181641</v>
      </c>
      <c r="H125" s="5">
        <f t="shared" si="2"/>
        <v>6.0483409512428477E-3</v>
      </c>
      <c r="I125" s="5">
        <f t="shared" si="3"/>
        <v>1.6293232406958014E-2</v>
      </c>
      <c r="J125" s="5">
        <v>-1.789264413518887E-2</v>
      </c>
      <c r="K125" s="5">
        <v>0.56333333333333335</v>
      </c>
      <c r="L125" s="5">
        <v>0.59</v>
      </c>
      <c r="M125" s="3" t="s">
        <v>63</v>
      </c>
    </row>
    <row r="126" spans="1:13">
      <c r="A126" s="3" t="s">
        <v>1337</v>
      </c>
      <c r="B126" s="3" t="s">
        <v>1338</v>
      </c>
      <c r="C126" s="3" t="s">
        <v>71</v>
      </c>
      <c r="D126" s="3" t="s">
        <v>72</v>
      </c>
      <c r="E126" s="8">
        <v>8.86</v>
      </c>
      <c r="F126" s="8">
        <v>8.8800000000000008</v>
      </c>
      <c r="G126" s="8">
        <v>9</v>
      </c>
      <c r="H126" s="5">
        <f t="shared" si="2"/>
        <v>1.3513513513513375E-2</v>
      </c>
      <c r="I126" s="5">
        <f t="shared" si="3"/>
        <v>1.5801354401805856E-2</v>
      </c>
      <c r="J126" s="5">
        <v>-1.3544018058690649E-2</v>
      </c>
      <c r="K126" s="5">
        <v>0.76333333333333331</v>
      </c>
      <c r="L126" s="5">
        <v>0.58666666666666667</v>
      </c>
      <c r="M126" s="3" t="s">
        <v>47</v>
      </c>
    </row>
    <row r="127" spans="1:13">
      <c r="A127" s="3" t="s">
        <v>1339</v>
      </c>
      <c r="B127" s="3" t="s">
        <v>1340</v>
      </c>
      <c r="C127" s="3" t="s">
        <v>71</v>
      </c>
      <c r="D127" s="3" t="s">
        <v>168</v>
      </c>
      <c r="E127" s="8">
        <v>9.5299999999999994</v>
      </c>
      <c r="F127" s="8">
        <v>9.48</v>
      </c>
      <c r="G127" s="8">
        <v>9.6800003051757812</v>
      </c>
      <c r="H127" s="5">
        <f t="shared" si="2"/>
        <v>2.1097078605040176E-2</v>
      </c>
      <c r="I127" s="5">
        <f t="shared" si="3"/>
        <v>1.5739801172694801E-2</v>
      </c>
      <c r="J127" s="5">
        <v>-5.7750759878419267E-2</v>
      </c>
      <c r="K127" s="5">
        <v>0.89333333333333331</v>
      </c>
      <c r="L127" s="5">
        <v>0.58333333333333337</v>
      </c>
      <c r="M127" s="3" t="s">
        <v>47</v>
      </c>
    </row>
    <row r="128" spans="1:13">
      <c r="A128" s="3" t="s">
        <v>1341</v>
      </c>
      <c r="B128" s="3" t="s">
        <v>1342</v>
      </c>
      <c r="C128" s="3" t="s">
        <v>251</v>
      </c>
      <c r="D128" s="3" t="s">
        <v>251</v>
      </c>
      <c r="E128" s="8">
        <v>13.74</v>
      </c>
      <c r="F128" s="8">
        <v>13.7</v>
      </c>
      <c r="G128" s="8">
        <v>13.920000076293951</v>
      </c>
      <c r="H128" s="5">
        <f t="shared" si="2"/>
        <v>1.6058399729485417E-2</v>
      </c>
      <c r="I128" s="5">
        <f t="shared" si="3"/>
        <v>1.3100442233912046E-2</v>
      </c>
      <c r="J128" s="5">
        <v>-2.9871977240398251E-2</v>
      </c>
      <c r="K128" s="5">
        <v>0.81</v>
      </c>
      <c r="L128" s="5">
        <v>0.57999999999999996</v>
      </c>
      <c r="M128" s="3" t="s">
        <v>47</v>
      </c>
    </row>
    <row r="129" spans="1:13">
      <c r="A129" s="3" t="s">
        <v>1343</v>
      </c>
      <c r="B129" s="3" t="s">
        <v>1344</v>
      </c>
      <c r="C129" s="3" t="s">
        <v>95</v>
      </c>
      <c r="D129" s="3" t="s">
        <v>99</v>
      </c>
      <c r="E129" s="8">
        <v>46.01</v>
      </c>
      <c r="F129" s="8">
        <v>46.23</v>
      </c>
      <c r="G129" s="8">
        <v>46.610000610351563</v>
      </c>
      <c r="H129" s="5">
        <f t="shared" si="2"/>
        <v>8.2197839141588958E-3</v>
      </c>
      <c r="I129" s="5">
        <f t="shared" si="3"/>
        <v>1.3040656604033085E-2</v>
      </c>
      <c r="J129" s="5">
        <v>-3.7284482758620618E-2</v>
      </c>
      <c r="K129" s="5">
        <v>0.64</v>
      </c>
      <c r="L129" s="5">
        <v>0.57666666666666666</v>
      </c>
      <c r="M129" s="3" t="s">
        <v>63</v>
      </c>
    </row>
    <row r="130" spans="1:13">
      <c r="A130" s="3" t="s">
        <v>1345</v>
      </c>
      <c r="B130" s="3" t="s">
        <v>1346</v>
      </c>
      <c r="C130" s="3" t="s">
        <v>50</v>
      </c>
      <c r="D130" s="3" t="s">
        <v>50</v>
      </c>
      <c r="E130" s="8">
        <v>18.82</v>
      </c>
      <c r="F130" s="8">
        <v>19.059999999999999</v>
      </c>
      <c r="G130" s="8">
        <v>19.059999465942379</v>
      </c>
      <c r="H130" s="5">
        <f t="shared" ref="H130:H193" si="4">IFERROR(G130/F130-1,"")</f>
        <v>-2.8019812137181077E-8</v>
      </c>
      <c r="I130" s="5">
        <f t="shared" ref="I130:I193" si="5">IFERROR(G130/E130-1,"")</f>
        <v>1.2752362696194508E-2</v>
      </c>
      <c r="J130" s="5">
        <v>-4.3570669500531338E-2</v>
      </c>
      <c r="K130" s="5">
        <v>0.40666666666666668</v>
      </c>
      <c r="L130" s="5">
        <v>0.57333333333333336</v>
      </c>
      <c r="M130" s="3" t="s">
        <v>63</v>
      </c>
    </row>
    <row r="131" spans="1:13">
      <c r="A131" s="3" t="s">
        <v>1347</v>
      </c>
      <c r="B131" s="3" t="s">
        <v>1348</v>
      </c>
      <c r="C131" s="3" t="s">
        <v>40</v>
      </c>
      <c r="D131" s="3" t="s">
        <v>41</v>
      </c>
      <c r="E131" s="8">
        <v>9.16</v>
      </c>
      <c r="F131" s="8">
        <v>9.2200000000000006</v>
      </c>
      <c r="G131" s="8">
        <v>9.2700004577636719</v>
      </c>
      <c r="H131" s="5">
        <f t="shared" si="4"/>
        <v>5.4230431413959668E-3</v>
      </c>
      <c r="I131" s="5">
        <f t="shared" si="5"/>
        <v>1.2008783598654205E-2</v>
      </c>
      <c r="J131" s="5">
        <v>-6.4410480349344934E-2</v>
      </c>
      <c r="K131" s="5">
        <v>0.54333333333333333</v>
      </c>
      <c r="L131" s="5">
        <v>0.56999999999999995</v>
      </c>
      <c r="M131" s="3" t="s">
        <v>63</v>
      </c>
    </row>
    <row r="132" spans="1:13">
      <c r="A132" s="3" t="s">
        <v>1349</v>
      </c>
      <c r="B132" s="3" t="s">
        <v>1350</v>
      </c>
      <c r="C132" s="3" t="s">
        <v>40</v>
      </c>
      <c r="D132" s="3" t="s">
        <v>68</v>
      </c>
      <c r="E132" s="8">
        <v>60.06</v>
      </c>
      <c r="F132" s="8">
        <v>59.7</v>
      </c>
      <c r="G132" s="8">
        <v>60.759998321533203</v>
      </c>
      <c r="H132" s="5">
        <f t="shared" si="4"/>
        <v>1.7755415771075311E-2</v>
      </c>
      <c r="I132" s="5">
        <f t="shared" si="5"/>
        <v>1.165498370851159E-2</v>
      </c>
      <c r="J132" s="5">
        <v>-6.6267066267066355E-2</v>
      </c>
      <c r="K132" s="5">
        <v>0.83333333333333337</v>
      </c>
      <c r="L132" s="5">
        <v>0.56666666666666665</v>
      </c>
      <c r="M132" s="3" t="s">
        <v>47</v>
      </c>
    </row>
    <row r="133" spans="1:13">
      <c r="A133" s="3" t="s">
        <v>1351</v>
      </c>
      <c r="B133" s="3" t="s">
        <v>1352</v>
      </c>
      <c r="C133" s="3" t="s">
        <v>71</v>
      </c>
      <c r="D133" s="3" t="s">
        <v>72</v>
      </c>
      <c r="E133" s="8">
        <v>17.75</v>
      </c>
      <c r="F133" s="8">
        <v>17.940000000000001</v>
      </c>
      <c r="G133" s="8">
        <v>17.940000534057621</v>
      </c>
      <c r="H133" s="5">
        <f t="shared" si="4"/>
        <v>2.9769098075504985E-8</v>
      </c>
      <c r="I133" s="5">
        <f t="shared" si="5"/>
        <v>1.0704255439865973E-2</v>
      </c>
      <c r="J133" s="5">
        <v>-3.079507278835392E-2</v>
      </c>
      <c r="K133" s="5">
        <v>0.43</v>
      </c>
      <c r="L133" s="5">
        <v>0.56333333333333335</v>
      </c>
      <c r="M133" s="3" t="s">
        <v>63</v>
      </c>
    </row>
    <row r="134" spans="1:13">
      <c r="A134" s="3" t="s">
        <v>1353</v>
      </c>
      <c r="B134" s="3" t="s">
        <v>1354</v>
      </c>
      <c r="C134" s="3" t="s">
        <v>71</v>
      </c>
      <c r="D134" s="3" t="s">
        <v>72</v>
      </c>
      <c r="E134" s="8">
        <v>34.299999999999997</v>
      </c>
      <c r="F134" s="8">
        <v>34.729999999999997</v>
      </c>
      <c r="G134" s="8">
        <v>34.650001525878913</v>
      </c>
      <c r="H134" s="5">
        <f t="shared" si="4"/>
        <v>-2.3034400841083214E-3</v>
      </c>
      <c r="I134" s="5">
        <f t="shared" si="5"/>
        <v>1.0204126118918744E-2</v>
      </c>
      <c r="J134" s="5">
        <v>-1.982507288629742E-2</v>
      </c>
      <c r="K134" s="5">
        <v>0.37</v>
      </c>
      <c r="L134" s="5">
        <v>0.56000000000000005</v>
      </c>
      <c r="M134" s="3" t="s">
        <v>63</v>
      </c>
    </row>
    <row r="135" spans="1:13">
      <c r="A135" s="3" t="s">
        <v>1355</v>
      </c>
      <c r="B135" s="3" t="s">
        <v>1356</v>
      </c>
      <c r="C135" s="3" t="s">
        <v>251</v>
      </c>
      <c r="D135" s="3" t="s">
        <v>251</v>
      </c>
      <c r="E135" s="8">
        <v>28.12</v>
      </c>
      <c r="F135" s="8">
        <v>28.09</v>
      </c>
      <c r="G135" s="8">
        <v>28.39999961853027</v>
      </c>
      <c r="H135" s="5">
        <f t="shared" si="4"/>
        <v>1.1035942275908539E-2</v>
      </c>
      <c r="I135" s="5">
        <f t="shared" si="5"/>
        <v>9.9573121810194731E-3</v>
      </c>
      <c r="J135" s="5">
        <v>-1.6185784658691141E-2</v>
      </c>
      <c r="K135" s="5">
        <v>0.73666666666666669</v>
      </c>
      <c r="L135" s="5">
        <v>0.55666666666666664</v>
      </c>
      <c r="M135" s="3" t="s">
        <v>63</v>
      </c>
    </row>
    <row r="136" spans="1:13">
      <c r="A136" s="3" t="s">
        <v>1357</v>
      </c>
      <c r="B136" s="3" t="s">
        <v>1358</v>
      </c>
      <c r="C136" s="3" t="s">
        <v>71</v>
      </c>
      <c r="D136" s="3" t="s">
        <v>72</v>
      </c>
      <c r="E136" s="8">
        <v>19.23</v>
      </c>
      <c r="F136" s="8">
        <v>19.39</v>
      </c>
      <c r="G136" s="8">
        <v>19.39999961853027</v>
      </c>
      <c r="H136" s="5">
        <f t="shared" si="4"/>
        <v>5.1571008407780283E-4</v>
      </c>
      <c r="I136" s="5">
        <f t="shared" si="5"/>
        <v>8.8403337769251689E-3</v>
      </c>
      <c r="J136" s="5">
        <v>-2.6001040041601638E-2</v>
      </c>
      <c r="K136" s="5">
        <v>0.44</v>
      </c>
      <c r="L136" s="5">
        <v>0.55333333333333334</v>
      </c>
      <c r="M136" s="3" t="s">
        <v>63</v>
      </c>
    </row>
    <row r="137" spans="1:13">
      <c r="A137" s="3" t="s">
        <v>1359</v>
      </c>
      <c r="B137" s="3" t="s">
        <v>1360</v>
      </c>
      <c r="C137" s="3" t="s">
        <v>45</v>
      </c>
      <c r="D137" s="3" t="s">
        <v>46</v>
      </c>
      <c r="E137" s="8">
        <v>11.16</v>
      </c>
      <c r="F137" s="8">
        <v>11.21</v>
      </c>
      <c r="G137" s="8">
        <v>11.25</v>
      </c>
      <c r="H137" s="5">
        <f t="shared" si="4"/>
        <v>3.568242640499486E-3</v>
      </c>
      <c r="I137" s="5">
        <f t="shared" si="5"/>
        <v>8.0645161290322509E-3</v>
      </c>
      <c r="J137" s="5">
        <v>-3.1362007168458723E-2</v>
      </c>
      <c r="K137" s="5">
        <v>0.48666666666666669</v>
      </c>
      <c r="L137" s="5">
        <v>0.55000000000000004</v>
      </c>
      <c r="M137" s="3" t="s">
        <v>63</v>
      </c>
    </row>
    <row r="138" spans="1:13">
      <c r="A138" s="3" t="s">
        <v>1361</v>
      </c>
      <c r="B138" s="3" t="s">
        <v>1362</v>
      </c>
      <c r="C138" s="3" t="s">
        <v>251</v>
      </c>
      <c r="D138" s="3" t="s">
        <v>251</v>
      </c>
      <c r="E138" s="8">
        <v>9.65</v>
      </c>
      <c r="F138" s="8">
        <v>9.5500000000000007</v>
      </c>
      <c r="G138" s="8">
        <v>9.7100000381469727</v>
      </c>
      <c r="H138" s="5">
        <f t="shared" si="4"/>
        <v>1.6753930696018049E-2</v>
      </c>
      <c r="I138" s="5">
        <f t="shared" si="5"/>
        <v>6.2176205333650536E-3</v>
      </c>
      <c r="J138" s="5">
        <v>-2.4514811031664752E-2</v>
      </c>
      <c r="K138" s="5">
        <v>0.82</v>
      </c>
      <c r="L138" s="5">
        <v>0.54666666666666663</v>
      </c>
      <c r="M138" s="3" t="s">
        <v>47</v>
      </c>
    </row>
    <row r="139" spans="1:13">
      <c r="A139" s="3" t="s">
        <v>1363</v>
      </c>
      <c r="B139" s="3" t="s">
        <v>1364</v>
      </c>
      <c r="C139" s="3" t="s">
        <v>71</v>
      </c>
      <c r="D139" s="3" t="s">
        <v>168</v>
      </c>
      <c r="E139" s="8">
        <v>17.850000000000001</v>
      </c>
      <c r="F139" s="8">
        <v>17.54</v>
      </c>
      <c r="G139" s="8">
        <v>17.95000076293945</v>
      </c>
      <c r="H139" s="5">
        <f t="shared" si="4"/>
        <v>2.3375186028474992E-2</v>
      </c>
      <c r="I139" s="5">
        <f t="shared" si="5"/>
        <v>5.6022836380642538E-3</v>
      </c>
      <c r="J139" s="5">
        <v>-4.6498905908096362E-2</v>
      </c>
      <c r="K139" s="5">
        <v>0.92</v>
      </c>
      <c r="L139" s="5">
        <v>0.54333333333333333</v>
      </c>
      <c r="M139" s="3" t="s">
        <v>47</v>
      </c>
    </row>
    <row r="140" spans="1:13">
      <c r="A140" s="3" t="s">
        <v>1365</v>
      </c>
      <c r="B140" s="3" t="s">
        <v>1366</v>
      </c>
      <c r="C140" s="3" t="s">
        <v>50</v>
      </c>
      <c r="D140" s="3" t="s">
        <v>50</v>
      </c>
      <c r="E140" s="8">
        <v>33.56</v>
      </c>
      <c r="F140" s="8">
        <v>33.67</v>
      </c>
      <c r="G140" s="8">
        <v>33.729999542236328</v>
      </c>
      <c r="H140" s="5">
        <f t="shared" si="4"/>
        <v>1.7819881864071796E-3</v>
      </c>
      <c r="I140" s="5">
        <f t="shared" si="5"/>
        <v>5.0655405910704498E-3</v>
      </c>
      <c r="J140" s="5">
        <v>-3.080023028209555E-2</v>
      </c>
      <c r="K140" s="5">
        <v>0.45666666666666672</v>
      </c>
      <c r="L140" s="5">
        <v>0.54</v>
      </c>
      <c r="M140" s="3" t="s">
        <v>63</v>
      </c>
    </row>
    <row r="141" spans="1:13">
      <c r="A141" s="3" t="s">
        <v>1367</v>
      </c>
      <c r="B141" s="3" t="s">
        <v>1368</v>
      </c>
      <c r="C141" s="3" t="s">
        <v>71</v>
      </c>
      <c r="D141" s="3" t="s">
        <v>72</v>
      </c>
      <c r="E141" s="8">
        <v>25.43</v>
      </c>
      <c r="F141" s="8">
        <v>25.6</v>
      </c>
      <c r="G141" s="8">
        <v>25.54999923706055</v>
      </c>
      <c r="H141" s="5">
        <f t="shared" si="4"/>
        <v>-1.9531548023222767E-3</v>
      </c>
      <c r="I141" s="5">
        <f t="shared" si="5"/>
        <v>4.7188060188969594E-3</v>
      </c>
      <c r="J141" s="5">
        <v>-3.1065670467951171E-2</v>
      </c>
      <c r="K141" s="5">
        <v>0.38666666666666671</v>
      </c>
      <c r="L141" s="5">
        <v>0.53666666666666663</v>
      </c>
      <c r="M141" s="3" t="s">
        <v>63</v>
      </c>
    </row>
    <row r="142" spans="1:13">
      <c r="A142" s="3" t="s">
        <v>1369</v>
      </c>
      <c r="B142" s="3" t="s">
        <v>1370</v>
      </c>
      <c r="C142" s="3" t="s">
        <v>80</v>
      </c>
      <c r="D142" s="3" t="s">
        <v>137</v>
      </c>
      <c r="E142" s="8">
        <v>4.3</v>
      </c>
      <c r="F142" s="8">
        <v>4.3</v>
      </c>
      <c r="G142" s="8">
        <v>4.320000171661377</v>
      </c>
      <c r="H142" s="5">
        <f t="shared" si="4"/>
        <v>4.651202711948077E-3</v>
      </c>
      <c r="I142" s="5">
        <f t="shared" si="5"/>
        <v>4.651202711948077E-3</v>
      </c>
      <c r="J142" s="5">
        <v>-3.0232558139534849E-2</v>
      </c>
      <c r="K142" s="5">
        <v>0.52333333333333332</v>
      </c>
      <c r="L142" s="5">
        <v>0.53333333333333333</v>
      </c>
      <c r="M142" s="3" t="s">
        <v>63</v>
      </c>
    </row>
    <row r="143" spans="1:13">
      <c r="A143" s="3" t="s">
        <v>1371</v>
      </c>
      <c r="B143" s="3" t="s">
        <v>1372</v>
      </c>
      <c r="C143" s="3" t="s">
        <v>251</v>
      </c>
      <c r="D143" s="3" t="s">
        <v>251</v>
      </c>
      <c r="E143" s="8">
        <v>4.87</v>
      </c>
      <c r="F143" s="8">
        <v>4.88</v>
      </c>
      <c r="G143" s="8">
        <v>4.8899998664855957</v>
      </c>
      <c r="H143" s="5">
        <f t="shared" si="4"/>
        <v>2.0491529683597243E-3</v>
      </c>
      <c r="I143" s="5">
        <f t="shared" si="5"/>
        <v>4.1067487650092716E-3</v>
      </c>
      <c r="J143" s="5">
        <v>-1.4141414141414231E-2</v>
      </c>
      <c r="K143" s="5">
        <v>0.46666666666666667</v>
      </c>
      <c r="L143" s="5">
        <v>0.53</v>
      </c>
      <c r="M143" s="3" t="s">
        <v>63</v>
      </c>
    </row>
    <row r="144" spans="1:13">
      <c r="A144" s="3" t="s">
        <v>1373</v>
      </c>
      <c r="B144" s="3" t="s">
        <v>1374</v>
      </c>
      <c r="C144" s="3" t="s">
        <v>45</v>
      </c>
      <c r="D144" s="3" t="s">
        <v>46</v>
      </c>
      <c r="E144" s="8">
        <v>2.56</v>
      </c>
      <c r="F144" s="8">
        <v>2.56</v>
      </c>
      <c r="G144" s="8">
        <v>2.5699999332427979</v>
      </c>
      <c r="H144" s="5">
        <f t="shared" si="4"/>
        <v>3.9062239229679108E-3</v>
      </c>
      <c r="I144" s="5">
        <f t="shared" si="5"/>
        <v>3.9062239229679108E-3</v>
      </c>
      <c r="J144" s="5">
        <v>-3.3962264150943389E-2</v>
      </c>
      <c r="K144" s="5">
        <v>0.50666666666666671</v>
      </c>
      <c r="L144" s="5">
        <v>0.52666666666666662</v>
      </c>
      <c r="M144" s="3" t="s">
        <v>63</v>
      </c>
    </row>
    <row r="145" spans="1:13">
      <c r="A145" s="3" t="s">
        <v>1375</v>
      </c>
      <c r="B145" s="3" t="s">
        <v>1376</v>
      </c>
      <c r="C145" s="3" t="s">
        <v>50</v>
      </c>
      <c r="D145" s="3" t="s">
        <v>50</v>
      </c>
      <c r="E145" s="8">
        <v>5.84</v>
      </c>
      <c r="F145" s="8">
        <v>5.82</v>
      </c>
      <c r="G145" s="8">
        <v>5.8600001335144043</v>
      </c>
      <c r="H145" s="5">
        <f t="shared" si="4"/>
        <v>6.8728751742961336E-3</v>
      </c>
      <c r="I145" s="5">
        <f t="shared" si="5"/>
        <v>3.42468039630206E-3</v>
      </c>
      <c r="J145" s="5">
        <v>-1.692047377326578E-2</v>
      </c>
      <c r="K145" s="5">
        <v>0.59666666666666668</v>
      </c>
      <c r="L145" s="5">
        <v>0.52333333333333332</v>
      </c>
      <c r="M145" s="3" t="s">
        <v>63</v>
      </c>
    </row>
    <row r="146" spans="1:13">
      <c r="A146" s="3" t="s">
        <v>1377</v>
      </c>
      <c r="B146" s="3" t="s">
        <v>1378</v>
      </c>
      <c r="C146" s="3" t="s">
        <v>251</v>
      </c>
      <c r="D146" s="3" t="s">
        <v>251</v>
      </c>
      <c r="E146" s="8">
        <v>8.82</v>
      </c>
      <c r="F146" s="8">
        <v>8.89</v>
      </c>
      <c r="G146" s="8">
        <v>8.8500003814697266</v>
      </c>
      <c r="H146" s="5">
        <f t="shared" si="4"/>
        <v>-4.4993946603232304E-3</v>
      </c>
      <c r="I146" s="5">
        <f t="shared" si="5"/>
        <v>3.4014037947536213E-3</v>
      </c>
      <c r="J146" s="5">
        <v>-1.2471655328798129E-2</v>
      </c>
      <c r="K146" s="5">
        <v>0.34666666666666668</v>
      </c>
      <c r="L146" s="5">
        <v>0.52</v>
      </c>
      <c r="M146" s="3" t="s">
        <v>63</v>
      </c>
    </row>
    <row r="147" spans="1:13">
      <c r="A147" s="3" t="s">
        <v>1379</v>
      </c>
      <c r="B147" s="3" t="s">
        <v>1380</v>
      </c>
      <c r="C147" s="3" t="s">
        <v>90</v>
      </c>
      <c r="D147" s="3" t="s">
        <v>90</v>
      </c>
      <c r="E147" s="8">
        <v>22.42</v>
      </c>
      <c r="F147" s="8">
        <v>23.62</v>
      </c>
      <c r="G147" s="8">
        <v>22.479999542236332</v>
      </c>
      <c r="H147" s="5">
        <f t="shared" si="4"/>
        <v>-4.8264202276192547E-2</v>
      </c>
      <c r="I147" s="5">
        <f t="shared" si="5"/>
        <v>2.6761615627266533E-3</v>
      </c>
      <c r="J147" s="5">
        <v>-4.8264202276192547E-2</v>
      </c>
      <c r="K147" s="5">
        <v>0.03</v>
      </c>
      <c r="L147" s="5">
        <v>0.51666666666666672</v>
      </c>
      <c r="M147" s="3" t="s">
        <v>283</v>
      </c>
    </row>
    <row r="148" spans="1:13">
      <c r="A148" s="3" t="s">
        <v>1381</v>
      </c>
      <c r="B148" s="3" t="s">
        <v>1382</v>
      </c>
      <c r="C148" s="3" t="s">
        <v>50</v>
      </c>
      <c r="D148" s="3" t="s">
        <v>50</v>
      </c>
      <c r="E148" s="8">
        <v>78.72</v>
      </c>
      <c r="F148" s="8">
        <v>78.39</v>
      </c>
      <c r="G148" s="8">
        <v>78.930000305175781</v>
      </c>
      <c r="H148" s="5">
        <f t="shared" si="4"/>
        <v>6.8886376473502597E-3</v>
      </c>
      <c r="I148" s="5">
        <f t="shared" si="5"/>
        <v>2.6676868035542256E-3</v>
      </c>
      <c r="J148" s="5">
        <v>-4.0142276422764127E-2</v>
      </c>
      <c r="K148" s="5">
        <v>0.6</v>
      </c>
      <c r="L148" s="5">
        <v>0.51333333333333331</v>
      </c>
      <c r="M148" s="3" t="s">
        <v>63</v>
      </c>
    </row>
    <row r="149" spans="1:13">
      <c r="A149" s="3" t="s">
        <v>1383</v>
      </c>
      <c r="B149" s="3" t="s">
        <v>1384</v>
      </c>
      <c r="C149" s="3" t="s">
        <v>45</v>
      </c>
      <c r="D149" s="3" t="s">
        <v>345</v>
      </c>
      <c r="E149" s="8">
        <v>4.9000000000000004</v>
      </c>
      <c r="F149" s="8">
        <v>4.8899999999999997</v>
      </c>
      <c r="G149" s="8">
        <v>4.9099998474121094</v>
      </c>
      <c r="H149" s="5">
        <f t="shared" si="4"/>
        <v>4.0899483460345998E-3</v>
      </c>
      <c r="I149" s="5">
        <f t="shared" si="5"/>
        <v>2.0407851861445891E-3</v>
      </c>
      <c r="J149" s="5">
        <v>-2.2177419354838749E-2</v>
      </c>
      <c r="K149" s="5">
        <v>0.51333333333333331</v>
      </c>
      <c r="L149" s="5">
        <v>0.51</v>
      </c>
      <c r="M149" s="3" t="s">
        <v>63</v>
      </c>
    </row>
    <row r="150" spans="1:13">
      <c r="A150" s="3" t="s">
        <v>1385</v>
      </c>
      <c r="B150" s="3" t="s">
        <v>1386</v>
      </c>
      <c r="C150" s="3" t="s">
        <v>45</v>
      </c>
      <c r="D150" s="3" t="s">
        <v>46</v>
      </c>
      <c r="E150" s="8">
        <v>7.5</v>
      </c>
      <c r="F150" s="8">
        <v>7.44</v>
      </c>
      <c r="G150" s="8">
        <v>7.5100002288818359</v>
      </c>
      <c r="H150" s="5">
        <f t="shared" si="4"/>
        <v>9.4086329142251124E-3</v>
      </c>
      <c r="I150" s="5">
        <f t="shared" si="5"/>
        <v>1.3333638509114287E-3</v>
      </c>
      <c r="J150" s="5">
        <v>-2.8720626631853711E-2</v>
      </c>
      <c r="K150" s="5">
        <v>0.67666666666666664</v>
      </c>
      <c r="L150" s="5">
        <v>0.50666666666666671</v>
      </c>
      <c r="M150" s="3" t="s">
        <v>63</v>
      </c>
    </row>
    <row r="151" spans="1:13">
      <c r="A151" s="3" t="s">
        <v>1387</v>
      </c>
      <c r="B151" s="3" t="s">
        <v>1388</v>
      </c>
      <c r="C151" s="3" t="s">
        <v>95</v>
      </c>
      <c r="D151" s="3" t="s">
        <v>99</v>
      </c>
      <c r="E151" s="8">
        <v>122.57</v>
      </c>
      <c r="F151" s="8">
        <v>119.98</v>
      </c>
      <c r="G151" s="8">
        <v>122.73000335693359</v>
      </c>
      <c r="H151" s="5">
        <f t="shared" si="4"/>
        <v>2.2920514726901153E-2</v>
      </c>
      <c r="I151" s="5">
        <f t="shared" si="5"/>
        <v>1.3054039074291701E-3</v>
      </c>
      <c r="J151" s="5">
        <v>-3.0072756669361381E-2</v>
      </c>
      <c r="K151" s="5">
        <v>0.91333333333333333</v>
      </c>
      <c r="L151" s="5">
        <v>0.5033333333333333</v>
      </c>
      <c r="M151" s="3" t="s">
        <v>47</v>
      </c>
    </row>
    <row r="152" spans="1:13">
      <c r="A152" s="3" t="s">
        <v>1389</v>
      </c>
      <c r="B152" s="3" t="s">
        <v>1390</v>
      </c>
      <c r="C152" s="3" t="s">
        <v>95</v>
      </c>
      <c r="D152" s="3" t="s">
        <v>99</v>
      </c>
      <c r="E152" s="8">
        <v>120.52</v>
      </c>
      <c r="F152" s="8">
        <v>116.76</v>
      </c>
      <c r="G152" s="8">
        <v>120.6699981689453</v>
      </c>
      <c r="H152" s="5">
        <f t="shared" si="4"/>
        <v>3.3487480035502726E-2</v>
      </c>
      <c r="I152" s="5">
        <f t="shared" si="5"/>
        <v>1.2445915113283856E-3</v>
      </c>
      <c r="J152" s="5">
        <v>-3.4268171257882507E-2</v>
      </c>
      <c r="K152" s="5">
        <v>0.95666666666666667</v>
      </c>
      <c r="L152" s="5">
        <v>0.5</v>
      </c>
      <c r="M152" s="3" t="s">
        <v>47</v>
      </c>
    </row>
    <row r="153" spans="1:13">
      <c r="A153" s="3" t="s">
        <v>1391</v>
      </c>
      <c r="B153" s="3" t="s">
        <v>1392</v>
      </c>
      <c r="C153" s="3" t="s">
        <v>95</v>
      </c>
      <c r="D153" s="3" t="s">
        <v>99</v>
      </c>
      <c r="E153" s="8">
        <v>1297.99</v>
      </c>
      <c r="F153" s="8">
        <v>1299.52</v>
      </c>
      <c r="G153" s="8">
        <v>1299.56005859375</v>
      </c>
      <c r="H153" s="5">
        <f t="shared" si="4"/>
        <v>3.0825684675939158E-5</v>
      </c>
      <c r="I153" s="5">
        <f t="shared" si="5"/>
        <v>1.2096076192806837E-3</v>
      </c>
      <c r="J153" s="5">
        <v>-2.6799094718169991E-2</v>
      </c>
      <c r="K153" s="5">
        <v>0.43666666666666659</v>
      </c>
      <c r="L153" s="5">
        <v>0.49666666666666659</v>
      </c>
      <c r="M153" s="3" t="s">
        <v>63</v>
      </c>
    </row>
    <row r="154" spans="1:13">
      <c r="A154" s="3" t="s">
        <v>1393</v>
      </c>
      <c r="B154" s="3" t="s">
        <v>1394</v>
      </c>
      <c r="C154" s="3" t="s">
        <v>45</v>
      </c>
      <c r="D154" s="3" t="s">
        <v>345</v>
      </c>
      <c r="E154" s="8">
        <v>5.01</v>
      </c>
      <c r="F154" s="8">
        <v>5.01</v>
      </c>
      <c r="G154" s="8">
        <v>5.0100002288818359</v>
      </c>
      <c r="H154" s="5">
        <f t="shared" si="4"/>
        <v>4.5684997340700306E-8</v>
      </c>
      <c r="I154" s="5">
        <f t="shared" si="5"/>
        <v>4.5684997340700306E-8</v>
      </c>
      <c r="J154" s="5">
        <v>-1.3779527559055199E-2</v>
      </c>
      <c r="K154" s="5">
        <v>0.43333333333333329</v>
      </c>
      <c r="L154" s="5">
        <v>0.49333333333333329</v>
      </c>
      <c r="M154" s="3" t="s">
        <v>63</v>
      </c>
    </row>
    <row r="155" spans="1:13">
      <c r="A155" s="3" t="s">
        <v>1395</v>
      </c>
      <c r="B155" s="3" t="s">
        <v>1396</v>
      </c>
      <c r="C155" s="3" t="s">
        <v>45</v>
      </c>
      <c r="D155" s="3" t="s">
        <v>46</v>
      </c>
      <c r="E155" s="8">
        <v>4.3600000000000003</v>
      </c>
      <c r="F155" s="8">
        <v>4.33</v>
      </c>
      <c r="G155" s="8">
        <v>4.3600001335144043</v>
      </c>
      <c r="H155" s="5">
        <f t="shared" si="4"/>
        <v>6.9284373012481471E-3</v>
      </c>
      <c r="I155" s="5">
        <f t="shared" si="5"/>
        <v>3.0622569813232303E-8</v>
      </c>
      <c r="J155" s="5">
        <v>-3.3482142857142898E-2</v>
      </c>
      <c r="K155" s="5">
        <v>0.60333333333333339</v>
      </c>
      <c r="L155" s="5">
        <v>0.49</v>
      </c>
      <c r="M155" s="3" t="s">
        <v>63</v>
      </c>
    </row>
    <row r="156" spans="1:13">
      <c r="A156" s="3" t="s">
        <v>1397</v>
      </c>
      <c r="B156" s="3" t="s">
        <v>1398</v>
      </c>
      <c r="C156" s="3" t="s">
        <v>50</v>
      </c>
      <c r="D156" s="3" t="s">
        <v>50</v>
      </c>
      <c r="E156" s="8">
        <v>25.35</v>
      </c>
      <c r="F156" s="8">
        <v>25.62</v>
      </c>
      <c r="G156" s="8">
        <v>25.35000038146973</v>
      </c>
      <c r="H156" s="5">
        <f t="shared" si="4"/>
        <v>-1.0538626796653849E-2</v>
      </c>
      <c r="I156" s="5">
        <f t="shared" si="5"/>
        <v>1.5048115420412955E-8</v>
      </c>
      <c r="J156" s="5">
        <v>-7.0066016820626187E-2</v>
      </c>
      <c r="K156" s="5">
        <v>0.25666666666666671</v>
      </c>
      <c r="L156" s="5">
        <v>0.48666666666666669</v>
      </c>
      <c r="M156" s="3" t="s">
        <v>63</v>
      </c>
    </row>
    <row r="157" spans="1:13">
      <c r="A157" s="3" t="s">
        <v>1399</v>
      </c>
      <c r="B157" s="3" t="s">
        <v>1400</v>
      </c>
      <c r="C157" s="3" t="s">
        <v>80</v>
      </c>
      <c r="D157" s="3" t="s">
        <v>81</v>
      </c>
      <c r="E157" s="8">
        <v>4.96</v>
      </c>
      <c r="F157" s="8">
        <v>4.97</v>
      </c>
      <c r="G157" s="8">
        <v>4.9600000381469727</v>
      </c>
      <c r="H157" s="5">
        <f t="shared" si="4"/>
        <v>-2.0120647591603813E-3</v>
      </c>
      <c r="I157" s="5">
        <f t="shared" si="5"/>
        <v>7.6909218993392869E-9</v>
      </c>
      <c r="J157" s="5">
        <v>-2.0080321285140701E-2</v>
      </c>
      <c r="K157" s="5">
        <v>0.38</v>
      </c>
      <c r="L157" s="5">
        <v>0.48333333333333328</v>
      </c>
      <c r="M157" s="3" t="s">
        <v>63</v>
      </c>
    </row>
    <row r="158" spans="1:13">
      <c r="A158" s="3" t="s">
        <v>1401</v>
      </c>
      <c r="B158" s="3" t="s">
        <v>1402</v>
      </c>
      <c r="C158" s="3" t="s">
        <v>50</v>
      </c>
      <c r="D158" s="3" t="s">
        <v>50</v>
      </c>
      <c r="E158" s="8">
        <v>4.91</v>
      </c>
      <c r="F158" s="8">
        <v>4.84</v>
      </c>
      <c r="G158" s="8">
        <v>4.9099998474121094</v>
      </c>
      <c r="H158" s="5">
        <f t="shared" si="4"/>
        <v>1.4462778390931685E-2</v>
      </c>
      <c r="I158" s="5">
        <f t="shared" si="5"/>
        <v>-3.1076963447063122E-8</v>
      </c>
      <c r="J158" s="5">
        <v>-8.8235294117646967E-2</v>
      </c>
      <c r="K158" s="5">
        <v>0.77333333333333332</v>
      </c>
      <c r="L158" s="5">
        <v>0.48</v>
      </c>
      <c r="M158" s="3" t="s">
        <v>283</v>
      </c>
    </row>
    <row r="159" spans="1:13">
      <c r="A159" s="3" t="s">
        <v>1403</v>
      </c>
      <c r="B159" s="3" t="s">
        <v>1404</v>
      </c>
      <c r="C159" s="3" t="s">
        <v>57</v>
      </c>
      <c r="D159" s="3" t="s">
        <v>376</v>
      </c>
      <c r="E159" s="8">
        <v>7.13</v>
      </c>
      <c r="F159" s="8">
        <v>7.07</v>
      </c>
      <c r="G159" s="8">
        <v>7.119999885559082</v>
      </c>
      <c r="H159" s="5">
        <f t="shared" si="4"/>
        <v>7.0721195981728879E-3</v>
      </c>
      <c r="I159" s="5">
        <f t="shared" si="5"/>
        <v>-1.402540594799162E-3</v>
      </c>
      <c r="J159" s="5">
        <v>-1.3986013986014069E-2</v>
      </c>
      <c r="K159" s="5">
        <v>0.60666666666666669</v>
      </c>
      <c r="L159" s="5">
        <v>0.47666666666666668</v>
      </c>
      <c r="M159" s="3" t="s">
        <v>63</v>
      </c>
    </row>
    <row r="160" spans="1:13">
      <c r="A160" s="3" t="s">
        <v>1405</v>
      </c>
      <c r="B160" s="3" t="s">
        <v>1406</v>
      </c>
      <c r="C160" s="3" t="s">
        <v>50</v>
      </c>
      <c r="D160" s="3" t="s">
        <v>50</v>
      </c>
      <c r="E160" s="8">
        <v>6.68</v>
      </c>
      <c r="F160" s="8">
        <v>6.67</v>
      </c>
      <c r="G160" s="8">
        <v>6.6700000762939453</v>
      </c>
      <c r="H160" s="5">
        <f t="shared" si="4"/>
        <v>1.1438372693461929E-8</v>
      </c>
      <c r="I160" s="5">
        <f t="shared" si="5"/>
        <v>-1.4969945667746565E-3</v>
      </c>
      <c r="J160" s="5">
        <v>-4.6407185628742458E-2</v>
      </c>
      <c r="K160" s="5">
        <v>0.42333333333333328</v>
      </c>
      <c r="L160" s="5">
        <v>0.47333333333333327</v>
      </c>
      <c r="M160" s="3" t="s">
        <v>63</v>
      </c>
    </row>
    <row r="161" spans="1:13">
      <c r="A161" s="3" t="s">
        <v>1407</v>
      </c>
      <c r="B161" s="3" t="s">
        <v>1408</v>
      </c>
      <c r="C161" s="3" t="s">
        <v>45</v>
      </c>
      <c r="D161" s="3" t="s">
        <v>345</v>
      </c>
      <c r="E161" s="8">
        <v>4.13</v>
      </c>
      <c r="F161" s="8">
        <v>4.07</v>
      </c>
      <c r="G161" s="8">
        <v>4.119999885559082</v>
      </c>
      <c r="H161" s="5">
        <f t="shared" si="4"/>
        <v>1.2284984166850643E-2</v>
      </c>
      <c r="I161" s="5">
        <f t="shared" si="5"/>
        <v>-2.4213352157186341E-3</v>
      </c>
      <c r="J161" s="5">
        <v>-2.1634615384615311E-2</v>
      </c>
      <c r="K161" s="5">
        <v>0.75666666666666671</v>
      </c>
      <c r="L161" s="5">
        <v>0.47</v>
      </c>
      <c r="M161" s="3" t="s">
        <v>283</v>
      </c>
    </row>
    <row r="162" spans="1:13">
      <c r="A162" s="3" t="s">
        <v>1409</v>
      </c>
      <c r="B162" s="3" t="s">
        <v>1410</v>
      </c>
      <c r="C162" s="3" t="s">
        <v>61</v>
      </c>
      <c r="D162" s="3" t="s">
        <v>62</v>
      </c>
      <c r="E162" s="8">
        <v>16.43</v>
      </c>
      <c r="F162" s="8">
        <v>16.25</v>
      </c>
      <c r="G162" s="8">
        <v>16.389999389648441</v>
      </c>
      <c r="H162" s="5">
        <f t="shared" si="4"/>
        <v>8.615347055288769E-3</v>
      </c>
      <c r="I162" s="5">
        <f t="shared" si="5"/>
        <v>-2.4346080554813465E-3</v>
      </c>
      <c r="J162" s="5">
        <v>-2.8211284513805501E-2</v>
      </c>
      <c r="K162" s="5">
        <v>0.65</v>
      </c>
      <c r="L162" s="5">
        <v>0.46666666666666667</v>
      </c>
      <c r="M162" s="3" t="s">
        <v>63</v>
      </c>
    </row>
    <row r="163" spans="1:13">
      <c r="A163" s="3" t="s">
        <v>1411</v>
      </c>
      <c r="B163" s="3" t="s">
        <v>1412</v>
      </c>
      <c r="C163" s="3" t="s">
        <v>45</v>
      </c>
      <c r="D163" s="3" t="s">
        <v>345</v>
      </c>
      <c r="E163" s="8">
        <v>3.5</v>
      </c>
      <c r="F163" s="8">
        <v>3.49</v>
      </c>
      <c r="G163" s="8">
        <v>3.4900000095367432</v>
      </c>
      <c r="H163" s="5">
        <f t="shared" si="4"/>
        <v>2.7325910423314781E-9</v>
      </c>
      <c r="I163" s="5">
        <f t="shared" si="5"/>
        <v>-2.8571401323590484E-3</v>
      </c>
      <c r="J163" s="5">
        <v>-3.0555555555555561E-2</v>
      </c>
      <c r="K163" s="5">
        <v>0.42</v>
      </c>
      <c r="L163" s="5">
        <v>0.46333333333333332</v>
      </c>
      <c r="M163" s="3" t="s">
        <v>63</v>
      </c>
    </row>
    <row r="164" spans="1:13">
      <c r="A164" s="3" t="s">
        <v>1413</v>
      </c>
      <c r="B164" s="3" t="s">
        <v>1414</v>
      </c>
      <c r="C164" s="3" t="s">
        <v>61</v>
      </c>
      <c r="D164" s="3" t="s">
        <v>77</v>
      </c>
      <c r="E164" s="8">
        <v>24.49</v>
      </c>
      <c r="F164" s="8">
        <v>24.5</v>
      </c>
      <c r="G164" s="8">
        <v>24.409999847412109</v>
      </c>
      <c r="H164" s="5">
        <f t="shared" si="4"/>
        <v>-3.6734756158323112E-3</v>
      </c>
      <c r="I164" s="5">
        <f t="shared" si="5"/>
        <v>-3.2666456752915574E-3</v>
      </c>
      <c r="J164" s="5">
        <v>-5.8260175578611177E-2</v>
      </c>
      <c r="K164" s="5">
        <v>0.35666666666666669</v>
      </c>
      <c r="L164" s="5">
        <v>0.46</v>
      </c>
      <c r="M164" s="3" t="s">
        <v>63</v>
      </c>
    </row>
    <row r="165" spans="1:13">
      <c r="A165" s="3" t="s">
        <v>1415</v>
      </c>
      <c r="B165" s="3" t="s">
        <v>1416</v>
      </c>
      <c r="C165" s="3" t="s">
        <v>80</v>
      </c>
      <c r="D165" s="3" t="s">
        <v>81</v>
      </c>
      <c r="E165" s="8">
        <v>27.05</v>
      </c>
      <c r="F165" s="8">
        <v>27.45</v>
      </c>
      <c r="G165" s="8">
        <v>26.95000076293945</v>
      </c>
      <c r="H165" s="5">
        <f t="shared" si="4"/>
        <v>-1.8214908453936252E-2</v>
      </c>
      <c r="I165" s="5">
        <f t="shared" si="5"/>
        <v>-3.6968294661940959E-3</v>
      </c>
      <c r="J165" s="5">
        <v>-3.4011090573012992E-2</v>
      </c>
      <c r="K165" s="5">
        <v>0.17666666666666669</v>
      </c>
      <c r="L165" s="5">
        <v>0.45666666666666672</v>
      </c>
      <c r="M165" s="3" t="s">
        <v>47</v>
      </c>
    </row>
    <row r="166" spans="1:13">
      <c r="A166" s="3" t="s">
        <v>1417</v>
      </c>
      <c r="B166" s="3" t="s">
        <v>1418</v>
      </c>
      <c r="C166" s="3" t="s">
        <v>40</v>
      </c>
      <c r="D166" s="3" t="s">
        <v>68</v>
      </c>
      <c r="E166" s="8">
        <v>16.66</v>
      </c>
      <c r="F166" s="8">
        <v>16.420000000000002</v>
      </c>
      <c r="G166" s="8">
        <v>16.590000152587891</v>
      </c>
      <c r="H166" s="5">
        <f t="shared" si="4"/>
        <v>1.0353237063817744E-2</v>
      </c>
      <c r="I166" s="5">
        <f t="shared" si="5"/>
        <v>-4.2016715133319504E-3</v>
      </c>
      <c r="J166" s="5">
        <v>-3.3613445378151141E-2</v>
      </c>
      <c r="K166" s="5">
        <v>0.71666666666666667</v>
      </c>
      <c r="L166" s="5">
        <v>0.45333333333333331</v>
      </c>
      <c r="M166" s="3" t="s">
        <v>63</v>
      </c>
    </row>
    <row r="167" spans="1:13">
      <c r="A167" s="3" t="s">
        <v>1419</v>
      </c>
      <c r="B167" s="3" t="s">
        <v>1420</v>
      </c>
      <c r="C167" s="3" t="s">
        <v>45</v>
      </c>
      <c r="D167" s="3" t="s">
        <v>46</v>
      </c>
      <c r="E167" s="8">
        <v>6.69</v>
      </c>
      <c r="F167" s="8">
        <v>6.65</v>
      </c>
      <c r="G167" s="8">
        <v>6.6599998474121094</v>
      </c>
      <c r="H167" s="5">
        <f t="shared" si="4"/>
        <v>1.5037364529486563E-3</v>
      </c>
      <c r="I167" s="5">
        <f t="shared" si="5"/>
        <v>-4.4843277410898663E-3</v>
      </c>
      <c r="J167" s="5">
        <v>-3.5874439461883401E-2</v>
      </c>
      <c r="K167" s="5">
        <v>0.45333333333333331</v>
      </c>
      <c r="L167" s="5">
        <v>0.45</v>
      </c>
      <c r="M167" s="3" t="s">
        <v>63</v>
      </c>
    </row>
    <row r="168" spans="1:13">
      <c r="A168" s="3" t="s">
        <v>1421</v>
      </c>
      <c r="B168" s="3" t="s">
        <v>1422</v>
      </c>
      <c r="C168" s="3" t="s">
        <v>95</v>
      </c>
      <c r="D168" s="3" t="s">
        <v>99</v>
      </c>
      <c r="E168" s="8">
        <v>39.65</v>
      </c>
      <c r="F168" s="8">
        <v>38.64</v>
      </c>
      <c r="G168" s="8">
        <v>39.459999084472663</v>
      </c>
      <c r="H168" s="5">
        <f t="shared" si="4"/>
        <v>2.1221508397325728E-2</v>
      </c>
      <c r="I168" s="5">
        <f t="shared" si="5"/>
        <v>-4.7919524723161189E-3</v>
      </c>
      <c r="J168" s="5">
        <v>-3.1821598596842748E-2</v>
      </c>
      <c r="K168" s="5">
        <v>0.89666666666666661</v>
      </c>
      <c r="L168" s="5">
        <v>0.44666666666666671</v>
      </c>
      <c r="M168" s="3" t="s">
        <v>283</v>
      </c>
    </row>
    <row r="169" spans="1:13">
      <c r="A169" s="3" t="s">
        <v>1423</v>
      </c>
      <c r="B169" s="3" t="s">
        <v>1424</v>
      </c>
      <c r="C169" s="3" t="s">
        <v>45</v>
      </c>
      <c r="D169" s="3" t="s">
        <v>345</v>
      </c>
      <c r="E169" s="8">
        <v>5.86</v>
      </c>
      <c r="F169" s="8">
        <v>5.83</v>
      </c>
      <c r="G169" s="8">
        <v>5.8299999237060547</v>
      </c>
      <c r="H169" s="5">
        <f t="shared" si="4"/>
        <v>-1.3086440042719971E-8</v>
      </c>
      <c r="I169" s="5">
        <f t="shared" si="5"/>
        <v>-5.1194669443592744E-3</v>
      </c>
      <c r="J169" s="5">
        <v>-2.1812093337910229E-2</v>
      </c>
      <c r="K169" s="5">
        <v>0.41333333333333327</v>
      </c>
      <c r="L169" s="5">
        <v>0.44333333333333341</v>
      </c>
      <c r="M169" s="3" t="s">
        <v>63</v>
      </c>
    </row>
    <row r="170" spans="1:13">
      <c r="A170" s="3" t="s">
        <v>1425</v>
      </c>
      <c r="B170" s="3" t="s">
        <v>1426</v>
      </c>
      <c r="C170" s="3" t="s">
        <v>251</v>
      </c>
      <c r="D170" s="3" t="s">
        <v>251</v>
      </c>
      <c r="E170" s="8">
        <v>3.71</v>
      </c>
      <c r="F170" s="8">
        <v>3.71</v>
      </c>
      <c r="G170" s="8">
        <v>3.690000057220459</v>
      </c>
      <c r="H170" s="5">
        <f t="shared" si="4"/>
        <v>-5.3908201562105074E-3</v>
      </c>
      <c r="I170" s="5">
        <f t="shared" si="5"/>
        <v>-5.3908201562105074E-3</v>
      </c>
      <c r="J170" s="5">
        <v>-1.336896865763137E-2</v>
      </c>
      <c r="K170" s="5">
        <v>0.32333333333333331</v>
      </c>
      <c r="L170" s="5">
        <v>0.44</v>
      </c>
      <c r="M170" s="3" t="s">
        <v>63</v>
      </c>
    </row>
    <row r="171" spans="1:13">
      <c r="A171" s="3" t="s">
        <v>1427</v>
      </c>
      <c r="B171" s="3" t="s">
        <v>1428</v>
      </c>
      <c r="C171" s="3" t="s">
        <v>61</v>
      </c>
      <c r="D171" s="3" t="s">
        <v>77</v>
      </c>
      <c r="E171" s="8">
        <v>24.17</v>
      </c>
      <c r="F171" s="8">
        <v>23.89</v>
      </c>
      <c r="G171" s="8">
        <v>24.010000228881839</v>
      </c>
      <c r="H171" s="5">
        <f t="shared" si="4"/>
        <v>5.0230317656692058E-3</v>
      </c>
      <c r="I171" s="5">
        <f t="shared" si="5"/>
        <v>-6.619767112873931E-3</v>
      </c>
      <c r="J171" s="5">
        <v>-2.7414075286415821E-2</v>
      </c>
      <c r="K171" s="5">
        <v>0.53333333333333333</v>
      </c>
      <c r="L171" s="5">
        <v>0.43666666666666659</v>
      </c>
      <c r="M171" s="3" t="s">
        <v>63</v>
      </c>
    </row>
    <row r="172" spans="1:13">
      <c r="A172" s="3" t="s">
        <v>1429</v>
      </c>
      <c r="B172" s="3" t="s">
        <v>1430</v>
      </c>
      <c r="C172" s="3" t="s">
        <v>57</v>
      </c>
      <c r="D172" s="3" t="s">
        <v>112</v>
      </c>
      <c r="E172" s="8">
        <v>53.88</v>
      </c>
      <c r="F172" s="8">
        <v>52.48</v>
      </c>
      <c r="G172" s="8">
        <v>53.509998321533203</v>
      </c>
      <c r="H172" s="5">
        <f t="shared" si="4"/>
        <v>1.9626492407263774E-2</v>
      </c>
      <c r="I172" s="5">
        <f t="shared" si="5"/>
        <v>-6.8671432529101573E-3</v>
      </c>
      <c r="J172" s="5">
        <v>-3.3778767631774342E-2</v>
      </c>
      <c r="K172" s="5">
        <v>0.8666666666666667</v>
      </c>
      <c r="L172" s="5">
        <v>0.43333333333333329</v>
      </c>
      <c r="M172" s="3" t="s">
        <v>283</v>
      </c>
    </row>
    <row r="173" spans="1:13">
      <c r="A173" s="3" t="s">
        <v>1431</v>
      </c>
      <c r="B173" s="3" t="s">
        <v>1432</v>
      </c>
      <c r="C173" s="3" t="s">
        <v>50</v>
      </c>
      <c r="D173" s="3" t="s">
        <v>50</v>
      </c>
      <c r="E173" s="8">
        <v>13.28</v>
      </c>
      <c r="F173" s="8">
        <v>13.21</v>
      </c>
      <c r="G173" s="8">
        <v>13.180000305175779</v>
      </c>
      <c r="H173" s="5">
        <f t="shared" si="4"/>
        <v>-2.2709837111446474E-3</v>
      </c>
      <c r="I173" s="5">
        <f t="shared" si="5"/>
        <v>-7.5300975018237626E-3</v>
      </c>
      <c r="J173" s="5">
        <v>-6.6265060240963791E-2</v>
      </c>
      <c r="K173" s="5">
        <v>0.37333333333333341</v>
      </c>
      <c r="L173" s="5">
        <v>0.43</v>
      </c>
      <c r="M173" s="3" t="s">
        <v>63</v>
      </c>
    </row>
    <row r="174" spans="1:13">
      <c r="A174" s="3" t="s">
        <v>1433</v>
      </c>
      <c r="B174" s="3" t="s">
        <v>1434</v>
      </c>
      <c r="C174" s="3" t="s">
        <v>45</v>
      </c>
      <c r="D174" s="3" t="s">
        <v>345</v>
      </c>
      <c r="E174" s="8">
        <v>1.32</v>
      </c>
      <c r="F174" s="8">
        <v>1.3</v>
      </c>
      <c r="G174" s="8">
        <v>1.309999942779541</v>
      </c>
      <c r="H174" s="5">
        <f t="shared" si="4"/>
        <v>7.6922636765699437E-3</v>
      </c>
      <c r="I174" s="5">
        <f t="shared" si="5"/>
        <v>-7.5758009245902036E-3</v>
      </c>
      <c r="J174" s="5">
        <v>-1.515151515151514E-2</v>
      </c>
      <c r="K174" s="5">
        <v>0.62</v>
      </c>
      <c r="L174" s="5">
        <v>0.42666666666666669</v>
      </c>
      <c r="M174" s="3" t="s">
        <v>63</v>
      </c>
    </row>
    <row r="175" spans="1:13">
      <c r="A175" s="3" t="s">
        <v>1435</v>
      </c>
      <c r="B175" s="3" t="s">
        <v>1436</v>
      </c>
      <c r="C175" s="3" t="s">
        <v>95</v>
      </c>
      <c r="D175" s="3" t="s">
        <v>99</v>
      </c>
      <c r="E175" s="8">
        <v>30.08</v>
      </c>
      <c r="F175" s="8">
        <v>28.32</v>
      </c>
      <c r="G175" s="8">
        <v>29.85000038146973</v>
      </c>
      <c r="H175" s="5">
        <f t="shared" si="4"/>
        <v>5.4025437198789827E-2</v>
      </c>
      <c r="I175" s="5">
        <f t="shared" si="5"/>
        <v>-7.6462639139052158E-3</v>
      </c>
      <c r="J175" s="5">
        <v>-7.6462765957446721E-2</v>
      </c>
      <c r="K175" s="5">
        <v>0.98333333333333328</v>
      </c>
      <c r="L175" s="5">
        <v>0.42333333333333328</v>
      </c>
      <c r="M175" s="3" t="s">
        <v>283</v>
      </c>
    </row>
    <row r="176" spans="1:13">
      <c r="A176" s="3" t="s">
        <v>1437</v>
      </c>
      <c r="B176" s="3" t="s">
        <v>1438</v>
      </c>
      <c r="C176" s="3" t="s">
        <v>45</v>
      </c>
      <c r="D176" s="3" t="s">
        <v>46</v>
      </c>
      <c r="E176" s="8">
        <v>68.599999999999994</v>
      </c>
      <c r="F176" s="8">
        <v>68.709999999999994</v>
      </c>
      <c r="G176" s="8">
        <v>68.05999755859375</v>
      </c>
      <c r="H176" s="5">
        <f t="shared" si="4"/>
        <v>-9.4600850153725435E-3</v>
      </c>
      <c r="I176" s="5">
        <f t="shared" si="5"/>
        <v>-7.8717557056303677E-3</v>
      </c>
      <c r="J176" s="5">
        <v>-3.4336016478522358E-2</v>
      </c>
      <c r="K176" s="5">
        <v>0.28000000000000003</v>
      </c>
      <c r="L176" s="5">
        <v>0.42</v>
      </c>
      <c r="M176" s="3" t="s">
        <v>63</v>
      </c>
    </row>
    <row r="177" spans="1:13">
      <c r="A177" s="3" t="s">
        <v>1439</v>
      </c>
      <c r="B177" s="3" t="s">
        <v>1440</v>
      </c>
      <c r="C177" s="3" t="s">
        <v>57</v>
      </c>
      <c r="D177" s="3" t="s">
        <v>376</v>
      </c>
      <c r="E177" s="8">
        <v>15.33</v>
      </c>
      <c r="F177" s="8">
        <v>15.18</v>
      </c>
      <c r="G177" s="8">
        <v>15.19999980926514</v>
      </c>
      <c r="H177" s="5">
        <f t="shared" si="4"/>
        <v>1.3175104917746427E-3</v>
      </c>
      <c r="I177" s="5">
        <f t="shared" si="5"/>
        <v>-8.4801168124500892E-3</v>
      </c>
      <c r="J177" s="5">
        <v>-2.3794212218649639E-2</v>
      </c>
      <c r="K177" s="5">
        <v>0.45</v>
      </c>
      <c r="L177" s="5">
        <v>0.41666666666666669</v>
      </c>
      <c r="M177" s="3" t="s">
        <v>63</v>
      </c>
    </row>
    <row r="178" spans="1:13">
      <c r="A178" s="3" t="s">
        <v>1441</v>
      </c>
      <c r="B178" s="3" t="s">
        <v>1442</v>
      </c>
      <c r="C178" s="3" t="s">
        <v>45</v>
      </c>
      <c r="D178" s="3" t="s">
        <v>46</v>
      </c>
      <c r="E178" s="8">
        <v>4.68</v>
      </c>
      <c r="F178" s="8">
        <v>4.6100000000000003</v>
      </c>
      <c r="G178" s="8">
        <v>4.6399998664855957</v>
      </c>
      <c r="H178" s="5">
        <f t="shared" si="4"/>
        <v>6.507563228979496E-3</v>
      </c>
      <c r="I178" s="5">
        <f t="shared" si="5"/>
        <v>-8.5470370757273484E-3</v>
      </c>
      <c r="J178" s="5">
        <v>-1.495726495726479E-2</v>
      </c>
      <c r="K178" s="5">
        <v>0.58333333333333337</v>
      </c>
      <c r="L178" s="5">
        <v>0.41333333333333327</v>
      </c>
      <c r="M178" s="3" t="s">
        <v>63</v>
      </c>
    </row>
    <row r="179" spans="1:13">
      <c r="A179" s="3" t="s">
        <v>1443</v>
      </c>
      <c r="B179" s="3" t="s">
        <v>1444</v>
      </c>
      <c r="C179" s="3" t="s">
        <v>57</v>
      </c>
      <c r="D179" s="3" t="s">
        <v>376</v>
      </c>
      <c r="E179" s="8">
        <v>89.53</v>
      </c>
      <c r="F179" s="8">
        <v>88.2</v>
      </c>
      <c r="G179" s="8">
        <v>88.709999084472656</v>
      </c>
      <c r="H179" s="5">
        <f t="shared" si="4"/>
        <v>5.7823025450414178E-3</v>
      </c>
      <c r="I179" s="5">
        <f t="shared" si="5"/>
        <v>-9.1589513629771746E-3</v>
      </c>
      <c r="J179" s="5">
        <v>-4.4627383015597773E-2</v>
      </c>
      <c r="K179" s="5">
        <v>0.55333333333333334</v>
      </c>
      <c r="L179" s="5">
        <v>0.41</v>
      </c>
      <c r="M179" s="3" t="s">
        <v>63</v>
      </c>
    </row>
    <row r="180" spans="1:13">
      <c r="A180" s="3" t="s">
        <v>1445</v>
      </c>
      <c r="B180" s="3" t="s">
        <v>1446</v>
      </c>
      <c r="C180" s="3" t="s">
        <v>95</v>
      </c>
      <c r="D180" s="3" t="s">
        <v>99</v>
      </c>
      <c r="E180" s="8">
        <v>72.56</v>
      </c>
      <c r="F180" s="8">
        <v>71.27</v>
      </c>
      <c r="G180" s="8">
        <v>71.830001831054687</v>
      </c>
      <c r="H180" s="5">
        <f t="shared" si="4"/>
        <v>7.8574692164261606E-3</v>
      </c>
      <c r="I180" s="5">
        <f t="shared" si="5"/>
        <v>-1.0060614235740228E-2</v>
      </c>
      <c r="J180" s="5">
        <v>-1.9845644983461971E-2</v>
      </c>
      <c r="K180" s="5">
        <v>0.63</v>
      </c>
      <c r="L180" s="5">
        <v>0.40666666666666668</v>
      </c>
      <c r="M180" s="3" t="s">
        <v>63</v>
      </c>
    </row>
    <row r="181" spans="1:13">
      <c r="A181" s="3" t="s">
        <v>1447</v>
      </c>
      <c r="B181" s="3" t="s">
        <v>1448</v>
      </c>
      <c r="C181" s="3" t="s">
        <v>57</v>
      </c>
      <c r="D181" s="3" t="s">
        <v>338</v>
      </c>
      <c r="E181" s="8">
        <v>21.65</v>
      </c>
      <c r="F181" s="8">
        <v>21.18</v>
      </c>
      <c r="G181" s="8">
        <v>21.420000076293949</v>
      </c>
      <c r="H181" s="5">
        <f t="shared" si="4"/>
        <v>1.1331448361376228E-2</v>
      </c>
      <c r="I181" s="5">
        <f t="shared" si="5"/>
        <v>-1.06235530580161E-2</v>
      </c>
      <c r="J181" s="5">
        <v>-5.0523441055985392E-2</v>
      </c>
      <c r="K181" s="5">
        <v>0.74333333333333329</v>
      </c>
      <c r="L181" s="5">
        <v>0.40333333333333332</v>
      </c>
      <c r="M181" s="3" t="s">
        <v>63</v>
      </c>
    </row>
    <row r="182" spans="1:13">
      <c r="A182" s="3" t="s">
        <v>1449</v>
      </c>
      <c r="B182" s="3" t="s">
        <v>1450</v>
      </c>
      <c r="C182" s="3" t="s">
        <v>45</v>
      </c>
      <c r="D182" s="3" t="s">
        <v>46</v>
      </c>
      <c r="E182" s="8">
        <v>2.5299999999999998</v>
      </c>
      <c r="F182" s="8">
        <v>2.4900000000000002</v>
      </c>
      <c r="G182" s="8">
        <v>2.5</v>
      </c>
      <c r="H182" s="5">
        <f t="shared" si="4"/>
        <v>4.0160642570279403E-3</v>
      </c>
      <c r="I182" s="5">
        <f t="shared" si="5"/>
        <v>-1.1857707509881354E-2</v>
      </c>
      <c r="J182" s="5">
        <v>-1.5810276679841691E-2</v>
      </c>
      <c r="K182" s="5">
        <v>0.51</v>
      </c>
      <c r="L182" s="5">
        <v>0.4</v>
      </c>
      <c r="M182" s="3" t="s">
        <v>63</v>
      </c>
    </row>
    <row r="183" spans="1:13">
      <c r="A183" s="3" t="s">
        <v>1451</v>
      </c>
      <c r="B183" s="3" t="s">
        <v>1452</v>
      </c>
      <c r="C183" s="3" t="s">
        <v>45</v>
      </c>
      <c r="D183" s="3" t="s">
        <v>46</v>
      </c>
      <c r="E183" s="8">
        <v>26.98</v>
      </c>
      <c r="F183" s="8">
        <v>26.71</v>
      </c>
      <c r="G183" s="8">
        <v>26.659999847412109</v>
      </c>
      <c r="H183" s="5">
        <f t="shared" si="4"/>
        <v>-1.8719637809019307E-3</v>
      </c>
      <c r="I183" s="5">
        <f t="shared" si="5"/>
        <v>-1.1860643164858797E-2</v>
      </c>
      <c r="J183" s="5">
        <v>-4.4101834083466913E-2</v>
      </c>
      <c r="K183" s="5">
        <v>0.39</v>
      </c>
      <c r="L183" s="5">
        <v>0.39666666666666672</v>
      </c>
      <c r="M183" s="3" t="s">
        <v>63</v>
      </c>
    </row>
    <row r="184" spans="1:13">
      <c r="A184" s="3" t="s">
        <v>1453</v>
      </c>
      <c r="B184" s="3" t="s">
        <v>1454</v>
      </c>
      <c r="C184" s="3" t="s">
        <v>45</v>
      </c>
      <c r="D184" s="3" t="s">
        <v>345</v>
      </c>
      <c r="E184" s="8">
        <v>44.27</v>
      </c>
      <c r="F184" s="8">
        <v>43.58</v>
      </c>
      <c r="G184" s="8">
        <v>43.740001678466797</v>
      </c>
      <c r="H184" s="5">
        <f t="shared" si="4"/>
        <v>3.6714474177788059E-3</v>
      </c>
      <c r="I184" s="5">
        <f t="shared" si="5"/>
        <v>-1.1971952146672793E-2</v>
      </c>
      <c r="J184" s="5">
        <v>-1.8292682926829281E-2</v>
      </c>
      <c r="K184" s="5">
        <v>0.49666666666666659</v>
      </c>
      <c r="L184" s="5">
        <v>0.39333333333333331</v>
      </c>
      <c r="M184" s="3" t="s">
        <v>63</v>
      </c>
    </row>
    <row r="185" spans="1:13">
      <c r="A185" s="3" t="s">
        <v>1455</v>
      </c>
      <c r="B185" s="3" t="s">
        <v>1456</v>
      </c>
      <c r="C185" s="3" t="s">
        <v>50</v>
      </c>
      <c r="D185" s="3" t="s">
        <v>50</v>
      </c>
      <c r="E185" s="8">
        <v>28.19</v>
      </c>
      <c r="F185" s="8">
        <v>28.19</v>
      </c>
      <c r="G185" s="8">
        <v>27.85000038146973</v>
      </c>
      <c r="H185" s="5">
        <f t="shared" si="4"/>
        <v>-1.2061001012070638E-2</v>
      </c>
      <c r="I185" s="5">
        <f t="shared" si="5"/>
        <v>-1.2061001012070638E-2</v>
      </c>
      <c r="J185" s="5">
        <v>-4.7205831308573358E-2</v>
      </c>
      <c r="K185" s="5">
        <v>0.2466666666666667</v>
      </c>
      <c r="L185" s="5">
        <v>0.39</v>
      </c>
      <c r="M185" s="3" t="s">
        <v>47</v>
      </c>
    </row>
    <row r="186" spans="1:13">
      <c r="A186" s="3" t="s">
        <v>1457</v>
      </c>
      <c r="B186" s="3" t="s">
        <v>1458</v>
      </c>
      <c r="C186" s="3" t="s">
        <v>251</v>
      </c>
      <c r="D186" s="3" t="s">
        <v>251</v>
      </c>
      <c r="E186" s="8">
        <v>6.89</v>
      </c>
      <c r="F186" s="8">
        <v>6.68</v>
      </c>
      <c r="G186" s="8">
        <v>6.8000001907348633</v>
      </c>
      <c r="H186" s="5">
        <f t="shared" si="4"/>
        <v>1.7964100409410655E-2</v>
      </c>
      <c r="I186" s="5">
        <f t="shared" si="5"/>
        <v>-1.3062381605970397E-2</v>
      </c>
      <c r="J186" s="5">
        <v>-4.2089985486211901E-2</v>
      </c>
      <c r="K186" s="5">
        <v>0.84</v>
      </c>
      <c r="L186" s="5">
        <v>0.38666666666666671</v>
      </c>
      <c r="M186" s="3" t="s">
        <v>283</v>
      </c>
    </row>
    <row r="187" spans="1:13">
      <c r="A187" s="3" t="s">
        <v>1459</v>
      </c>
      <c r="B187" s="3" t="s">
        <v>1460</v>
      </c>
      <c r="C187" s="3" t="s">
        <v>95</v>
      </c>
      <c r="D187" s="3" t="s">
        <v>99</v>
      </c>
      <c r="E187" s="8">
        <v>51.63</v>
      </c>
      <c r="F187" s="8">
        <v>50.7</v>
      </c>
      <c r="G187" s="8">
        <v>50.909999847412109</v>
      </c>
      <c r="H187" s="5">
        <f t="shared" si="4"/>
        <v>4.1420088246963971E-3</v>
      </c>
      <c r="I187" s="5">
        <f t="shared" si="5"/>
        <v>-1.3945383548090162E-2</v>
      </c>
      <c r="J187" s="5">
        <v>-1.8012783265543231E-2</v>
      </c>
      <c r="K187" s="5">
        <v>0.51666666666666672</v>
      </c>
      <c r="L187" s="5">
        <v>0.38333333333333341</v>
      </c>
      <c r="M187" s="3" t="s">
        <v>63</v>
      </c>
    </row>
    <row r="188" spans="1:13">
      <c r="A188" s="3" t="s">
        <v>1461</v>
      </c>
      <c r="B188" s="3" t="s">
        <v>1462</v>
      </c>
      <c r="C188" s="3" t="s">
        <v>40</v>
      </c>
      <c r="D188" s="3" t="s">
        <v>68</v>
      </c>
      <c r="E188" s="8">
        <v>57.74</v>
      </c>
      <c r="F188" s="8">
        <v>57.62</v>
      </c>
      <c r="G188" s="8">
        <v>56.919998168945313</v>
      </c>
      <c r="H188" s="5">
        <f t="shared" si="4"/>
        <v>-1.2148591306051504E-2</v>
      </c>
      <c r="I188" s="5">
        <f t="shared" si="5"/>
        <v>-1.420162506156375E-2</v>
      </c>
      <c r="J188" s="5">
        <v>-7.6203671631451253E-2</v>
      </c>
      <c r="K188" s="5">
        <v>0.24333333333333329</v>
      </c>
      <c r="L188" s="5">
        <v>0.38</v>
      </c>
      <c r="M188" s="3" t="s">
        <v>47</v>
      </c>
    </row>
    <row r="189" spans="1:13">
      <c r="A189" s="3" t="s">
        <v>1463</v>
      </c>
      <c r="B189" s="3" t="s">
        <v>1464</v>
      </c>
      <c r="C189" s="3" t="s">
        <v>40</v>
      </c>
      <c r="D189" s="3" t="s">
        <v>41</v>
      </c>
      <c r="E189" s="8">
        <v>18.02</v>
      </c>
      <c r="F189" s="8">
        <v>17.649999999999999</v>
      </c>
      <c r="G189" s="8">
        <v>17.760000228881839</v>
      </c>
      <c r="H189" s="5">
        <f t="shared" si="4"/>
        <v>6.2323075853734089E-3</v>
      </c>
      <c r="I189" s="5">
        <f t="shared" si="5"/>
        <v>-1.4428400173038813E-2</v>
      </c>
      <c r="J189" s="5">
        <v>-4.8279689234184242E-2</v>
      </c>
      <c r="K189" s="5">
        <v>0.57333333333333336</v>
      </c>
      <c r="L189" s="5">
        <v>0.37666666666666659</v>
      </c>
      <c r="M189" s="3" t="s">
        <v>63</v>
      </c>
    </row>
    <row r="190" spans="1:13">
      <c r="A190" s="3" t="s">
        <v>1465</v>
      </c>
      <c r="B190" s="3" t="s">
        <v>1466</v>
      </c>
      <c r="C190" s="3" t="s">
        <v>80</v>
      </c>
      <c r="D190" s="3" t="s">
        <v>137</v>
      </c>
      <c r="E190" s="8">
        <v>6.57</v>
      </c>
      <c r="F190" s="8">
        <v>6.37</v>
      </c>
      <c r="G190" s="8">
        <v>6.4699997901916504</v>
      </c>
      <c r="H190" s="5">
        <f t="shared" si="4"/>
        <v>1.5698554190211933E-2</v>
      </c>
      <c r="I190" s="5">
        <f t="shared" si="5"/>
        <v>-1.5220732086506872E-2</v>
      </c>
      <c r="J190" s="5">
        <v>-5.2631578947368467E-2</v>
      </c>
      <c r="K190" s="5">
        <v>0.80333333333333334</v>
      </c>
      <c r="L190" s="5">
        <v>0.37333333333333341</v>
      </c>
      <c r="M190" s="3" t="s">
        <v>283</v>
      </c>
    </row>
    <row r="191" spans="1:13">
      <c r="A191" s="3" t="s">
        <v>1467</v>
      </c>
      <c r="B191" s="3" t="s">
        <v>1468</v>
      </c>
      <c r="C191" s="3" t="s">
        <v>45</v>
      </c>
      <c r="D191" s="3" t="s">
        <v>345</v>
      </c>
      <c r="E191" s="8">
        <v>32.700000000000003</v>
      </c>
      <c r="F191" s="8">
        <v>31.8</v>
      </c>
      <c r="G191" s="8">
        <v>32.130001068115227</v>
      </c>
      <c r="H191" s="5">
        <f t="shared" si="4"/>
        <v>1.0377392079095271E-2</v>
      </c>
      <c r="I191" s="5">
        <f t="shared" si="5"/>
        <v>-1.7431159996476264E-2</v>
      </c>
      <c r="J191" s="5">
        <v>-5.5539055539055582E-2</v>
      </c>
      <c r="K191" s="5">
        <v>0.72</v>
      </c>
      <c r="L191" s="5">
        <v>0.37</v>
      </c>
      <c r="M191" s="3" t="s">
        <v>63</v>
      </c>
    </row>
    <row r="192" spans="1:13">
      <c r="A192" s="3" t="s">
        <v>1469</v>
      </c>
      <c r="B192" s="3" t="s">
        <v>1470</v>
      </c>
      <c r="C192" s="3" t="s">
        <v>50</v>
      </c>
      <c r="D192" s="3" t="s">
        <v>50</v>
      </c>
      <c r="E192" s="8">
        <v>53.59</v>
      </c>
      <c r="F192" s="8">
        <v>53.89</v>
      </c>
      <c r="G192" s="8">
        <v>52.529998779296882</v>
      </c>
      <c r="H192" s="5">
        <f t="shared" si="4"/>
        <v>-2.5236615711692667E-2</v>
      </c>
      <c r="I192" s="5">
        <f t="shared" si="5"/>
        <v>-1.9779832444544176E-2</v>
      </c>
      <c r="J192" s="5">
        <v>-5.5725350003651308E-2</v>
      </c>
      <c r="K192" s="5">
        <v>0.12666666666666671</v>
      </c>
      <c r="L192" s="5">
        <v>0.36666666666666659</v>
      </c>
      <c r="M192" s="3" t="s">
        <v>47</v>
      </c>
    </row>
    <row r="193" spans="1:13">
      <c r="A193" s="3" t="s">
        <v>1471</v>
      </c>
      <c r="B193" s="3" t="s">
        <v>1472</v>
      </c>
      <c r="C193" s="3" t="s">
        <v>45</v>
      </c>
      <c r="D193" s="3" t="s">
        <v>46</v>
      </c>
      <c r="E193" s="8">
        <v>62.18</v>
      </c>
      <c r="F193" s="8">
        <v>61.87</v>
      </c>
      <c r="G193" s="8">
        <v>60.950000762939453</v>
      </c>
      <c r="H193" s="5">
        <f t="shared" si="4"/>
        <v>-1.4869876144505301E-2</v>
      </c>
      <c r="I193" s="5">
        <f t="shared" si="5"/>
        <v>-1.9781267884537601E-2</v>
      </c>
      <c r="J193" s="5">
        <v>-6.2399485365069229E-2</v>
      </c>
      <c r="K193" s="5">
        <v>0.21333333333333329</v>
      </c>
      <c r="L193" s="5">
        <v>0.36333333333333329</v>
      </c>
      <c r="M193" s="3" t="s">
        <v>47</v>
      </c>
    </row>
    <row r="194" spans="1:13">
      <c r="A194" s="3" t="s">
        <v>1473</v>
      </c>
      <c r="B194" s="3" t="s">
        <v>1474</v>
      </c>
      <c r="C194" s="3" t="s">
        <v>71</v>
      </c>
      <c r="D194" s="3" t="s">
        <v>72</v>
      </c>
      <c r="E194" s="8">
        <v>231.9</v>
      </c>
      <c r="F194" s="8">
        <v>229.2</v>
      </c>
      <c r="G194" s="8">
        <v>227.0299987792969</v>
      </c>
      <c r="H194" s="5">
        <f t="shared" ref="H194:H257" si="6">IFERROR(G194/F194-1,"")</f>
        <v>-9.4677191130152494E-3</v>
      </c>
      <c r="I194" s="5">
        <f t="shared" ref="I194:I257" si="7">IFERROR(G194/E194-1,"")</f>
        <v>-2.1000436484273854E-2</v>
      </c>
      <c r="J194" s="5">
        <v>-7.0806382061233353E-2</v>
      </c>
      <c r="K194" s="5">
        <v>0.27666666666666673</v>
      </c>
      <c r="L194" s="5">
        <v>0.36</v>
      </c>
      <c r="M194" s="3" t="s">
        <v>63</v>
      </c>
    </row>
    <row r="195" spans="1:13">
      <c r="A195" s="3" t="s">
        <v>1475</v>
      </c>
      <c r="B195" s="3" t="s">
        <v>1476</v>
      </c>
      <c r="C195" s="3" t="s">
        <v>164</v>
      </c>
      <c r="D195" s="3" t="s">
        <v>882</v>
      </c>
      <c r="E195" s="8">
        <v>2.85</v>
      </c>
      <c r="F195" s="8">
        <v>2.76</v>
      </c>
      <c r="G195" s="8">
        <v>2.7899999618530269</v>
      </c>
      <c r="H195" s="5">
        <f t="shared" si="6"/>
        <v>1.0869551396024413E-2</v>
      </c>
      <c r="I195" s="5">
        <f t="shared" si="7"/>
        <v>-2.1052644963850287E-2</v>
      </c>
      <c r="J195" s="5">
        <v>-3.8461538461538443E-2</v>
      </c>
      <c r="K195" s="5">
        <v>0.72666666666666668</v>
      </c>
      <c r="L195" s="5">
        <v>0.35666666666666669</v>
      </c>
      <c r="M195" s="3" t="s">
        <v>63</v>
      </c>
    </row>
    <row r="196" spans="1:13">
      <c r="A196" s="3" t="s">
        <v>1477</v>
      </c>
      <c r="B196" s="3" t="s">
        <v>1478</v>
      </c>
      <c r="C196" s="3" t="s">
        <v>50</v>
      </c>
      <c r="D196" s="3" t="s">
        <v>50</v>
      </c>
      <c r="E196" s="8">
        <v>26.97</v>
      </c>
      <c r="F196" s="8">
        <v>26.35</v>
      </c>
      <c r="G196" s="8">
        <v>26.39999961853027</v>
      </c>
      <c r="H196" s="5">
        <f t="shared" si="6"/>
        <v>1.8975187298013729E-3</v>
      </c>
      <c r="I196" s="5">
        <f t="shared" si="7"/>
        <v>-2.1134608137550193E-2</v>
      </c>
      <c r="J196" s="5">
        <v>-9.9453178400546793E-2</v>
      </c>
      <c r="K196" s="5">
        <v>0.46</v>
      </c>
      <c r="L196" s="5">
        <v>0.35333333333333328</v>
      </c>
      <c r="M196" s="3" t="s">
        <v>63</v>
      </c>
    </row>
    <row r="197" spans="1:13">
      <c r="A197" s="3" t="s">
        <v>1479</v>
      </c>
      <c r="B197" s="3" t="s">
        <v>1480</v>
      </c>
      <c r="C197" s="3" t="s">
        <v>40</v>
      </c>
      <c r="D197" s="3" t="s">
        <v>68</v>
      </c>
      <c r="E197" s="8">
        <v>35.71</v>
      </c>
      <c r="F197" s="8">
        <v>35.25</v>
      </c>
      <c r="G197" s="8">
        <v>34.900001525878913</v>
      </c>
      <c r="H197" s="5">
        <f t="shared" si="6"/>
        <v>-9.9290347268393697E-3</v>
      </c>
      <c r="I197" s="5">
        <f t="shared" si="7"/>
        <v>-2.268267919689404E-2</v>
      </c>
      <c r="J197" s="5">
        <v>-7.560907308877074E-2</v>
      </c>
      <c r="K197" s="5">
        <v>0.26666666666666672</v>
      </c>
      <c r="L197" s="5">
        <v>0.35</v>
      </c>
      <c r="M197" s="3" t="s">
        <v>63</v>
      </c>
    </row>
    <row r="198" spans="1:13">
      <c r="A198" s="3" t="s">
        <v>1481</v>
      </c>
      <c r="B198" s="3" t="s">
        <v>1482</v>
      </c>
      <c r="C198" s="3" t="s">
        <v>40</v>
      </c>
      <c r="D198" s="3" t="s">
        <v>68</v>
      </c>
      <c r="E198" s="8">
        <v>123.59</v>
      </c>
      <c r="F198" s="8">
        <v>124.91</v>
      </c>
      <c r="G198" s="8">
        <v>120.7200012207031</v>
      </c>
      <c r="H198" s="5">
        <f t="shared" si="6"/>
        <v>-3.3544142016627143E-2</v>
      </c>
      <c r="I198" s="5">
        <f t="shared" si="7"/>
        <v>-2.3221933645900972E-2</v>
      </c>
      <c r="J198" s="5">
        <v>-8.2369123715510972E-2</v>
      </c>
      <c r="K198" s="5">
        <v>7.6666666666666661E-2</v>
      </c>
      <c r="L198" s="5">
        <v>0.34666666666666668</v>
      </c>
      <c r="M198" s="3" t="s">
        <v>47</v>
      </c>
    </row>
    <row r="199" spans="1:13">
      <c r="A199" s="3" t="s">
        <v>1483</v>
      </c>
      <c r="B199" s="3" t="s">
        <v>1484</v>
      </c>
      <c r="C199" s="3" t="s">
        <v>40</v>
      </c>
      <c r="D199" s="3" t="s">
        <v>41</v>
      </c>
      <c r="E199" s="8">
        <v>41.18</v>
      </c>
      <c r="F199" s="8">
        <v>40.299999999999997</v>
      </c>
      <c r="G199" s="8">
        <v>40.220001220703118</v>
      </c>
      <c r="H199" s="5">
        <f t="shared" si="6"/>
        <v>-1.9850813721310478E-3</v>
      </c>
      <c r="I199" s="5">
        <f t="shared" si="7"/>
        <v>-2.3312257875106379E-2</v>
      </c>
      <c r="J199" s="5">
        <v>-5.4638173870811053E-2</v>
      </c>
      <c r="K199" s="5">
        <v>0.38333333333333341</v>
      </c>
      <c r="L199" s="5">
        <v>0.34333333333333332</v>
      </c>
      <c r="M199" s="3" t="s">
        <v>63</v>
      </c>
    </row>
    <row r="200" spans="1:13">
      <c r="A200" s="3" t="s">
        <v>1485</v>
      </c>
      <c r="B200" s="3" t="s">
        <v>1486</v>
      </c>
      <c r="C200" s="3" t="s">
        <v>40</v>
      </c>
      <c r="D200" s="3" t="s">
        <v>68</v>
      </c>
      <c r="E200" s="8">
        <v>35.11</v>
      </c>
      <c r="F200" s="8">
        <v>34.18</v>
      </c>
      <c r="G200" s="8">
        <v>34.279998779296882</v>
      </c>
      <c r="H200" s="5">
        <f t="shared" si="6"/>
        <v>2.9256518226121742E-3</v>
      </c>
      <c r="I200" s="5">
        <f t="shared" si="7"/>
        <v>-2.3640023375195551E-2</v>
      </c>
      <c r="J200" s="5">
        <v>-5.6394189689547007E-2</v>
      </c>
      <c r="K200" s="5">
        <v>0.48</v>
      </c>
      <c r="L200" s="5">
        <v>0.34</v>
      </c>
      <c r="M200" s="3" t="s">
        <v>63</v>
      </c>
    </row>
    <row r="201" spans="1:13">
      <c r="A201" s="3" t="s">
        <v>1487</v>
      </c>
      <c r="B201" s="3" t="s">
        <v>1488</v>
      </c>
      <c r="C201" s="3" t="s">
        <v>40</v>
      </c>
      <c r="D201" s="3" t="s">
        <v>68</v>
      </c>
      <c r="E201" s="8">
        <v>39.25</v>
      </c>
      <c r="F201" s="8">
        <v>38.950000000000003</v>
      </c>
      <c r="G201" s="8">
        <v>38.319999694824219</v>
      </c>
      <c r="H201" s="5">
        <f t="shared" si="6"/>
        <v>-1.6174590633524666E-2</v>
      </c>
      <c r="I201" s="5">
        <f t="shared" si="7"/>
        <v>-2.3694275291102684E-2</v>
      </c>
      <c r="J201" s="5">
        <v>-0.12127388535031849</v>
      </c>
      <c r="K201" s="5">
        <v>0.2</v>
      </c>
      <c r="L201" s="5">
        <v>0.33666666666666673</v>
      </c>
      <c r="M201" s="3" t="s">
        <v>47</v>
      </c>
    </row>
    <row r="202" spans="1:13">
      <c r="A202" s="3" t="s">
        <v>1489</v>
      </c>
      <c r="B202" s="3" t="s">
        <v>1490</v>
      </c>
      <c r="C202" s="3" t="s">
        <v>50</v>
      </c>
      <c r="D202" s="3" t="s">
        <v>50</v>
      </c>
      <c r="E202" s="8">
        <v>40</v>
      </c>
      <c r="F202" s="8">
        <v>40.54</v>
      </c>
      <c r="G202" s="8">
        <v>39.049999237060547</v>
      </c>
      <c r="H202" s="5">
        <f t="shared" si="6"/>
        <v>-3.6753842203735898E-2</v>
      </c>
      <c r="I202" s="5">
        <f t="shared" si="7"/>
        <v>-2.3750019073486284E-2</v>
      </c>
      <c r="J202" s="5">
        <v>-5.4499999999999993E-2</v>
      </c>
      <c r="K202" s="5">
        <v>7.0000000000000007E-2</v>
      </c>
      <c r="L202" s="5">
        <v>0.33333333333333331</v>
      </c>
      <c r="M202" s="3" t="s">
        <v>47</v>
      </c>
    </row>
    <row r="203" spans="1:13">
      <c r="A203" s="3" t="s">
        <v>1491</v>
      </c>
      <c r="B203" s="3" t="s">
        <v>1492</v>
      </c>
      <c r="C203" s="3" t="s">
        <v>251</v>
      </c>
      <c r="D203" s="3" t="s">
        <v>251</v>
      </c>
      <c r="E203" s="8">
        <v>4.03</v>
      </c>
      <c r="F203" s="8">
        <v>3.93</v>
      </c>
      <c r="G203" s="8">
        <v>3.9300000667572021</v>
      </c>
      <c r="H203" s="5">
        <f t="shared" si="6"/>
        <v>1.6986565487542293E-8</v>
      </c>
      <c r="I203" s="5">
        <f t="shared" si="7"/>
        <v>-2.4813879216575185E-2</v>
      </c>
      <c r="J203" s="5">
        <v>-3.2258064516129108E-2</v>
      </c>
      <c r="K203" s="5">
        <v>0.42666666666666669</v>
      </c>
      <c r="L203" s="5">
        <v>0.33</v>
      </c>
      <c r="M203" s="3" t="s">
        <v>63</v>
      </c>
    </row>
    <row r="204" spans="1:13">
      <c r="A204" s="3" t="s">
        <v>1493</v>
      </c>
      <c r="B204" s="3" t="s">
        <v>1494</v>
      </c>
      <c r="C204" s="3" t="s">
        <v>57</v>
      </c>
      <c r="D204" s="3" t="s">
        <v>376</v>
      </c>
      <c r="E204" s="8">
        <v>51.84</v>
      </c>
      <c r="F204" s="8">
        <v>49.6</v>
      </c>
      <c r="G204" s="8">
        <v>50.549999237060547</v>
      </c>
      <c r="H204" s="5">
        <f t="shared" si="6"/>
        <v>1.9153210424607714E-2</v>
      </c>
      <c r="I204" s="5">
        <f t="shared" si="7"/>
        <v>-2.488427397645554E-2</v>
      </c>
      <c r="J204" s="5">
        <v>-4.3209876543209957E-2</v>
      </c>
      <c r="K204" s="5">
        <v>0.86</v>
      </c>
      <c r="L204" s="5">
        <v>0.32666666666666672</v>
      </c>
      <c r="M204" s="3" t="s">
        <v>283</v>
      </c>
    </row>
    <row r="205" spans="1:13">
      <c r="A205" s="3" t="s">
        <v>1495</v>
      </c>
      <c r="B205" s="3" t="s">
        <v>1496</v>
      </c>
      <c r="C205" s="3" t="s">
        <v>45</v>
      </c>
      <c r="D205" s="3" t="s">
        <v>46</v>
      </c>
      <c r="E205" s="8">
        <v>23.54</v>
      </c>
      <c r="F205" s="8">
        <v>22.97</v>
      </c>
      <c r="G205" s="8">
        <v>22.920000076293949</v>
      </c>
      <c r="H205" s="5">
        <f t="shared" si="6"/>
        <v>-2.176748964129338E-3</v>
      </c>
      <c r="I205" s="5">
        <f t="shared" si="7"/>
        <v>-2.6338144592440549E-2</v>
      </c>
      <c r="J205" s="5">
        <v>-2.6338144592440549E-2</v>
      </c>
      <c r="K205" s="5">
        <v>0.37666666666666659</v>
      </c>
      <c r="L205" s="5">
        <v>0.32333333333333331</v>
      </c>
      <c r="M205" s="3" t="s">
        <v>63</v>
      </c>
    </row>
    <row r="206" spans="1:13">
      <c r="A206" s="3" t="s">
        <v>1497</v>
      </c>
      <c r="B206" s="3" t="s">
        <v>1498</v>
      </c>
      <c r="C206" s="3" t="s">
        <v>80</v>
      </c>
      <c r="D206" s="3" t="s">
        <v>81</v>
      </c>
      <c r="E206" s="8">
        <v>14.26</v>
      </c>
      <c r="F206" s="8">
        <v>14.14</v>
      </c>
      <c r="G206" s="8">
        <v>13.85000038146973</v>
      </c>
      <c r="H206" s="5">
        <f t="shared" si="6"/>
        <v>-2.0509166798463263E-2</v>
      </c>
      <c r="I206" s="5">
        <f t="shared" si="7"/>
        <v>-2.8751726404647293E-2</v>
      </c>
      <c r="J206" s="5">
        <v>-3.295932678821889E-2</v>
      </c>
      <c r="K206" s="5">
        <v>0.1566666666666667</v>
      </c>
      <c r="L206" s="5">
        <v>0.32</v>
      </c>
      <c r="M206" s="3" t="s">
        <v>47</v>
      </c>
    </row>
    <row r="207" spans="1:13">
      <c r="A207" s="3" t="s">
        <v>1499</v>
      </c>
      <c r="B207" s="3" t="s">
        <v>1500</v>
      </c>
      <c r="C207" s="3" t="s">
        <v>45</v>
      </c>
      <c r="D207" s="3" t="s">
        <v>46</v>
      </c>
      <c r="E207" s="8">
        <v>6.93</v>
      </c>
      <c r="F207" s="8">
        <v>6.69</v>
      </c>
      <c r="G207" s="8">
        <v>6.7300000190734863</v>
      </c>
      <c r="H207" s="5">
        <f t="shared" si="6"/>
        <v>5.9790760946913935E-3</v>
      </c>
      <c r="I207" s="5">
        <f t="shared" si="7"/>
        <v>-2.8860026107721981E-2</v>
      </c>
      <c r="J207" s="5">
        <v>-5.6417489421720653E-2</v>
      </c>
      <c r="K207" s="5">
        <v>0.55666666666666664</v>
      </c>
      <c r="L207" s="5">
        <v>0.31666666666666671</v>
      </c>
      <c r="M207" s="3" t="s">
        <v>63</v>
      </c>
    </row>
    <row r="208" spans="1:13">
      <c r="A208" s="3" t="s">
        <v>1501</v>
      </c>
      <c r="B208" s="3" t="s">
        <v>1502</v>
      </c>
      <c r="C208" s="3" t="s">
        <v>61</v>
      </c>
      <c r="D208" s="3" t="s">
        <v>62</v>
      </c>
      <c r="E208" s="8">
        <v>109.17</v>
      </c>
      <c r="F208" s="8">
        <v>104.5</v>
      </c>
      <c r="G208" s="8">
        <v>105.6999969482422</v>
      </c>
      <c r="H208" s="5">
        <f t="shared" si="6"/>
        <v>1.1483224385092861E-2</v>
      </c>
      <c r="I208" s="5">
        <f t="shared" si="7"/>
        <v>-3.1785316952988918E-2</v>
      </c>
      <c r="J208" s="5">
        <v>-4.9913628511682788E-2</v>
      </c>
      <c r="K208" s="5">
        <v>0.7466666666666667</v>
      </c>
      <c r="L208" s="5">
        <v>0.31333333333333341</v>
      </c>
      <c r="M208" s="3" t="s">
        <v>63</v>
      </c>
    </row>
    <row r="209" spans="1:13">
      <c r="A209" s="3" t="s">
        <v>1503</v>
      </c>
      <c r="B209" s="3" t="s">
        <v>1504</v>
      </c>
      <c r="C209" s="3" t="s">
        <v>50</v>
      </c>
      <c r="D209" s="3" t="s">
        <v>50</v>
      </c>
      <c r="E209" s="8">
        <v>14.12</v>
      </c>
      <c r="F209" s="8">
        <v>13.75</v>
      </c>
      <c r="G209" s="8">
        <v>13.670000076293951</v>
      </c>
      <c r="H209" s="5">
        <f t="shared" si="6"/>
        <v>-5.8181762695308503E-3</v>
      </c>
      <c r="I209" s="5">
        <f t="shared" si="7"/>
        <v>-3.1869682982014758E-2</v>
      </c>
      <c r="J209" s="5">
        <v>-3.3994334277620331E-2</v>
      </c>
      <c r="K209" s="5">
        <v>0.31333333333333341</v>
      </c>
      <c r="L209" s="5">
        <v>0.31</v>
      </c>
      <c r="M209" s="3" t="s">
        <v>63</v>
      </c>
    </row>
    <row r="210" spans="1:13">
      <c r="A210" s="3" t="s">
        <v>1505</v>
      </c>
      <c r="B210" s="3" t="s">
        <v>1506</v>
      </c>
      <c r="C210" s="3" t="s">
        <v>40</v>
      </c>
      <c r="D210" s="3" t="s">
        <v>68</v>
      </c>
      <c r="E210" s="8">
        <v>12.94</v>
      </c>
      <c r="F210" s="8">
        <v>12.79</v>
      </c>
      <c r="G210" s="8">
        <v>12.52000045776367</v>
      </c>
      <c r="H210" s="5">
        <f t="shared" si="6"/>
        <v>-2.1110206586108626E-2</v>
      </c>
      <c r="I210" s="5">
        <f t="shared" si="7"/>
        <v>-3.2457460760149104E-2</v>
      </c>
      <c r="J210" s="5">
        <v>-6.6460587326120479E-2</v>
      </c>
      <c r="K210" s="5">
        <v>0.1466666666666667</v>
      </c>
      <c r="L210" s="5">
        <v>0.30666666666666659</v>
      </c>
      <c r="M210" s="3" t="s">
        <v>47</v>
      </c>
    </row>
    <row r="211" spans="1:13">
      <c r="A211" s="3" t="s">
        <v>1507</v>
      </c>
      <c r="B211" s="3" t="s">
        <v>1508</v>
      </c>
      <c r="C211" s="3" t="s">
        <v>61</v>
      </c>
      <c r="D211" s="3" t="s">
        <v>62</v>
      </c>
      <c r="E211" s="8">
        <v>8.57</v>
      </c>
      <c r="F211" s="8">
        <v>8.2100000000000009</v>
      </c>
      <c r="G211" s="8">
        <v>8.2899999618530273</v>
      </c>
      <c r="H211" s="5">
        <f t="shared" si="6"/>
        <v>9.7442097263125138E-3</v>
      </c>
      <c r="I211" s="5">
        <f t="shared" si="7"/>
        <v>-3.2672116469891876E-2</v>
      </c>
      <c r="J211" s="5">
        <v>-4.3123543123543051E-2</v>
      </c>
      <c r="K211" s="5">
        <v>0.69666666666666666</v>
      </c>
      <c r="L211" s="5">
        <v>0.30333333333333329</v>
      </c>
      <c r="M211" s="3" t="s">
        <v>63</v>
      </c>
    </row>
    <row r="212" spans="1:13">
      <c r="A212" s="3" t="s">
        <v>1509</v>
      </c>
      <c r="B212" s="3" t="s">
        <v>1510</v>
      </c>
      <c r="C212" s="3" t="s">
        <v>40</v>
      </c>
      <c r="D212" s="3" t="s">
        <v>68</v>
      </c>
      <c r="E212" s="8">
        <v>89.87</v>
      </c>
      <c r="F212" s="8">
        <v>88.27</v>
      </c>
      <c r="G212" s="8">
        <v>86.669998168945313</v>
      </c>
      <c r="H212" s="5">
        <f t="shared" si="6"/>
        <v>-1.8126224437007843E-2</v>
      </c>
      <c r="I212" s="5">
        <f t="shared" si="7"/>
        <v>-3.5607008245851723E-2</v>
      </c>
      <c r="J212" s="5">
        <v>-8.5568042728385363E-2</v>
      </c>
      <c r="K212" s="5">
        <v>0.18</v>
      </c>
      <c r="L212" s="5">
        <v>0.3</v>
      </c>
      <c r="M212" s="3" t="s">
        <v>47</v>
      </c>
    </row>
    <row r="213" spans="1:13">
      <c r="A213" s="3" t="s">
        <v>1511</v>
      </c>
      <c r="B213" s="3" t="s">
        <v>1512</v>
      </c>
      <c r="C213" s="3" t="s">
        <v>45</v>
      </c>
      <c r="D213" s="3" t="s">
        <v>46</v>
      </c>
      <c r="E213" s="8">
        <v>35.29</v>
      </c>
      <c r="F213" s="8">
        <v>35.18</v>
      </c>
      <c r="G213" s="8">
        <v>34.009998321533203</v>
      </c>
      <c r="H213" s="5">
        <f t="shared" si="6"/>
        <v>-3.3257580399852049E-2</v>
      </c>
      <c r="I213" s="5">
        <f t="shared" si="7"/>
        <v>-3.6270945833573154E-2</v>
      </c>
      <c r="J213" s="5">
        <v>-9.26608104278831E-2</v>
      </c>
      <c r="K213" s="5">
        <v>0.08</v>
      </c>
      <c r="L213" s="5">
        <v>0.29666666666666669</v>
      </c>
      <c r="M213" s="3" t="s">
        <v>47</v>
      </c>
    </row>
    <row r="214" spans="1:13">
      <c r="A214" s="3" t="s">
        <v>1513</v>
      </c>
      <c r="B214" s="3" t="s">
        <v>1514</v>
      </c>
      <c r="C214" s="3" t="s">
        <v>61</v>
      </c>
      <c r="D214" s="3" t="s">
        <v>77</v>
      </c>
      <c r="E214" s="8">
        <v>97.45</v>
      </c>
      <c r="F214" s="8">
        <v>92.81</v>
      </c>
      <c r="G214" s="8">
        <v>93.839996337890625</v>
      </c>
      <c r="H214" s="5">
        <f t="shared" si="6"/>
        <v>1.1097902573975027E-2</v>
      </c>
      <c r="I214" s="5">
        <f t="shared" si="7"/>
        <v>-3.7044675855406606E-2</v>
      </c>
      <c r="J214" s="5">
        <v>-6.2083119548486332E-2</v>
      </c>
      <c r="K214" s="5">
        <v>0.74</v>
      </c>
      <c r="L214" s="5">
        <v>0.29333333333333328</v>
      </c>
      <c r="M214" s="3" t="s">
        <v>63</v>
      </c>
    </row>
    <row r="215" spans="1:13">
      <c r="A215" s="3" t="s">
        <v>1515</v>
      </c>
      <c r="B215" s="3" t="s">
        <v>1516</v>
      </c>
      <c r="C215" s="3" t="s">
        <v>40</v>
      </c>
      <c r="D215" s="3" t="s">
        <v>161</v>
      </c>
      <c r="E215" s="8">
        <v>116.92</v>
      </c>
      <c r="F215" s="8">
        <v>114</v>
      </c>
      <c r="G215" s="8">
        <v>112.5800018310547</v>
      </c>
      <c r="H215" s="5">
        <f t="shared" si="6"/>
        <v>-1.2456124288993897E-2</v>
      </c>
      <c r="I215" s="5">
        <f t="shared" si="7"/>
        <v>-3.7119382218143149E-2</v>
      </c>
      <c r="J215" s="5">
        <v>-8.920629490249754E-2</v>
      </c>
      <c r="K215" s="5">
        <v>0.23666666666666669</v>
      </c>
      <c r="L215" s="5">
        <v>0.28999999999999998</v>
      </c>
      <c r="M215" s="3" t="s">
        <v>47</v>
      </c>
    </row>
    <row r="216" spans="1:13">
      <c r="A216" s="3" t="s">
        <v>1517</v>
      </c>
      <c r="B216" s="3" t="s">
        <v>1518</v>
      </c>
      <c r="C216" s="3" t="s">
        <v>57</v>
      </c>
      <c r="D216" s="3" t="s">
        <v>338</v>
      </c>
      <c r="E216" s="8">
        <v>40.06</v>
      </c>
      <c r="F216" s="8">
        <v>38.950000000000003</v>
      </c>
      <c r="G216" s="8">
        <v>38.549999237060547</v>
      </c>
      <c r="H216" s="5">
        <f t="shared" si="6"/>
        <v>-1.026959596763688E-2</v>
      </c>
      <c r="I216" s="5">
        <f t="shared" si="7"/>
        <v>-3.7693478855203577E-2</v>
      </c>
      <c r="J216" s="5">
        <v>-7.3762632458900801E-2</v>
      </c>
      <c r="K216" s="5">
        <v>0.26333333333333331</v>
      </c>
      <c r="L216" s="5">
        <v>0.28666666666666668</v>
      </c>
      <c r="M216" s="3" t="s">
        <v>63</v>
      </c>
    </row>
    <row r="217" spans="1:13">
      <c r="A217" s="3" t="s">
        <v>1519</v>
      </c>
      <c r="B217" s="3" t="s">
        <v>1520</v>
      </c>
      <c r="C217" s="3" t="s">
        <v>45</v>
      </c>
      <c r="D217" s="3" t="s">
        <v>46</v>
      </c>
      <c r="E217" s="8">
        <v>33.229999999999997</v>
      </c>
      <c r="F217" s="8">
        <v>32.86</v>
      </c>
      <c r="G217" s="8">
        <v>31.909999847412109</v>
      </c>
      <c r="H217" s="5">
        <f t="shared" si="6"/>
        <v>-2.8910534162747692E-2</v>
      </c>
      <c r="I217" s="5">
        <f t="shared" si="7"/>
        <v>-3.9723146331263504E-2</v>
      </c>
      <c r="J217" s="5">
        <v>-5.777911525729762E-2</v>
      </c>
      <c r="K217" s="5">
        <v>0.1166666666666667</v>
      </c>
      <c r="L217" s="5">
        <v>0.28333333333333333</v>
      </c>
      <c r="M217" s="3" t="s">
        <v>47</v>
      </c>
    </row>
    <row r="218" spans="1:13">
      <c r="A218" s="3" t="s">
        <v>1521</v>
      </c>
      <c r="B218" s="3" t="s">
        <v>1522</v>
      </c>
      <c r="C218" s="3" t="s">
        <v>40</v>
      </c>
      <c r="D218" s="3" t="s">
        <v>41</v>
      </c>
      <c r="E218" s="8">
        <v>101.72</v>
      </c>
      <c r="F218" s="8">
        <v>99.71</v>
      </c>
      <c r="G218" s="8">
        <v>97.610000610351562</v>
      </c>
      <c r="H218" s="5">
        <f t="shared" si="6"/>
        <v>-2.1061071002391296E-2</v>
      </c>
      <c r="I218" s="5">
        <f t="shared" si="7"/>
        <v>-4.0405027424778139E-2</v>
      </c>
      <c r="J218" s="5">
        <v>-0.10292961069602841</v>
      </c>
      <c r="K218" s="5">
        <v>0.15</v>
      </c>
      <c r="L218" s="5">
        <v>0.28000000000000003</v>
      </c>
      <c r="M218" s="3" t="s">
        <v>47</v>
      </c>
    </row>
    <row r="219" spans="1:13">
      <c r="A219" s="3" t="s">
        <v>1523</v>
      </c>
      <c r="B219" s="3" t="s">
        <v>1524</v>
      </c>
      <c r="C219" s="3" t="s">
        <v>71</v>
      </c>
      <c r="D219" s="3" t="s">
        <v>168</v>
      </c>
      <c r="E219" s="8">
        <v>6.59</v>
      </c>
      <c r="F219" s="8">
        <v>6.23</v>
      </c>
      <c r="G219" s="8">
        <v>6.320000171661377</v>
      </c>
      <c r="H219" s="5">
        <f t="shared" si="6"/>
        <v>1.4446255483367088E-2</v>
      </c>
      <c r="I219" s="5">
        <f t="shared" si="7"/>
        <v>-4.0971142388258386E-2</v>
      </c>
      <c r="J219" s="5">
        <v>-9.0510948905109356E-2</v>
      </c>
      <c r="K219" s="5">
        <v>0.77</v>
      </c>
      <c r="L219" s="5">
        <v>0.27666666666666673</v>
      </c>
      <c r="M219" s="3" t="s">
        <v>283</v>
      </c>
    </row>
    <row r="220" spans="1:13">
      <c r="A220" s="3" t="s">
        <v>1525</v>
      </c>
      <c r="B220" s="3" t="s">
        <v>1526</v>
      </c>
      <c r="C220" s="3" t="s">
        <v>95</v>
      </c>
      <c r="D220" s="3" t="s">
        <v>99</v>
      </c>
      <c r="E220" s="8">
        <v>24.98</v>
      </c>
      <c r="F220" s="8">
        <v>24.06</v>
      </c>
      <c r="G220" s="8">
        <v>23.940000534057621</v>
      </c>
      <c r="H220" s="5">
        <f t="shared" si="6"/>
        <v>-4.9875089751612034E-3</v>
      </c>
      <c r="I220" s="5">
        <f t="shared" si="7"/>
        <v>-4.1633285265907927E-2</v>
      </c>
      <c r="J220" s="5">
        <v>-5.6737567610022799E-2</v>
      </c>
      <c r="K220" s="5">
        <v>0.33333333333333331</v>
      </c>
      <c r="L220" s="5">
        <v>0.27333333333333332</v>
      </c>
      <c r="M220" s="3" t="s">
        <v>63</v>
      </c>
    </row>
    <row r="221" spans="1:13">
      <c r="A221" s="3" t="s">
        <v>1527</v>
      </c>
      <c r="B221" s="3" t="s">
        <v>1528</v>
      </c>
      <c r="C221" s="3" t="s">
        <v>50</v>
      </c>
      <c r="D221" s="3" t="s">
        <v>50</v>
      </c>
      <c r="E221" s="8">
        <v>44.91</v>
      </c>
      <c r="F221" s="8">
        <v>43.93</v>
      </c>
      <c r="G221" s="8">
        <v>43.020000457763672</v>
      </c>
      <c r="H221" s="5">
        <f t="shared" si="6"/>
        <v>-2.0714763083003129E-2</v>
      </c>
      <c r="I221" s="5">
        <f t="shared" si="7"/>
        <v>-4.208415814376143E-2</v>
      </c>
      <c r="J221" s="5">
        <v>-0.1204631485192607</v>
      </c>
      <c r="K221" s="5">
        <v>0.15333333333333329</v>
      </c>
      <c r="L221" s="5">
        <v>0.27</v>
      </c>
      <c r="M221" s="3" t="s">
        <v>47</v>
      </c>
    </row>
    <row r="222" spans="1:13">
      <c r="A222" s="3" t="s">
        <v>1529</v>
      </c>
      <c r="B222" s="3" t="s">
        <v>1530</v>
      </c>
      <c r="C222" s="3" t="s">
        <v>40</v>
      </c>
      <c r="D222" s="3" t="s">
        <v>41</v>
      </c>
      <c r="E222" s="8">
        <v>39.9</v>
      </c>
      <c r="F222" s="8">
        <v>37.78</v>
      </c>
      <c r="G222" s="8">
        <v>38.220001220703118</v>
      </c>
      <c r="H222" s="5">
        <f t="shared" si="6"/>
        <v>1.164640605354994E-2</v>
      </c>
      <c r="I222" s="5">
        <f t="shared" si="7"/>
        <v>-4.2105232563831585E-2</v>
      </c>
      <c r="J222" s="5">
        <v>-8.1453634085213E-2</v>
      </c>
      <c r="K222" s="5">
        <v>0.75</v>
      </c>
      <c r="L222" s="5">
        <v>0.26666666666666672</v>
      </c>
      <c r="M222" s="3" t="s">
        <v>283</v>
      </c>
    </row>
    <row r="223" spans="1:13">
      <c r="A223" s="3" t="s">
        <v>1531</v>
      </c>
      <c r="B223" s="3" t="s">
        <v>1532</v>
      </c>
      <c r="C223" s="3" t="s">
        <v>40</v>
      </c>
      <c r="D223" s="3" t="s">
        <v>41</v>
      </c>
      <c r="E223" s="8">
        <v>258.60000000000002</v>
      </c>
      <c r="F223" s="8">
        <v>249.65</v>
      </c>
      <c r="G223" s="8">
        <v>247.36000061035159</v>
      </c>
      <c r="H223" s="5">
        <f t="shared" si="6"/>
        <v>-9.1728395339412128E-3</v>
      </c>
      <c r="I223" s="5">
        <f t="shared" si="7"/>
        <v>-4.3464808157959944E-2</v>
      </c>
      <c r="J223" s="5">
        <v>-9.8878576952822983E-2</v>
      </c>
      <c r="K223" s="5">
        <v>0.28666666666666668</v>
      </c>
      <c r="L223" s="5">
        <v>0.26333333333333331</v>
      </c>
      <c r="M223" s="3" t="s">
        <v>63</v>
      </c>
    </row>
    <row r="224" spans="1:13">
      <c r="A224" s="3" t="s">
        <v>1533</v>
      </c>
      <c r="B224" s="3" t="s">
        <v>1534</v>
      </c>
      <c r="C224" s="3" t="s">
        <v>95</v>
      </c>
      <c r="D224" s="3" t="s">
        <v>99</v>
      </c>
      <c r="E224" s="8">
        <v>35.549999999999997</v>
      </c>
      <c r="F224" s="8">
        <v>33.630000000000003</v>
      </c>
      <c r="G224" s="8">
        <v>34</v>
      </c>
      <c r="H224" s="5">
        <f t="shared" si="6"/>
        <v>1.1002081474873471E-2</v>
      </c>
      <c r="I224" s="5">
        <f t="shared" si="7"/>
        <v>-4.3600562587904235E-2</v>
      </c>
      <c r="J224" s="5">
        <v>-6.479421579532807E-2</v>
      </c>
      <c r="K224" s="5">
        <v>0.73333333333333328</v>
      </c>
      <c r="L224" s="5">
        <v>0.26</v>
      </c>
      <c r="M224" s="3" t="s">
        <v>63</v>
      </c>
    </row>
    <row r="225" spans="1:13">
      <c r="A225" s="3" t="s">
        <v>1535</v>
      </c>
      <c r="B225" s="3" t="s">
        <v>1536</v>
      </c>
      <c r="C225" s="3" t="s">
        <v>61</v>
      </c>
      <c r="D225" s="3" t="s">
        <v>77</v>
      </c>
      <c r="E225" s="8">
        <v>128.76</v>
      </c>
      <c r="F225" s="8">
        <v>122.13</v>
      </c>
      <c r="G225" s="8">
        <v>123.09999847412109</v>
      </c>
      <c r="H225" s="5">
        <f t="shared" si="6"/>
        <v>7.9423440114720911E-3</v>
      </c>
      <c r="I225" s="5">
        <f t="shared" si="7"/>
        <v>-4.395776270486873E-2</v>
      </c>
      <c r="J225" s="5">
        <v>-5.8002313922097981E-2</v>
      </c>
      <c r="K225" s="5">
        <v>0.63666666666666671</v>
      </c>
      <c r="L225" s="5">
        <v>0.25666666666666671</v>
      </c>
      <c r="M225" s="3" t="s">
        <v>63</v>
      </c>
    </row>
    <row r="226" spans="1:13">
      <c r="A226" s="3" t="s">
        <v>1537</v>
      </c>
      <c r="B226" s="3" t="s">
        <v>1538</v>
      </c>
      <c r="C226" s="3" t="s">
        <v>50</v>
      </c>
      <c r="D226" s="3" t="s">
        <v>50</v>
      </c>
      <c r="E226" s="8">
        <v>42.06</v>
      </c>
      <c r="F226" s="8">
        <v>40.619999999999997</v>
      </c>
      <c r="G226" s="8">
        <v>40.169998168945313</v>
      </c>
      <c r="H226" s="5">
        <f t="shared" si="6"/>
        <v>-1.107833163600902E-2</v>
      </c>
      <c r="I226" s="5">
        <f t="shared" si="7"/>
        <v>-4.4935849525789107E-2</v>
      </c>
      <c r="J226" s="5">
        <v>-5.4208273894436498E-2</v>
      </c>
      <c r="K226" s="5">
        <v>0.25333333333333341</v>
      </c>
      <c r="L226" s="5">
        <v>0.25333333333333341</v>
      </c>
      <c r="M226" s="3" t="s">
        <v>63</v>
      </c>
    </row>
    <row r="227" spans="1:13">
      <c r="A227" s="3" t="s">
        <v>1539</v>
      </c>
      <c r="B227" s="3" t="s">
        <v>1540</v>
      </c>
      <c r="C227" s="3" t="s">
        <v>50</v>
      </c>
      <c r="D227" s="3" t="s">
        <v>50</v>
      </c>
      <c r="E227" s="8">
        <v>36.15</v>
      </c>
      <c r="F227" s="8">
        <v>34.72</v>
      </c>
      <c r="G227" s="8">
        <v>34.520000457763672</v>
      </c>
      <c r="H227" s="5">
        <f t="shared" si="6"/>
        <v>-5.7603554791568756E-3</v>
      </c>
      <c r="I227" s="5">
        <f t="shared" si="7"/>
        <v>-4.5089890518293929E-2</v>
      </c>
      <c r="J227" s="5">
        <v>-8.1327800829875452E-2</v>
      </c>
      <c r="K227" s="5">
        <v>0.32</v>
      </c>
      <c r="L227" s="5">
        <v>0.25</v>
      </c>
      <c r="M227" s="3" t="s">
        <v>63</v>
      </c>
    </row>
    <row r="228" spans="1:13">
      <c r="A228" s="3" t="s">
        <v>1541</v>
      </c>
      <c r="B228" s="3" t="s">
        <v>1542</v>
      </c>
      <c r="C228" s="3" t="s">
        <v>40</v>
      </c>
      <c r="D228" s="3" t="s">
        <v>161</v>
      </c>
      <c r="E228" s="8">
        <v>66.38</v>
      </c>
      <c r="F228" s="8">
        <v>63.87</v>
      </c>
      <c r="G228" s="8">
        <v>63.349998474121087</v>
      </c>
      <c r="H228" s="5">
        <f t="shared" si="6"/>
        <v>-8.1415613884282534E-3</v>
      </c>
      <c r="I228" s="5">
        <f t="shared" si="7"/>
        <v>-4.564630198672659E-2</v>
      </c>
      <c r="J228" s="5">
        <v>-8.1199156372401271E-2</v>
      </c>
      <c r="K228" s="5">
        <v>0.29333333333333328</v>
      </c>
      <c r="L228" s="5">
        <v>0.2466666666666667</v>
      </c>
      <c r="M228" s="3" t="s">
        <v>63</v>
      </c>
    </row>
    <row r="229" spans="1:13">
      <c r="A229" s="3" t="s">
        <v>1543</v>
      </c>
      <c r="B229" s="3" t="s">
        <v>1544</v>
      </c>
      <c r="C229" s="3" t="s">
        <v>40</v>
      </c>
      <c r="D229" s="3" t="s">
        <v>68</v>
      </c>
      <c r="E229" s="8">
        <v>5.24</v>
      </c>
      <c r="F229" s="8">
        <v>5.09</v>
      </c>
      <c r="G229" s="8">
        <v>5</v>
      </c>
      <c r="H229" s="5">
        <f t="shared" si="6"/>
        <v>-1.7681728880157177E-2</v>
      </c>
      <c r="I229" s="5">
        <f t="shared" si="7"/>
        <v>-4.5801526717557328E-2</v>
      </c>
      <c r="J229" s="5">
        <v>-6.2977099236641187E-2</v>
      </c>
      <c r="K229" s="5">
        <v>0.18333333333333329</v>
      </c>
      <c r="L229" s="5">
        <v>0.24333333333333329</v>
      </c>
      <c r="M229" s="3" t="s">
        <v>47</v>
      </c>
    </row>
    <row r="230" spans="1:13">
      <c r="A230" s="3" t="s">
        <v>1545</v>
      </c>
      <c r="B230" s="3" t="s">
        <v>1546</v>
      </c>
      <c r="C230" s="3" t="s">
        <v>40</v>
      </c>
      <c r="D230" s="3" t="s">
        <v>161</v>
      </c>
      <c r="E230" s="8">
        <v>1162.5</v>
      </c>
      <c r="F230" s="8">
        <v>1112.18</v>
      </c>
      <c r="G230" s="8">
        <v>1109</v>
      </c>
      <c r="H230" s="5">
        <f t="shared" si="6"/>
        <v>-2.8592494020752701E-3</v>
      </c>
      <c r="I230" s="5">
        <f t="shared" si="7"/>
        <v>-4.6021505376344085E-2</v>
      </c>
      <c r="J230" s="5">
        <v>-0.16640860215053771</v>
      </c>
      <c r="K230" s="5">
        <v>0.36</v>
      </c>
      <c r="L230" s="5">
        <v>0.24</v>
      </c>
      <c r="M230" s="3" t="s">
        <v>63</v>
      </c>
    </row>
    <row r="231" spans="1:13">
      <c r="A231" s="3" t="s">
        <v>1547</v>
      </c>
      <c r="B231" s="3" t="s">
        <v>1548</v>
      </c>
      <c r="C231" s="3" t="s">
        <v>40</v>
      </c>
      <c r="D231" s="3" t="s">
        <v>68</v>
      </c>
      <c r="E231" s="8">
        <v>39.119999999999997</v>
      </c>
      <c r="F231" s="8">
        <v>38.93</v>
      </c>
      <c r="G231" s="8">
        <v>37.299999237060547</v>
      </c>
      <c r="H231" s="5">
        <f t="shared" si="6"/>
        <v>-4.1870042716143141E-2</v>
      </c>
      <c r="I231" s="5">
        <f t="shared" si="7"/>
        <v>-4.6523536884955252E-2</v>
      </c>
      <c r="J231" s="5">
        <v>-7.5920245398772956E-2</v>
      </c>
      <c r="K231" s="5">
        <v>0.05</v>
      </c>
      <c r="L231" s="5">
        <v>0.23666666666666669</v>
      </c>
      <c r="M231" s="3" t="s">
        <v>47</v>
      </c>
    </row>
    <row r="232" spans="1:13">
      <c r="A232" s="3" t="s">
        <v>1549</v>
      </c>
      <c r="B232" s="3" t="s">
        <v>1550</v>
      </c>
      <c r="C232" s="3" t="s">
        <v>40</v>
      </c>
      <c r="D232" s="3" t="s">
        <v>68</v>
      </c>
      <c r="E232" s="8">
        <v>66.2</v>
      </c>
      <c r="F232" s="8">
        <v>64.84</v>
      </c>
      <c r="G232" s="8">
        <v>62.939998626708977</v>
      </c>
      <c r="H232" s="5">
        <f t="shared" si="6"/>
        <v>-2.9302920624476037E-2</v>
      </c>
      <c r="I232" s="5">
        <f t="shared" si="7"/>
        <v>-4.9244733735513968E-2</v>
      </c>
      <c r="J232" s="5">
        <v>-9.1389728096676781E-2</v>
      </c>
      <c r="K232" s="5">
        <v>0.11</v>
      </c>
      <c r="L232" s="5">
        <v>0.23333333333333331</v>
      </c>
      <c r="M232" s="3" t="s">
        <v>47</v>
      </c>
    </row>
    <row r="233" spans="1:13">
      <c r="A233" s="3" t="s">
        <v>1551</v>
      </c>
      <c r="B233" s="3" t="s">
        <v>1552</v>
      </c>
      <c r="C233" s="3" t="s">
        <v>61</v>
      </c>
      <c r="D233" s="3" t="s">
        <v>62</v>
      </c>
      <c r="E233" s="8">
        <v>53.45</v>
      </c>
      <c r="F233" s="8">
        <v>49.93</v>
      </c>
      <c r="G233" s="8">
        <v>50.700000762939453</v>
      </c>
      <c r="H233" s="5">
        <f t="shared" si="6"/>
        <v>1.5421605506498182E-2</v>
      </c>
      <c r="I233" s="5">
        <f t="shared" si="7"/>
        <v>-5.1449938953424645E-2</v>
      </c>
      <c r="J233" s="5">
        <v>-8.5028403884918502E-2</v>
      </c>
      <c r="K233" s="5">
        <v>0.79666666666666663</v>
      </c>
      <c r="L233" s="5">
        <v>0.23</v>
      </c>
      <c r="M233" s="3" t="s">
        <v>283</v>
      </c>
    </row>
    <row r="234" spans="1:13">
      <c r="A234" s="3" t="s">
        <v>1553</v>
      </c>
      <c r="B234" s="3" t="s">
        <v>1554</v>
      </c>
      <c r="C234" s="3" t="s">
        <v>61</v>
      </c>
      <c r="D234" s="3" t="s">
        <v>62</v>
      </c>
      <c r="E234" s="8">
        <v>28.94</v>
      </c>
      <c r="F234" s="8">
        <v>27.26</v>
      </c>
      <c r="G234" s="8">
        <v>27.379999160766602</v>
      </c>
      <c r="H234" s="5">
        <f t="shared" si="6"/>
        <v>4.402023505744701E-3</v>
      </c>
      <c r="I234" s="5">
        <f t="shared" si="7"/>
        <v>-5.3904659268603994E-2</v>
      </c>
      <c r="J234" s="5">
        <v>-9.258021390374338E-2</v>
      </c>
      <c r="K234" s="5">
        <v>0.52</v>
      </c>
      <c r="L234" s="5">
        <v>0.22666666666666671</v>
      </c>
      <c r="M234" s="3" t="s">
        <v>63</v>
      </c>
    </row>
    <row r="235" spans="1:13">
      <c r="A235" s="3" t="s">
        <v>1555</v>
      </c>
      <c r="B235" s="3" t="s">
        <v>1556</v>
      </c>
      <c r="C235" s="3" t="s">
        <v>45</v>
      </c>
      <c r="D235" s="3" t="s">
        <v>46</v>
      </c>
      <c r="E235" s="8">
        <v>107.99</v>
      </c>
      <c r="F235" s="8">
        <v>102.5</v>
      </c>
      <c r="G235" s="8">
        <v>101.879997253418</v>
      </c>
      <c r="H235" s="5">
        <f t="shared" si="6"/>
        <v>-6.0488072837268092E-3</v>
      </c>
      <c r="I235" s="5">
        <f t="shared" si="7"/>
        <v>-5.6579338333012319E-2</v>
      </c>
      <c r="J235" s="5">
        <v>-0.10037966478377611</v>
      </c>
      <c r="K235" s="5">
        <v>0.31</v>
      </c>
      <c r="L235" s="5">
        <v>0.2233333333333333</v>
      </c>
      <c r="M235" s="3" t="s">
        <v>63</v>
      </c>
    </row>
    <row r="236" spans="1:13">
      <c r="A236" s="3" t="s">
        <v>1557</v>
      </c>
      <c r="B236" s="3" t="s">
        <v>1558</v>
      </c>
      <c r="C236" s="3" t="s">
        <v>45</v>
      </c>
      <c r="D236" s="3" t="s">
        <v>46</v>
      </c>
      <c r="E236" s="8">
        <v>29.86</v>
      </c>
      <c r="F236" s="8">
        <v>28.58</v>
      </c>
      <c r="G236" s="8">
        <v>28.139999389648441</v>
      </c>
      <c r="H236" s="5">
        <f t="shared" si="6"/>
        <v>-1.53954027414821E-2</v>
      </c>
      <c r="I236" s="5">
        <f t="shared" si="7"/>
        <v>-5.7602163776006687E-2</v>
      </c>
      <c r="J236" s="5">
        <v>-6.8318821165438637E-2</v>
      </c>
      <c r="K236" s="5">
        <v>0.20333333333333331</v>
      </c>
      <c r="L236" s="5">
        <v>0.22</v>
      </c>
      <c r="M236" s="3" t="s">
        <v>47</v>
      </c>
    </row>
    <row r="237" spans="1:13">
      <c r="A237" s="3" t="s">
        <v>1559</v>
      </c>
      <c r="B237" s="3" t="s">
        <v>1560</v>
      </c>
      <c r="C237" s="3" t="s">
        <v>40</v>
      </c>
      <c r="D237" s="3" t="s">
        <v>161</v>
      </c>
      <c r="E237" s="8">
        <v>12.84</v>
      </c>
      <c r="F237" s="8">
        <v>12.07</v>
      </c>
      <c r="G237" s="8">
        <v>12.069999694824221</v>
      </c>
      <c r="H237" s="5">
        <f t="shared" si="6"/>
        <v>-2.5283826032840295E-8</v>
      </c>
      <c r="I237" s="5">
        <f t="shared" si="7"/>
        <v>-5.9968871119609024E-2</v>
      </c>
      <c r="J237" s="5">
        <v>-5.9968871119609017E-2</v>
      </c>
      <c r="K237" s="5">
        <v>0.41</v>
      </c>
      <c r="L237" s="5">
        <v>0.2166666666666667</v>
      </c>
      <c r="M237" s="3" t="s">
        <v>63</v>
      </c>
    </row>
    <row r="238" spans="1:13">
      <c r="A238" s="3" t="s">
        <v>1561</v>
      </c>
      <c r="B238" s="3" t="s">
        <v>1562</v>
      </c>
      <c r="C238" s="3" t="s">
        <v>61</v>
      </c>
      <c r="D238" s="3" t="s">
        <v>77</v>
      </c>
      <c r="E238" s="8">
        <v>24.03</v>
      </c>
      <c r="F238" s="8">
        <v>22.36</v>
      </c>
      <c r="G238" s="8">
        <v>22.5</v>
      </c>
      <c r="H238" s="5">
        <f t="shared" si="6"/>
        <v>6.2611806797854275E-3</v>
      </c>
      <c r="I238" s="5">
        <f t="shared" si="7"/>
        <v>-6.3670411985018771E-2</v>
      </c>
      <c r="J238" s="5">
        <v>-9.9838969404186795E-2</v>
      </c>
      <c r="K238" s="5">
        <v>0.57666666666666666</v>
      </c>
      <c r="L238" s="5">
        <v>0.21333333333333329</v>
      </c>
      <c r="M238" s="3" t="s">
        <v>63</v>
      </c>
    </row>
    <row r="239" spans="1:13">
      <c r="A239" s="3" t="s">
        <v>1563</v>
      </c>
      <c r="B239" s="3" t="s">
        <v>1564</v>
      </c>
      <c r="C239" s="3" t="s">
        <v>50</v>
      </c>
      <c r="D239" s="3" t="s">
        <v>50</v>
      </c>
      <c r="E239" s="8">
        <v>29</v>
      </c>
      <c r="F239" s="8">
        <v>27.02</v>
      </c>
      <c r="G239" s="8">
        <v>27.120000839233398</v>
      </c>
      <c r="H239" s="5">
        <f t="shared" si="6"/>
        <v>3.7009933098963721E-3</v>
      </c>
      <c r="I239" s="5">
        <f t="shared" si="7"/>
        <v>-6.4827557267813862E-2</v>
      </c>
      <c r="J239" s="5">
        <v>-9.6774193548387122E-2</v>
      </c>
      <c r="K239" s="5">
        <v>0.5</v>
      </c>
      <c r="L239" s="5">
        <v>0.21</v>
      </c>
      <c r="M239" s="3" t="s">
        <v>63</v>
      </c>
    </row>
    <row r="240" spans="1:13">
      <c r="A240" s="3" t="s">
        <v>1565</v>
      </c>
      <c r="B240" s="3" t="s">
        <v>1566</v>
      </c>
      <c r="C240" s="3" t="s">
        <v>164</v>
      </c>
      <c r="D240" s="3" t="s">
        <v>882</v>
      </c>
      <c r="E240" s="8">
        <v>5.24</v>
      </c>
      <c r="F240" s="8">
        <v>4.97</v>
      </c>
      <c r="G240" s="8">
        <v>4.9000000953674316</v>
      </c>
      <c r="H240" s="5">
        <f t="shared" si="6"/>
        <v>-1.4084487853635475E-2</v>
      </c>
      <c r="I240" s="5">
        <f t="shared" si="7"/>
        <v>-6.4885477983314566E-2</v>
      </c>
      <c r="J240" s="5">
        <v>-6.8441046508092795E-2</v>
      </c>
      <c r="K240" s="5">
        <v>0.22</v>
      </c>
      <c r="L240" s="5">
        <v>0.20666666666666669</v>
      </c>
      <c r="M240" s="3" t="s">
        <v>47</v>
      </c>
    </row>
    <row r="241" spans="1:13">
      <c r="A241" s="3" t="s">
        <v>1567</v>
      </c>
      <c r="B241" s="3" t="s">
        <v>1568</v>
      </c>
      <c r="C241" s="3" t="s">
        <v>45</v>
      </c>
      <c r="D241" s="3" t="s">
        <v>46</v>
      </c>
      <c r="E241" s="8">
        <v>41.87</v>
      </c>
      <c r="F241" s="8">
        <v>39.57</v>
      </c>
      <c r="G241" s="8">
        <v>39.130001068115227</v>
      </c>
      <c r="H241" s="5">
        <f t="shared" si="6"/>
        <v>-1.1119508008207601E-2</v>
      </c>
      <c r="I241" s="5">
        <f t="shared" si="7"/>
        <v>-6.5440624119531221E-2</v>
      </c>
      <c r="J241" s="5">
        <v>-6.5440649629806447E-2</v>
      </c>
      <c r="K241" s="5">
        <v>0.25</v>
      </c>
      <c r="L241" s="5">
        <v>0.20333333333333331</v>
      </c>
      <c r="M241" s="3" t="s">
        <v>63</v>
      </c>
    </row>
    <row r="242" spans="1:13">
      <c r="A242" s="3" t="s">
        <v>1569</v>
      </c>
      <c r="B242" s="3" t="s">
        <v>1570</v>
      </c>
      <c r="C242" s="3" t="s">
        <v>40</v>
      </c>
      <c r="D242" s="3" t="s">
        <v>161</v>
      </c>
      <c r="E242" s="8">
        <v>134.97999999999999</v>
      </c>
      <c r="F242" s="8">
        <v>128.69999999999999</v>
      </c>
      <c r="G242" s="8">
        <v>126.11000061035161</v>
      </c>
      <c r="H242" s="5">
        <f t="shared" si="6"/>
        <v>-2.0124315381883306E-2</v>
      </c>
      <c r="I242" s="5">
        <f t="shared" si="7"/>
        <v>-6.5713434506211144E-2</v>
      </c>
      <c r="J242" s="5">
        <v>-0.11097940435620091</v>
      </c>
      <c r="K242" s="5">
        <v>0.1633333333333333</v>
      </c>
      <c r="L242" s="5">
        <v>0.2</v>
      </c>
      <c r="M242" s="3" t="s">
        <v>47</v>
      </c>
    </row>
    <row r="243" spans="1:13">
      <c r="A243" s="3" t="s">
        <v>1571</v>
      </c>
      <c r="B243" s="3" t="s">
        <v>1572</v>
      </c>
      <c r="C243" s="3" t="s">
        <v>40</v>
      </c>
      <c r="D243" s="3" t="s">
        <v>68</v>
      </c>
      <c r="E243" s="8">
        <v>84.85</v>
      </c>
      <c r="F243" s="8">
        <v>81.599999999999994</v>
      </c>
      <c r="G243" s="8">
        <v>79.220001220703125</v>
      </c>
      <c r="H243" s="5">
        <f t="shared" si="6"/>
        <v>-2.9166651707069446E-2</v>
      </c>
      <c r="I243" s="5">
        <f t="shared" si="7"/>
        <v>-6.6352372177924224E-2</v>
      </c>
      <c r="J243" s="5">
        <v>-0.1160872127283441</v>
      </c>
      <c r="K243" s="5">
        <v>0.1133333333333333</v>
      </c>
      <c r="L243" s="5">
        <v>0.19666666666666671</v>
      </c>
      <c r="M243" s="3" t="s">
        <v>47</v>
      </c>
    </row>
    <row r="244" spans="1:13">
      <c r="A244" s="3" t="s">
        <v>1573</v>
      </c>
      <c r="B244" s="3" t="s">
        <v>1574</v>
      </c>
      <c r="C244" s="3" t="s">
        <v>40</v>
      </c>
      <c r="D244" s="3" t="s">
        <v>161</v>
      </c>
      <c r="E244" s="8">
        <v>18.260000000000002</v>
      </c>
      <c r="F244" s="8">
        <v>16.73</v>
      </c>
      <c r="G244" s="8">
        <v>17.04000091552734</v>
      </c>
      <c r="H244" s="5">
        <f t="shared" si="6"/>
        <v>1.85296422909349E-2</v>
      </c>
      <c r="I244" s="5">
        <f t="shared" si="7"/>
        <v>-6.6812655228513762E-2</v>
      </c>
      <c r="J244" s="5">
        <v>-8.3789704271632015E-2</v>
      </c>
      <c r="K244" s="5">
        <v>0.85</v>
      </c>
      <c r="L244" s="5">
        <v>0.1933333333333333</v>
      </c>
      <c r="M244" s="3" t="s">
        <v>879</v>
      </c>
    </row>
    <row r="245" spans="1:13">
      <c r="A245" s="3" t="s">
        <v>1575</v>
      </c>
      <c r="B245" s="3" t="s">
        <v>1576</v>
      </c>
      <c r="C245" s="3" t="s">
        <v>45</v>
      </c>
      <c r="D245" s="3" t="s">
        <v>46</v>
      </c>
      <c r="E245" s="8">
        <v>35.24</v>
      </c>
      <c r="F245" s="8">
        <v>33.619999999999997</v>
      </c>
      <c r="G245" s="8">
        <v>32.810001373291023</v>
      </c>
      <c r="H245" s="5">
        <f t="shared" si="6"/>
        <v>-2.4092761056186074E-2</v>
      </c>
      <c r="I245" s="5">
        <f t="shared" si="7"/>
        <v>-6.8955693152922271E-2</v>
      </c>
      <c r="J245" s="5">
        <v>-6.8955693152922271E-2</v>
      </c>
      <c r="K245" s="5">
        <v>0.1333333333333333</v>
      </c>
      <c r="L245" s="5">
        <v>0.19</v>
      </c>
      <c r="M245" s="3" t="s">
        <v>47</v>
      </c>
    </row>
    <row r="246" spans="1:13">
      <c r="A246" s="3" t="s">
        <v>1577</v>
      </c>
      <c r="B246" s="3" t="s">
        <v>1578</v>
      </c>
      <c r="C246" s="3" t="s">
        <v>40</v>
      </c>
      <c r="D246" s="3" t="s">
        <v>68</v>
      </c>
      <c r="E246" s="8">
        <v>94.77</v>
      </c>
      <c r="F246" s="8">
        <v>93.3</v>
      </c>
      <c r="G246" s="8">
        <v>88.220001220703125</v>
      </c>
      <c r="H246" s="5">
        <f t="shared" si="6"/>
        <v>-5.4448004065347E-2</v>
      </c>
      <c r="I246" s="5">
        <f t="shared" si="7"/>
        <v>-6.9114685863636893E-2</v>
      </c>
      <c r="J246" s="5">
        <v>-7.882241215574548E-2</v>
      </c>
      <c r="K246" s="5">
        <v>1.3333333333333331E-2</v>
      </c>
      <c r="L246" s="5">
        <v>0.1866666666666667</v>
      </c>
      <c r="M246" s="3" t="s">
        <v>47</v>
      </c>
    </row>
    <row r="247" spans="1:13">
      <c r="A247" s="3" t="s">
        <v>1579</v>
      </c>
      <c r="B247" s="3" t="s">
        <v>1580</v>
      </c>
      <c r="C247" s="3" t="s">
        <v>40</v>
      </c>
      <c r="D247" s="3" t="s">
        <v>161</v>
      </c>
      <c r="E247" s="8">
        <v>113.77</v>
      </c>
      <c r="F247" s="8">
        <v>108</v>
      </c>
      <c r="G247" s="8">
        <v>105.8000030517578</v>
      </c>
      <c r="H247" s="5">
        <f t="shared" si="6"/>
        <v>-2.0370342113353757E-2</v>
      </c>
      <c r="I247" s="5">
        <f t="shared" si="7"/>
        <v>-7.0053590122547194E-2</v>
      </c>
      <c r="J247" s="5">
        <v>-9.7037883449063833E-2</v>
      </c>
      <c r="K247" s="5">
        <v>0.16</v>
      </c>
      <c r="L247" s="5">
        <v>0.18333333333333329</v>
      </c>
      <c r="M247" s="3" t="s">
        <v>47</v>
      </c>
    </row>
    <row r="248" spans="1:13">
      <c r="A248" s="3" t="s">
        <v>1581</v>
      </c>
      <c r="B248" s="3" t="s">
        <v>1582</v>
      </c>
      <c r="C248" s="3" t="s">
        <v>40</v>
      </c>
      <c r="D248" s="3" t="s">
        <v>41</v>
      </c>
      <c r="E248" s="8">
        <v>69.930000000000007</v>
      </c>
      <c r="F248" s="8">
        <v>66.22</v>
      </c>
      <c r="G248" s="8">
        <v>64.949996948242187</v>
      </c>
      <c r="H248" s="5">
        <f t="shared" si="6"/>
        <v>-1.9178542007819543E-2</v>
      </c>
      <c r="I248" s="5">
        <f t="shared" si="7"/>
        <v>-7.1214114854251664E-2</v>
      </c>
      <c r="J248" s="5">
        <v>-0.1086801086801088</v>
      </c>
      <c r="K248" s="5">
        <v>0.17</v>
      </c>
      <c r="L248" s="5">
        <v>0.18</v>
      </c>
      <c r="M248" s="3" t="s">
        <v>47</v>
      </c>
    </row>
    <row r="249" spans="1:13">
      <c r="A249" s="3" t="s">
        <v>1583</v>
      </c>
      <c r="B249" s="3" t="s">
        <v>1584</v>
      </c>
      <c r="C249" s="3" t="s">
        <v>40</v>
      </c>
      <c r="D249" s="3" t="s">
        <v>68</v>
      </c>
      <c r="E249" s="8">
        <v>381.85</v>
      </c>
      <c r="F249" s="8">
        <v>369.08</v>
      </c>
      <c r="G249" s="8">
        <v>354.33999633789062</v>
      </c>
      <c r="H249" s="5">
        <f t="shared" si="6"/>
        <v>-3.9937150921505848E-2</v>
      </c>
      <c r="I249" s="5">
        <f t="shared" si="7"/>
        <v>-7.2044005924078558E-2</v>
      </c>
      <c r="J249" s="5">
        <v>-0.1069791803064031</v>
      </c>
      <c r="K249" s="5">
        <v>6.3333333333333339E-2</v>
      </c>
      <c r="L249" s="5">
        <v>0.17666666666666669</v>
      </c>
      <c r="M249" s="3" t="s">
        <v>47</v>
      </c>
    </row>
    <row r="250" spans="1:13">
      <c r="A250" s="3" t="s">
        <v>1585</v>
      </c>
      <c r="B250" s="3" t="s">
        <v>1586</v>
      </c>
      <c r="C250" s="3" t="s">
        <v>40</v>
      </c>
      <c r="D250" s="3" t="s">
        <v>161</v>
      </c>
      <c r="E250" s="8">
        <v>34.880000000000003</v>
      </c>
      <c r="F250" s="8">
        <v>34.159999999999997</v>
      </c>
      <c r="G250" s="8">
        <v>32.349998474121087</v>
      </c>
      <c r="H250" s="5">
        <f t="shared" si="6"/>
        <v>-5.2985993146338117E-2</v>
      </c>
      <c r="I250" s="5">
        <f t="shared" si="7"/>
        <v>-7.2534447416253367E-2</v>
      </c>
      <c r="J250" s="5">
        <v>-9.8634759706851871E-2</v>
      </c>
      <c r="K250" s="5">
        <v>1.666666666666667E-2</v>
      </c>
      <c r="L250" s="5">
        <v>0.17333333333333331</v>
      </c>
      <c r="M250" s="3" t="s">
        <v>47</v>
      </c>
    </row>
    <row r="251" spans="1:13">
      <c r="A251" s="3" t="s">
        <v>1587</v>
      </c>
      <c r="B251" s="3" t="s">
        <v>1588</v>
      </c>
      <c r="C251" s="3" t="s">
        <v>45</v>
      </c>
      <c r="D251" s="3" t="s">
        <v>46</v>
      </c>
      <c r="E251" s="8">
        <v>56.66</v>
      </c>
      <c r="F251" s="8">
        <v>52.76</v>
      </c>
      <c r="G251" s="8">
        <v>52.5</v>
      </c>
      <c r="H251" s="5">
        <f t="shared" si="6"/>
        <v>-4.9279757391963441E-3</v>
      </c>
      <c r="I251" s="5">
        <f t="shared" si="7"/>
        <v>-7.3420402400282359E-2</v>
      </c>
      <c r="J251" s="5">
        <v>-7.3420402400282359E-2</v>
      </c>
      <c r="K251" s="5">
        <v>0.33666666666666673</v>
      </c>
      <c r="L251" s="5">
        <v>0.17</v>
      </c>
      <c r="M251" s="3" t="s">
        <v>63</v>
      </c>
    </row>
    <row r="252" spans="1:13">
      <c r="A252" s="3" t="s">
        <v>1589</v>
      </c>
      <c r="B252" s="3" t="s">
        <v>1590</v>
      </c>
      <c r="C252" s="3" t="s">
        <v>40</v>
      </c>
      <c r="D252" s="3" t="s">
        <v>161</v>
      </c>
      <c r="E252" s="8">
        <v>12.78</v>
      </c>
      <c r="F252" s="8">
        <v>11.59</v>
      </c>
      <c r="G252" s="8">
        <v>11.819999694824221</v>
      </c>
      <c r="H252" s="5">
        <f t="shared" si="6"/>
        <v>1.9844667370510827E-2</v>
      </c>
      <c r="I252" s="5">
        <f t="shared" si="7"/>
        <v>-7.5117394771187729E-2</v>
      </c>
      <c r="J252" s="5">
        <v>-9.3114241001564957E-2</v>
      </c>
      <c r="K252" s="5">
        <v>0.87333333333333329</v>
      </c>
      <c r="L252" s="5">
        <v>0.16666666666666671</v>
      </c>
      <c r="M252" s="3" t="s">
        <v>879</v>
      </c>
    </row>
    <row r="253" spans="1:13">
      <c r="A253" s="3" t="s">
        <v>1591</v>
      </c>
      <c r="B253" s="3" t="s">
        <v>1592</v>
      </c>
      <c r="C253" s="3" t="s">
        <v>40</v>
      </c>
      <c r="D253" s="3" t="s">
        <v>161</v>
      </c>
      <c r="E253" s="8">
        <v>4.4800000000000004</v>
      </c>
      <c r="F253" s="8">
        <v>4.1100000000000003</v>
      </c>
      <c r="G253" s="8">
        <v>4.1399998664855957</v>
      </c>
      <c r="H253" s="5">
        <f t="shared" si="6"/>
        <v>7.299237587736096E-3</v>
      </c>
      <c r="I253" s="5">
        <f t="shared" si="7"/>
        <v>-7.5892886945179594E-2</v>
      </c>
      <c r="J253" s="5">
        <v>-8.2589285714285698E-2</v>
      </c>
      <c r="K253" s="5">
        <v>0.61333333333333329</v>
      </c>
      <c r="L253" s="5">
        <v>0.1633333333333333</v>
      </c>
      <c r="M253" s="3" t="s">
        <v>63</v>
      </c>
    </row>
    <row r="254" spans="1:13">
      <c r="A254" s="3" t="s">
        <v>1593</v>
      </c>
      <c r="B254" s="3" t="s">
        <v>1594</v>
      </c>
      <c r="C254" s="3" t="s">
        <v>61</v>
      </c>
      <c r="D254" s="3" t="s">
        <v>77</v>
      </c>
      <c r="E254" s="8">
        <v>167.18</v>
      </c>
      <c r="F254" s="8">
        <v>154.78</v>
      </c>
      <c r="G254" s="8">
        <v>154.3999938964844</v>
      </c>
      <c r="H254" s="5">
        <f t="shared" si="6"/>
        <v>-2.4551369913140553E-3</v>
      </c>
      <c r="I254" s="5">
        <f t="shared" si="7"/>
        <v>-7.6444587292233579E-2</v>
      </c>
      <c r="J254" s="5">
        <v>-8.0405039330051276E-2</v>
      </c>
      <c r="K254" s="5">
        <v>0.36666666666666659</v>
      </c>
      <c r="L254" s="5">
        <v>0.16</v>
      </c>
      <c r="M254" s="3" t="s">
        <v>63</v>
      </c>
    </row>
    <row r="255" spans="1:13">
      <c r="A255" s="3" t="s">
        <v>1595</v>
      </c>
      <c r="B255" s="3" t="s">
        <v>1596</v>
      </c>
      <c r="C255" s="3" t="s">
        <v>40</v>
      </c>
      <c r="D255" s="3" t="s">
        <v>161</v>
      </c>
      <c r="E255" s="8">
        <v>46.15</v>
      </c>
      <c r="F255" s="8">
        <v>43.2</v>
      </c>
      <c r="G255" s="8">
        <v>42.540000915527337</v>
      </c>
      <c r="H255" s="5">
        <f t="shared" si="6"/>
        <v>-1.5277756585015401E-2</v>
      </c>
      <c r="I255" s="5">
        <f t="shared" si="7"/>
        <v>-7.8223165427359964E-2</v>
      </c>
      <c r="J255" s="5">
        <v>-8.7323943661971826E-2</v>
      </c>
      <c r="K255" s="5">
        <v>0.20666666666666669</v>
      </c>
      <c r="L255" s="5">
        <v>0.1566666666666667</v>
      </c>
      <c r="M255" s="3" t="s">
        <v>47</v>
      </c>
    </row>
    <row r="256" spans="1:13">
      <c r="A256" s="3" t="s">
        <v>1597</v>
      </c>
      <c r="B256" s="3" t="s">
        <v>1598</v>
      </c>
      <c r="C256" s="3" t="s">
        <v>45</v>
      </c>
      <c r="D256" s="3" t="s">
        <v>46</v>
      </c>
      <c r="E256" s="8">
        <v>27.58</v>
      </c>
      <c r="F256" s="8">
        <v>25.75</v>
      </c>
      <c r="G256" s="8">
        <v>25.280000686645511</v>
      </c>
      <c r="H256" s="5">
        <f t="shared" si="6"/>
        <v>-1.825240051862087E-2</v>
      </c>
      <c r="I256" s="5">
        <f t="shared" si="7"/>
        <v>-8.3393738700307751E-2</v>
      </c>
      <c r="J256" s="5">
        <v>-8.4481508339376288E-2</v>
      </c>
      <c r="K256" s="5">
        <v>0.17333333333333331</v>
      </c>
      <c r="L256" s="5">
        <v>0.15333333333333329</v>
      </c>
      <c r="M256" s="3" t="s">
        <v>47</v>
      </c>
    </row>
    <row r="257" spans="1:13">
      <c r="A257" s="3" t="s">
        <v>1599</v>
      </c>
      <c r="B257" s="3" t="s">
        <v>1600</v>
      </c>
      <c r="C257" s="3" t="s">
        <v>45</v>
      </c>
      <c r="D257" s="3" t="s">
        <v>46</v>
      </c>
      <c r="E257" s="8">
        <v>20.77</v>
      </c>
      <c r="F257" s="8">
        <v>19.13</v>
      </c>
      <c r="G257" s="8">
        <v>19.030000686645511</v>
      </c>
      <c r="H257" s="5">
        <f t="shared" si="6"/>
        <v>-5.227355637976383E-3</v>
      </c>
      <c r="I257" s="5">
        <f t="shared" si="7"/>
        <v>-8.3774641952551243E-2</v>
      </c>
      <c r="J257" s="5">
        <v>-8.521906596051998E-2</v>
      </c>
      <c r="K257" s="5">
        <v>0.32666666666666672</v>
      </c>
      <c r="L257" s="5">
        <v>0.15</v>
      </c>
      <c r="M257" s="3" t="s">
        <v>63</v>
      </c>
    </row>
    <row r="258" spans="1:13">
      <c r="A258" s="3" t="s">
        <v>1601</v>
      </c>
      <c r="B258" s="3" t="s">
        <v>1602</v>
      </c>
      <c r="C258" s="3" t="s">
        <v>40</v>
      </c>
      <c r="D258" s="3" t="s">
        <v>161</v>
      </c>
      <c r="E258" s="8">
        <v>90.54</v>
      </c>
      <c r="F258" s="8">
        <v>83.27</v>
      </c>
      <c r="G258" s="8">
        <v>82.849998474121094</v>
      </c>
      <c r="H258" s="5">
        <f t="shared" ref="H258:H321" si="8">IFERROR(G258/F258-1,"")</f>
        <v>-5.0438516377915299E-3</v>
      </c>
      <c r="I258" s="5">
        <f t="shared" ref="I258:I301" si="9">IFERROR(G258/E258-1,"")</f>
        <v>-8.4934852284944906E-2</v>
      </c>
      <c r="J258" s="5">
        <v>-9.432295118179812E-2</v>
      </c>
      <c r="K258" s="5">
        <v>0.33</v>
      </c>
      <c r="L258" s="5">
        <v>0.1466666666666667</v>
      </c>
      <c r="M258" s="3" t="s">
        <v>63</v>
      </c>
    </row>
    <row r="259" spans="1:13">
      <c r="A259" s="3" t="s">
        <v>1603</v>
      </c>
      <c r="B259" s="3" t="s">
        <v>1604</v>
      </c>
      <c r="C259" s="3" t="s">
        <v>40</v>
      </c>
      <c r="D259" s="3" t="s">
        <v>68</v>
      </c>
      <c r="E259" s="8">
        <v>6.47</v>
      </c>
      <c r="F259" s="8">
        <v>6.01</v>
      </c>
      <c r="G259" s="8">
        <v>5.9099998474121094</v>
      </c>
      <c r="H259" s="5">
        <f t="shared" si="8"/>
        <v>-1.6638960497153188E-2</v>
      </c>
      <c r="I259" s="5">
        <f t="shared" si="9"/>
        <v>-8.6553346613275184E-2</v>
      </c>
      <c r="J259" s="5">
        <v>-0.115919629057187</v>
      </c>
      <c r="K259" s="5">
        <v>0.19</v>
      </c>
      <c r="L259" s="5">
        <v>0.14333333333333331</v>
      </c>
      <c r="M259" s="3" t="s">
        <v>47</v>
      </c>
    </row>
    <row r="260" spans="1:13">
      <c r="A260" s="3" t="s">
        <v>1605</v>
      </c>
      <c r="B260" s="3" t="s">
        <v>1606</v>
      </c>
      <c r="C260" s="3" t="s">
        <v>40</v>
      </c>
      <c r="D260" s="3" t="s">
        <v>161</v>
      </c>
      <c r="E260" s="8">
        <v>218</v>
      </c>
      <c r="F260" s="8">
        <v>204.95</v>
      </c>
      <c r="G260" s="8">
        <v>198.3500061035156</v>
      </c>
      <c r="H260" s="5">
        <f t="shared" si="8"/>
        <v>-3.2202946555181189E-2</v>
      </c>
      <c r="I260" s="5">
        <f t="shared" si="9"/>
        <v>-9.0137586681121151E-2</v>
      </c>
      <c r="J260" s="5">
        <v>-0.12004587155963301</v>
      </c>
      <c r="K260" s="5">
        <v>9.3333333333333338E-2</v>
      </c>
      <c r="L260" s="5">
        <v>0.14000000000000001</v>
      </c>
      <c r="M260" s="3" t="s">
        <v>47</v>
      </c>
    </row>
    <row r="261" spans="1:13">
      <c r="A261" s="3" t="s">
        <v>1607</v>
      </c>
      <c r="B261" s="3" t="s">
        <v>1608</v>
      </c>
      <c r="C261" s="3" t="s">
        <v>57</v>
      </c>
      <c r="D261" s="3" t="s">
        <v>376</v>
      </c>
      <c r="E261" s="8">
        <v>51.1</v>
      </c>
      <c r="F261" s="8">
        <v>46.83</v>
      </c>
      <c r="G261" s="8">
        <v>46.479999542236328</v>
      </c>
      <c r="H261" s="5">
        <f t="shared" si="8"/>
        <v>-7.4738513295680153E-3</v>
      </c>
      <c r="I261" s="5">
        <f t="shared" si="9"/>
        <v>-9.0410967862302849E-2</v>
      </c>
      <c r="J261" s="5">
        <v>-9.5890410958904049E-2</v>
      </c>
      <c r="K261" s="5">
        <v>0.3</v>
      </c>
      <c r="L261" s="5">
        <v>0.13666666666666669</v>
      </c>
      <c r="M261" s="3" t="s">
        <v>63</v>
      </c>
    </row>
    <row r="262" spans="1:13">
      <c r="A262" s="3" t="s">
        <v>1609</v>
      </c>
      <c r="B262" s="3" t="s">
        <v>1610</v>
      </c>
      <c r="C262" s="3" t="s">
        <v>50</v>
      </c>
      <c r="D262" s="3" t="s">
        <v>50</v>
      </c>
      <c r="E262" s="8">
        <v>39.17</v>
      </c>
      <c r="F262" s="8">
        <v>36.44</v>
      </c>
      <c r="G262" s="8">
        <v>35.610000610351563</v>
      </c>
      <c r="H262" s="5">
        <f t="shared" si="8"/>
        <v>-2.2777151197816536E-2</v>
      </c>
      <c r="I262" s="5">
        <f t="shared" si="9"/>
        <v>-9.0885866470473253E-2</v>
      </c>
      <c r="J262" s="5">
        <v>-9.0885866470473253E-2</v>
      </c>
      <c r="K262" s="5">
        <v>0.14000000000000001</v>
      </c>
      <c r="L262" s="5">
        <v>0.1333333333333333</v>
      </c>
      <c r="M262" s="3" t="s">
        <v>47</v>
      </c>
    </row>
    <row r="263" spans="1:13">
      <c r="A263" s="3" t="s">
        <v>1611</v>
      </c>
      <c r="B263" s="3" t="s">
        <v>1612</v>
      </c>
      <c r="C263" s="3" t="s">
        <v>95</v>
      </c>
      <c r="D263" s="3" t="s">
        <v>99</v>
      </c>
      <c r="E263" s="8">
        <v>86.62</v>
      </c>
      <c r="F263" s="8">
        <v>77</v>
      </c>
      <c r="G263" s="8">
        <v>78.680000305175781</v>
      </c>
      <c r="H263" s="5">
        <f t="shared" si="8"/>
        <v>2.181818578150363E-2</v>
      </c>
      <c r="I263" s="5">
        <f t="shared" si="9"/>
        <v>-9.1664739030526743E-2</v>
      </c>
      <c r="J263" s="5">
        <v>-0.11105980143154021</v>
      </c>
      <c r="K263" s="5">
        <v>0.9</v>
      </c>
      <c r="L263" s="5">
        <v>0.13</v>
      </c>
      <c r="M263" s="3" t="s">
        <v>879</v>
      </c>
    </row>
    <row r="264" spans="1:13">
      <c r="A264" s="3" t="s">
        <v>1613</v>
      </c>
      <c r="B264" s="3" t="s">
        <v>1614</v>
      </c>
      <c r="C264" s="3" t="s">
        <v>40</v>
      </c>
      <c r="D264" s="3" t="s">
        <v>41</v>
      </c>
      <c r="E264" s="8">
        <v>11.44</v>
      </c>
      <c r="F264" s="8">
        <v>10.29</v>
      </c>
      <c r="G264" s="8">
        <v>10.39000034332275</v>
      </c>
      <c r="H264" s="5">
        <f t="shared" si="8"/>
        <v>9.7182063481779934E-3</v>
      </c>
      <c r="I264" s="5">
        <f t="shared" si="9"/>
        <v>-9.1783186772486869E-2</v>
      </c>
      <c r="J264" s="5">
        <v>-0.1206293706293705</v>
      </c>
      <c r="K264" s="5">
        <v>0.69333333333333336</v>
      </c>
      <c r="L264" s="5">
        <v>0.12666666666666671</v>
      </c>
      <c r="M264" s="3" t="s">
        <v>63</v>
      </c>
    </row>
    <row r="265" spans="1:13">
      <c r="A265" s="3" t="s">
        <v>1615</v>
      </c>
      <c r="B265" s="3" t="s">
        <v>1616</v>
      </c>
      <c r="C265" s="3" t="s">
        <v>45</v>
      </c>
      <c r="D265" s="3" t="s">
        <v>46</v>
      </c>
      <c r="E265" s="8">
        <v>39.6</v>
      </c>
      <c r="F265" s="8">
        <v>36.299999999999997</v>
      </c>
      <c r="G265" s="8">
        <v>35.959999084472663</v>
      </c>
      <c r="H265" s="5">
        <f t="shared" si="8"/>
        <v>-9.366416405711675E-3</v>
      </c>
      <c r="I265" s="5">
        <f t="shared" si="9"/>
        <v>-9.1919215038569146E-2</v>
      </c>
      <c r="J265" s="5">
        <v>-9.8232323232323226E-2</v>
      </c>
      <c r="K265" s="5">
        <v>0.28333333333333333</v>
      </c>
      <c r="L265" s="5">
        <v>0.12333333333333329</v>
      </c>
      <c r="M265" s="3" t="s">
        <v>63</v>
      </c>
    </row>
    <row r="266" spans="1:13">
      <c r="A266" s="3" t="s">
        <v>1617</v>
      </c>
      <c r="B266" s="3" t="s">
        <v>1618</v>
      </c>
      <c r="C266" s="3" t="s">
        <v>40</v>
      </c>
      <c r="D266" s="3" t="s">
        <v>68</v>
      </c>
      <c r="E266" s="8">
        <v>111.95</v>
      </c>
      <c r="F266" s="8">
        <v>104.75</v>
      </c>
      <c r="G266" s="8">
        <v>101.5299987792969</v>
      </c>
      <c r="H266" s="5">
        <f t="shared" si="8"/>
        <v>-3.0739868455399444E-2</v>
      </c>
      <c r="I266" s="5">
        <f t="shared" si="9"/>
        <v>-9.3077277540894121E-2</v>
      </c>
      <c r="J266" s="5">
        <v>-9.3077277540894121E-2</v>
      </c>
      <c r="K266" s="5">
        <v>0.1033333333333333</v>
      </c>
      <c r="L266" s="5">
        <v>0.12</v>
      </c>
      <c r="M266" s="3" t="s">
        <v>47</v>
      </c>
    </row>
    <row r="267" spans="1:13">
      <c r="A267" s="3" t="s">
        <v>1619</v>
      </c>
      <c r="B267" s="3" t="s">
        <v>1620</v>
      </c>
      <c r="C267" s="3" t="s">
        <v>45</v>
      </c>
      <c r="D267" s="3" t="s">
        <v>46</v>
      </c>
      <c r="E267" s="8">
        <v>396.26</v>
      </c>
      <c r="F267" s="8">
        <v>363.55</v>
      </c>
      <c r="G267" s="8">
        <v>358.10000610351562</v>
      </c>
      <c r="H267" s="5">
        <f t="shared" si="8"/>
        <v>-1.4991043588184261E-2</v>
      </c>
      <c r="I267" s="5">
        <f t="shared" si="9"/>
        <v>-9.6300393419684993E-2</v>
      </c>
      <c r="J267" s="5">
        <v>-9.6300393419684993E-2</v>
      </c>
      <c r="K267" s="5">
        <v>0.21</v>
      </c>
      <c r="L267" s="5">
        <v>0.1166666666666667</v>
      </c>
      <c r="M267" s="3" t="s">
        <v>47</v>
      </c>
    </row>
    <row r="268" spans="1:13">
      <c r="A268" s="3" t="s">
        <v>1621</v>
      </c>
      <c r="B268" s="3" t="s">
        <v>1622</v>
      </c>
      <c r="C268" s="3" t="s">
        <v>40</v>
      </c>
      <c r="D268" s="3" t="s">
        <v>161</v>
      </c>
      <c r="E268" s="8">
        <v>213.3</v>
      </c>
      <c r="F268" s="8">
        <v>200.26</v>
      </c>
      <c r="G268" s="8">
        <v>192.3999938964844</v>
      </c>
      <c r="H268" s="5">
        <f t="shared" si="8"/>
        <v>-3.9249006808726561E-2</v>
      </c>
      <c r="I268" s="5">
        <f t="shared" si="9"/>
        <v>-9.7984088624076926E-2</v>
      </c>
      <c r="J268" s="5">
        <v>-0.22883263009845289</v>
      </c>
      <c r="K268" s="5">
        <v>6.6666666666666666E-2</v>
      </c>
      <c r="L268" s="5">
        <v>0.1133333333333333</v>
      </c>
      <c r="M268" s="3" t="s">
        <v>47</v>
      </c>
    </row>
    <row r="269" spans="1:13">
      <c r="A269" s="3" t="s">
        <v>1623</v>
      </c>
      <c r="B269" s="3" t="s">
        <v>1624</v>
      </c>
      <c r="C269" s="3" t="s">
        <v>40</v>
      </c>
      <c r="D269" s="3" t="s">
        <v>161</v>
      </c>
      <c r="E269" s="8">
        <v>65.010000000000005</v>
      </c>
      <c r="F269" s="8">
        <v>61.39</v>
      </c>
      <c r="G269" s="8">
        <v>58.590000152587891</v>
      </c>
      <c r="H269" s="5">
        <f t="shared" si="8"/>
        <v>-4.5610031721976085E-2</v>
      </c>
      <c r="I269" s="5">
        <f t="shared" si="9"/>
        <v>-9.8754035493187398E-2</v>
      </c>
      <c r="J269" s="5">
        <v>-0.110906014459314</v>
      </c>
      <c r="K269" s="5">
        <v>4.3333333333333328E-2</v>
      </c>
      <c r="L269" s="5">
        <v>0.11</v>
      </c>
      <c r="M269" s="3" t="s">
        <v>47</v>
      </c>
    </row>
    <row r="270" spans="1:13">
      <c r="A270" s="3" t="s">
        <v>1625</v>
      </c>
      <c r="B270" s="3" t="s">
        <v>1626</v>
      </c>
      <c r="C270" s="3" t="s">
        <v>40</v>
      </c>
      <c r="D270" s="3" t="s">
        <v>161</v>
      </c>
      <c r="E270" s="8">
        <v>436.74</v>
      </c>
      <c r="F270" s="8">
        <v>406</v>
      </c>
      <c r="G270" s="8">
        <v>393</v>
      </c>
      <c r="H270" s="5">
        <f t="shared" si="8"/>
        <v>-3.2019704433497553E-2</v>
      </c>
      <c r="I270" s="5">
        <f t="shared" si="9"/>
        <v>-0.10015111965929391</v>
      </c>
      <c r="J270" s="5">
        <v>-0.12611622475614781</v>
      </c>
      <c r="K270" s="5">
        <v>9.6666666666666665E-2</v>
      </c>
      <c r="L270" s="5">
        <v>0.1066666666666667</v>
      </c>
      <c r="M270" s="3" t="s">
        <v>47</v>
      </c>
    </row>
    <row r="271" spans="1:13">
      <c r="A271" s="3" t="s">
        <v>1627</v>
      </c>
      <c r="B271" s="3" t="s">
        <v>1628</v>
      </c>
      <c r="C271" s="3" t="s">
        <v>80</v>
      </c>
      <c r="D271" s="3" t="s">
        <v>81</v>
      </c>
      <c r="E271" s="8">
        <v>27.06</v>
      </c>
      <c r="F271" s="8">
        <v>24.4</v>
      </c>
      <c r="G271" s="8">
        <v>24.29999923706055</v>
      </c>
      <c r="H271" s="5">
        <f t="shared" si="8"/>
        <v>-4.098391923747835E-3</v>
      </c>
      <c r="I271" s="5">
        <f t="shared" si="9"/>
        <v>-0.10199559360456201</v>
      </c>
      <c r="J271" s="5">
        <v>-0.12195121951219499</v>
      </c>
      <c r="K271" s="5">
        <v>0.35</v>
      </c>
      <c r="L271" s="5">
        <v>0.1033333333333333</v>
      </c>
      <c r="M271" s="3" t="s">
        <v>63</v>
      </c>
    </row>
    <row r="272" spans="1:13">
      <c r="A272" s="3" t="s">
        <v>1629</v>
      </c>
      <c r="B272" s="3" t="s">
        <v>1630</v>
      </c>
      <c r="C272" s="3" t="s">
        <v>45</v>
      </c>
      <c r="D272" s="3" t="s">
        <v>46</v>
      </c>
      <c r="E272" s="8">
        <v>30.51</v>
      </c>
      <c r="F272" s="8">
        <v>27.17</v>
      </c>
      <c r="G272" s="8">
        <v>27.35000038146973</v>
      </c>
      <c r="H272" s="5">
        <f t="shared" si="8"/>
        <v>6.624968033482892E-3</v>
      </c>
      <c r="I272" s="5">
        <f t="shared" si="9"/>
        <v>-0.10357258664471558</v>
      </c>
      <c r="J272" s="5">
        <v>-0.115372009177319</v>
      </c>
      <c r="K272" s="5">
        <v>0.59333333333333338</v>
      </c>
      <c r="L272" s="5">
        <v>0.1</v>
      </c>
      <c r="M272" s="3" t="s">
        <v>63</v>
      </c>
    </row>
    <row r="273" spans="1:13">
      <c r="A273" s="3" t="s">
        <v>1631</v>
      </c>
      <c r="B273" s="3" t="s">
        <v>1632</v>
      </c>
      <c r="C273" s="3" t="s">
        <v>40</v>
      </c>
      <c r="D273" s="3" t="s">
        <v>68</v>
      </c>
      <c r="E273" s="8">
        <v>412.18</v>
      </c>
      <c r="F273" s="8">
        <v>381.75</v>
      </c>
      <c r="G273" s="8">
        <v>369.17999267578119</v>
      </c>
      <c r="H273" s="5">
        <f t="shared" si="8"/>
        <v>-3.2927327633840986E-2</v>
      </c>
      <c r="I273" s="5">
        <f t="shared" si="9"/>
        <v>-0.10432337164398764</v>
      </c>
      <c r="J273" s="5">
        <v>-0.1164054539278956</v>
      </c>
      <c r="K273" s="5">
        <v>8.3333333333333329E-2</v>
      </c>
      <c r="L273" s="5">
        <v>9.6666666666666665E-2</v>
      </c>
      <c r="M273" s="3" t="s">
        <v>47</v>
      </c>
    </row>
    <row r="274" spans="1:13">
      <c r="A274" s="3" t="s">
        <v>1633</v>
      </c>
      <c r="B274" s="3" t="s">
        <v>1634</v>
      </c>
      <c r="C274" s="3" t="s">
        <v>40</v>
      </c>
      <c r="D274" s="3" t="s">
        <v>161</v>
      </c>
      <c r="E274" s="8">
        <v>280.08</v>
      </c>
      <c r="F274" s="8">
        <v>253.9</v>
      </c>
      <c r="G274" s="8">
        <v>250.42999267578119</v>
      </c>
      <c r="H274" s="5">
        <f t="shared" si="8"/>
        <v>-1.3666826798813703E-2</v>
      </c>
      <c r="I274" s="5">
        <f t="shared" si="9"/>
        <v>-0.10586263683311481</v>
      </c>
      <c r="J274" s="5">
        <v>-0.1759140245644101</v>
      </c>
      <c r="K274" s="5">
        <v>0.2233333333333333</v>
      </c>
      <c r="L274" s="5">
        <v>9.3333333333333338E-2</v>
      </c>
      <c r="M274" s="3" t="s">
        <v>47</v>
      </c>
    </row>
    <row r="275" spans="1:13">
      <c r="A275" s="3" t="s">
        <v>1635</v>
      </c>
      <c r="B275" s="3" t="s">
        <v>1636</v>
      </c>
      <c r="C275" s="3" t="s">
        <v>40</v>
      </c>
      <c r="D275" s="3" t="s">
        <v>68</v>
      </c>
      <c r="E275" s="8">
        <v>452.21</v>
      </c>
      <c r="F275" s="8">
        <v>401.87</v>
      </c>
      <c r="G275" s="8">
        <v>402.80999755859381</v>
      </c>
      <c r="H275" s="5">
        <f t="shared" si="8"/>
        <v>2.3390587966103382E-3</v>
      </c>
      <c r="I275" s="5">
        <f t="shared" si="9"/>
        <v>-0.1092412871042352</v>
      </c>
      <c r="J275" s="5">
        <v>-0.1181530704761062</v>
      </c>
      <c r="K275" s="5">
        <v>0.47666666666666668</v>
      </c>
      <c r="L275" s="5">
        <v>0.09</v>
      </c>
      <c r="M275" s="3" t="s">
        <v>63</v>
      </c>
    </row>
    <row r="276" spans="1:13">
      <c r="A276" s="3" t="s">
        <v>1637</v>
      </c>
      <c r="B276" s="3" t="s">
        <v>1638</v>
      </c>
      <c r="C276" s="3" t="s">
        <v>50</v>
      </c>
      <c r="D276" s="3" t="s">
        <v>50</v>
      </c>
      <c r="E276" s="8">
        <v>58.11</v>
      </c>
      <c r="F276" s="8">
        <v>53.92</v>
      </c>
      <c r="G276" s="8">
        <v>51.680000305175781</v>
      </c>
      <c r="H276" s="5">
        <f t="shared" si="8"/>
        <v>-4.1543021046443251E-2</v>
      </c>
      <c r="I276" s="5">
        <f t="shared" si="9"/>
        <v>-0.11065220607166093</v>
      </c>
      <c r="J276" s="5">
        <v>-0.1106522060716609</v>
      </c>
      <c r="K276" s="5">
        <v>5.6666666666666657E-2</v>
      </c>
      <c r="L276" s="5">
        <v>8.666666666666667E-2</v>
      </c>
      <c r="M276" s="3" t="s">
        <v>47</v>
      </c>
    </row>
    <row r="277" spans="1:13">
      <c r="A277" s="3" t="s">
        <v>1639</v>
      </c>
      <c r="B277" s="3" t="s">
        <v>1640</v>
      </c>
      <c r="C277" s="3" t="s">
        <v>61</v>
      </c>
      <c r="D277" s="3" t="s">
        <v>77</v>
      </c>
      <c r="E277" s="8">
        <v>52.37</v>
      </c>
      <c r="F277" s="8">
        <v>46.07</v>
      </c>
      <c r="G277" s="8">
        <v>46.229999542236328</v>
      </c>
      <c r="H277" s="5">
        <f t="shared" si="8"/>
        <v>3.4729659699659354E-3</v>
      </c>
      <c r="I277" s="5">
        <f t="shared" si="9"/>
        <v>-0.11724270494106681</v>
      </c>
      <c r="J277" s="5">
        <v>-0.12514242309153059</v>
      </c>
      <c r="K277" s="5">
        <v>0.48333333333333328</v>
      </c>
      <c r="L277" s="5">
        <v>8.3333333333333329E-2</v>
      </c>
      <c r="M277" s="3" t="s">
        <v>63</v>
      </c>
    </row>
    <row r="278" spans="1:13">
      <c r="A278" s="3" t="s">
        <v>1641</v>
      </c>
      <c r="B278" s="3" t="s">
        <v>1642</v>
      </c>
      <c r="C278" s="3" t="s">
        <v>61</v>
      </c>
      <c r="D278" s="3" t="s">
        <v>77</v>
      </c>
      <c r="E278" s="8">
        <v>46.26</v>
      </c>
      <c r="F278" s="8">
        <v>40.58</v>
      </c>
      <c r="G278" s="8">
        <v>40.830001831054687</v>
      </c>
      <c r="H278" s="5">
        <f t="shared" si="8"/>
        <v>6.1607154030234312E-3</v>
      </c>
      <c r="I278" s="5">
        <f t="shared" si="9"/>
        <v>-0.11737998635852376</v>
      </c>
      <c r="J278" s="5">
        <v>-0.13934252386002119</v>
      </c>
      <c r="K278" s="5">
        <v>0.56999999999999995</v>
      </c>
      <c r="L278" s="5">
        <v>0.08</v>
      </c>
      <c r="M278" s="3" t="s">
        <v>63</v>
      </c>
    </row>
    <row r="279" spans="1:13">
      <c r="A279" s="3" t="s">
        <v>1643</v>
      </c>
      <c r="B279" s="3" t="s">
        <v>1644</v>
      </c>
      <c r="C279" s="3" t="s">
        <v>40</v>
      </c>
      <c r="D279" s="3" t="s">
        <v>68</v>
      </c>
      <c r="E279" s="8">
        <v>213.82</v>
      </c>
      <c r="F279" s="8">
        <v>198</v>
      </c>
      <c r="G279" s="8">
        <v>188.69000244140619</v>
      </c>
      <c r="H279" s="5">
        <f t="shared" si="8"/>
        <v>-4.7020189689867764E-2</v>
      </c>
      <c r="I279" s="5">
        <f t="shared" si="9"/>
        <v>-0.11752875109247873</v>
      </c>
      <c r="J279" s="5">
        <v>-0.11752875109247871</v>
      </c>
      <c r="K279" s="5">
        <v>3.3333333333333333E-2</v>
      </c>
      <c r="L279" s="5">
        <v>7.6666666666666661E-2</v>
      </c>
      <c r="M279" s="3" t="s">
        <v>47</v>
      </c>
    </row>
    <row r="280" spans="1:13">
      <c r="A280" s="3" t="s">
        <v>1645</v>
      </c>
      <c r="B280" s="3" t="s">
        <v>1646</v>
      </c>
      <c r="C280" s="3" t="s">
        <v>40</v>
      </c>
      <c r="D280" s="3" t="s">
        <v>68</v>
      </c>
      <c r="E280" s="8">
        <v>123.99</v>
      </c>
      <c r="F280" s="8">
        <v>115</v>
      </c>
      <c r="G280" s="8">
        <v>109.2200012207031</v>
      </c>
      <c r="H280" s="5">
        <f t="shared" si="8"/>
        <v>-5.0260858950407883E-2</v>
      </c>
      <c r="I280" s="5">
        <f t="shared" si="9"/>
        <v>-0.11912250003465519</v>
      </c>
      <c r="J280" s="5">
        <v>-0.1233970481490443</v>
      </c>
      <c r="K280" s="5">
        <v>2.3333333333333331E-2</v>
      </c>
      <c r="L280" s="5">
        <v>7.3333333333333334E-2</v>
      </c>
      <c r="M280" s="3" t="s">
        <v>47</v>
      </c>
    </row>
    <row r="281" spans="1:13">
      <c r="A281" s="3" t="s">
        <v>1647</v>
      </c>
      <c r="B281" s="3" t="s">
        <v>1648</v>
      </c>
      <c r="C281" s="3" t="s">
        <v>40</v>
      </c>
      <c r="D281" s="3" t="s">
        <v>161</v>
      </c>
      <c r="E281" s="8">
        <v>398.33</v>
      </c>
      <c r="F281" s="8">
        <v>362</v>
      </c>
      <c r="G281" s="8">
        <v>350.51998901367187</v>
      </c>
      <c r="H281" s="5">
        <f t="shared" si="8"/>
        <v>-3.1712737531293111E-2</v>
      </c>
      <c r="I281" s="5">
        <f t="shared" si="9"/>
        <v>-0.12002613658606709</v>
      </c>
      <c r="J281" s="5">
        <v>-0.1200261365860671</v>
      </c>
      <c r="K281" s="5">
        <v>0.1</v>
      </c>
      <c r="L281" s="5">
        <v>7.0000000000000007E-2</v>
      </c>
      <c r="M281" s="3" t="s">
        <v>47</v>
      </c>
    </row>
    <row r="282" spans="1:13">
      <c r="A282" s="3" t="s">
        <v>1649</v>
      </c>
      <c r="B282" s="3" t="s">
        <v>1650</v>
      </c>
      <c r="C282" s="3" t="s">
        <v>45</v>
      </c>
      <c r="D282" s="3" t="s">
        <v>345</v>
      </c>
      <c r="E282" s="8">
        <v>19.25</v>
      </c>
      <c r="F282" s="8">
        <v>16.940000000000001</v>
      </c>
      <c r="G282" s="8">
        <v>16.860000610351559</v>
      </c>
      <c r="H282" s="5">
        <f t="shared" si="8"/>
        <v>-4.7225141468973941E-3</v>
      </c>
      <c r="I282" s="5">
        <f t="shared" si="9"/>
        <v>-0.12415581244926965</v>
      </c>
      <c r="J282" s="5">
        <v>-0.1241558124492697</v>
      </c>
      <c r="K282" s="5">
        <v>0.34</v>
      </c>
      <c r="L282" s="5">
        <v>6.6666666666666666E-2</v>
      </c>
      <c r="M282" s="3" t="s">
        <v>63</v>
      </c>
    </row>
    <row r="283" spans="1:13">
      <c r="A283" s="3" t="s">
        <v>1651</v>
      </c>
      <c r="B283" s="3" t="s">
        <v>1652</v>
      </c>
      <c r="C283" s="3" t="s">
        <v>40</v>
      </c>
      <c r="D283" s="3" t="s">
        <v>68</v>
      </c>
      <c r="E283" s="8">
        <v>136.99</v>
      </c>
      <c r="F283" s="8">
        <v>127.33</v>
      </c>
      <c r="G283" s="8">
        <v>119.370002746582</v>
      </c>
      <c r="H283" s="5">
        <f t="shared" si="8"/>
        <v>-6.2514703945794392E-2</v>
      </c>
      <c r="I283" s="5">
        <f t="shared" si="9"/>
        <v>-0.12862250714225865</v>
      </c>
      <c r="J283" s="5">
        <v>-0.16008467771370169</v>
      </c>
      <c r="K283" s="5">
        <v>3.333333333333334E-3</v>
      </c>
      <c r="L283" s="5">
        <v>6.3333333333333339E-2</v>
      </c>
      <c r="M283" s="3" t="s">
        <v>47</v>
      </c>
    </row>
    <row r="284" spans="1:13">
      <c r="A284" s="3" t="s">
        <v>1653</v>
      </c>
      <c r="B284" s="3" t="s">
        <v>1654</v>
      </c>
      <c r="C284" s="3" t="s">
        <v>40</v>
      </c>
      <c r="D284" s="3" t="s">
        <v>68</v>
      </c>
      <c r="E284" s="8">
        <v>988.1</v>
      </c>
      <c r="F284" s="8">
        <v>851.9</v>
      </c>
      <c r="G284" s="8">
        <v>859.29998779296875</v>
      </c>
      <c r="H284" s="5">
        <f t="shared" si="8"/>
        <v>8.686451218416158E-3</v>
      </c>
      <c r="I284" s="5">
        <f t="shared" si="9"/>
        <v>-0.1303511913845069</v>
      </c>
      <c r="J284" s="5">
        <v>-0.14381135512599941</v>
      </c>
      <c r="K284" s="5">
        <v>0.65666666666666662</v>
      </c>
      <c r="L284" s="5">
        <v>0.06</v>
      </c>
      <c r="M284" s="3" t="s">
        <v>63</v>
      </c>
    </row>
    <row r="285" spans="1:13">
      <c r="A285" s="3" t="s">
        <v>1655</v>
      </c>
      <c r="B285" s="3" t="s">
        <v>1656</v>
      </c>
      <c r="C285" s="3" t="s">
        <v>45</v>
      </c>
      <c r="D285" s="3" t="s">
        <v>46</v>
      </c>
      <c r="E285" s="8">
        <v>98.42</v>
      </c>
      <c r="F285" s="8">
        <v>88.04</v>
      </c>
      <c r="G285" s="8">
        <v>85.360000610351563</v>
      </c>
      <c r="H285" s="5">
        <f t="shared" si="8"/>
        <v>-3.0440701836079498E-2</v>
      </c>
      <c r="I285" s="5">
        <f t="shared" si="9"/>
        <v>-0.13269660017931761</v>
      </c>
      <c r="J285" s="5">
        <v>-0.13269660017931759</v>
      </c>
      <c r="K285" s="5">
        <v>0.1066666666666667</v>
      </c>
      <c r="L285" s="5">
        <v>5.6666666666666657E-2</v>
      </c>
      <c r="M285" s="3" t="s">
        <v>47</v>
      </c>
    </row>
    <row r="286" spans="1:13">
      <c r="A286" s="3" t="s">
        <v>1657</v>
      </c>
      <c r="B286" s="3" t="s">
        <v>1658</v>
      </c>
      <c r="C286" s="3" t="s">
        <v>40</v>
      </c>
      <c r="D286" s="3" t="s">
        <v>161</v>
      </c>
      <c r="E286" s="8">
        <v>27.79</v>
      </c>
      <c r="F286" s="8">
        <v>24.7</v>
      </c>
      <c r="G286" s="8">
        <v>24.090000152587891</v>
      </c>
      <c r="H286" s="5">
        <f t="shared" si="8"/>
        <v>-2.469635009765625E-2</v>
      </c>
      <c r="I286" s="5">
        <f t="shared" si="9"/>
        <v>-0.13314141228543031</v>
      </c>
      <c r="J286" s="5">
        <v>-0.13314141228543031</v>
      </c>
      <c r="K286" s="5">
        <v>0.13</v>
      </c>
      <c r="L286" s="5">
        <v>5.3333333333333337E-2</v>
      </c>
      <c r="M286" s="3" t="s">
        <v>47</v>
      </c>
    </row>
    <row r="287" spans="1:13">
      <c r="A287" s="3" t="s">
        <v>1659</v>
      </c>
      <c r="B287" s="3" t="s">
        <v>1660</v>
      </c>
      <c r="C287" s="3" t="s">
        <v>40</v>
      </c>
      <c r="D287" s="3" t="s">
        <v>68</v>
      </c>
      <c r="E287" s="8">
        <v>269.39999999999998</v>
      </c>
      <c r="F287" s="8">
        <v>243.14</v>
      </c>
      <c r="G287" s="8">
        <v>232.97999572753909</v>
      </c>
      <c r="H287" s="5">
        <f t="shared" si="8"/>
        <v>-4.1786642561737697E-2</v>
      </c>
      <c r="I287" s="5">
        <f t="shared" si="9"/>
        <v>-0.13518932543600926</v>
      </c>
      <c r="J287" s="5">
        <v>-0.13518932543600931</v>
      </c>
      <c r="K287" s="5">
        <v>5.3333333333333337E-2</v>
      </c>
      <c r="L287" s="5">
        <v>0.05</v>
      </c>
      <c r="M287" s="3" t="s">
        <v>47</v>
      </c>
    </row>
    <row r="288" spans="1:13">
      <c r="A288" s="3" t="s">
        <v>1661</v>
      </c>
      <c r="B288" s="3" t="s">
        <v>1662</v>
      </c>
      <c r="C288" s="3" t="s">
        <v>40</v>
      </c>
      <c r="D288" s="3" t="s">
        <v>68</v>
      </c>
      <c r="E288" s="8">
        <v>291.44</v>
      </c>
      <c r="F288" s="8">
        <v>263</v>
      </c>
      <c r="G288" s="8">
        <v>251.77000427246091</v>
      </c>
      <c r="H288" s="5">
        <f t="shared" si="8"/>
        <v>-4.2699603526764607E-2</v>
      </c>
      <c r="I288" s="5">
        <f t="shared" si="9"/>
        <v>-0.13611719642993103</v>
      </c>
      <c r="J288" s="5">
        <v>-0.14390612132857539</v>
      </c>
      <c r="K288" s="5">
        <v>4.6666666666666669E-2</v>
      </c>
      <c r="L288" s="5">
        <v>4.6666666666666669E-2</v>
      </c>
      <c r="M288" s="3" t="s">
        <v>47</v>
      </c>
    </row>
    <row r="289" spans="1:13">
      <c r="A289" s="3" t="s">
        <v>1663</v>
      </c>
      <c r="B289" s="3" t="s">
        <v>1664</v>
      </c>
      <c r="C289" s="3" t="s">
        <v>164</v>
      </c>
      <c r="D289" s="3" t="s">
        <v>882</v>
      </c>
      <c r="E289" s="8">
        <v>7.47</v>
      </c>
      <c r="F289" s="8">
        <v>6.53</v>
      </c>
      <c r="G289" s="8">
        <v>6.4499998092651367</v>
      </c>
      <c r="H289" s="5">
        <f t="shared" si="8"/>
        <v>-1.2251177754190379E-2</v>
      </c>
      <c r="I289" s="5">
        <f t="shared" si="9"/>
        <v>-0.13654621027240466</v>
      </c>
      <c r="J289" s="5">
        <v>-0.1557591872689611</v>
      </c>
      <c r="K289" s="5">
        <v>0.24</v>
      </c>
      <c r="L289" s="5">
        <v>4.3333333333333328E-2</v>
      </c>
      <c r="M289" s="3" t="s">
        <v>47</v>
      </c>
    </row>
    <row r="290" spans="1:13">
      <c r="A290" s="3" t="s">
        <v>1665</v>
      </c>
      <c r="B290" s="3" t="s">
        <v>1666</v>
      </c>
      <c r="C290" s="3" t="s">
        <v>61</v>
      </c>
      <c r="D290" s="3" t="s">
        <v>77</v>
      </c>
      <c r="E290" s="8">
        <v>301.24</v>
      </c>
      <c r="F290" s="8">
        <v>266.83999999999997</v>
      </c>
      <c r="G290" s="8">
        <v>260</v>
      </c>
      <c r="H290" s="5">
        <f t="shared" si="8"/>
        <v>-2.5633338330085298E-2</v>
      </c>
      <c r="I290" s="5">
        <f t="shared" si="9"/>
        <v>-0.13690080998539378</v>
      </c>
      <c r="J290" s="5">
        <v>-0.13690080998539381</v>
      </c>
      <c r="K290" s="5">
        <v>0.12</v>
      </c>
      <c r="L290" s="5">
        <v>0.04</v>
      </c>
      <c r="M290" s="3" t="s">
        <v>47</v>
      </c>
    </row>
    <row r="291" spans="1:13">
      <c r="A291" s="3" t="s">
        <v>1667</v>
      </c>
      <c r="B291" s="3" t="s">
        <v>1668</v>
      </c>
      <c r="C291" s="3" t="s">
        <v>45</v>
      </c>
      <c r="D291" s="3" t="s">
        <v>46</v>
      </c>
      <c r="E291" s="8">
        <v>69</v>
      </c>
      <c r="F291" s="8">
        <v>60.41</v>
      </c>
      <c r="G291" s="8">
        <v>59.419998168945313</v>
      </c>
      <c r="H291" s="5">
        <f t="shared" si="8"/>
        <v>-1.6388045539723284E-2</v>
      </c>
      <c r="I291" s="5">
        <f t="shared" si="9"/>
        <v>-0.13884060624716943</v>
      </c>
      <c r="J291" s="5">
        <v>-0.1391304347826087</v>
      </c>
      <c r="K291" s="5">
        <v>0.19666666666666671</v>
      </c>
      <c r="L291" s="5">
        <v>3.6666666666666667E-2</v>
      </c>
      <c r="M291" s="3" t="s">
        <v>47</v>
      </c>
    </row>
    <row r="292" spans="1:13">
      <c r="A292" s="3" t="s">
        <v>1669</v>
      </c>
      <c r="B292" s="3" t="s">
        <v>1670</v>
      </c>
      <c r="C292" s="3" t="s">
        <v>40</v>
      </c>
      <c r="D292" s="3" t="s">
        <v>161</v>
      </c>
      <c r="E292" s="8">
        <v>755.46</v>
      </c>
      <c r="F292" s="8">
        <v>677.86</v>
      </c>
      <c r="G292" s="8">
        <v>650.510009765625</v>
      </c>
      <c r="H292" s="5">
        <f t="shared" si="8"/>
        <v>-4.0347549987276188E-2</v>
      </c>
      <c r="I292" s="5">
        <f t="shared" si="9"/>
        <v>-0.13892196838267412</v>
      </c>
      <c r="J292" s="5">
        <v>-0.13892196838267409</v>
      </c>
      <c r="K292" s="5">
        <v>0.06</v>
      </c>
      <c r="L292" s="5">
        <v>3.3333333333333333E-2</v>
      </c>
      <c r="M292" s="3" t="s">
        <v>47</v>
      </c>
    </row>
    <row r="293" spans="1:13">
      <c r="A293" s="3" t="s">
        <v>1671</v>
      </c>
      <c r="B293" s="3" t="s">
        <v>1672</v>
      </c>
      <c r="C293" s="3" t="s">
        <v>40</v>
      </c>
      <c r="D293" s="3" t="s">
        <v>161</v>
      </c>
      <c r="E293" s="8">
        <v>777</v>
      </c>
      <c r="F293" s="8">
        <v>699.79</v>
      </c>
      <c r="G293" s="8">
        <v>667.70001220703125</v>
      </c>
      <c r="H293" s="5">
        <f t="shared" si="8"/>
        <v>-4.5856596683246043E-2</v>
      </c>
      <c r="I293" s="5">
        <f t="shared" si="9"/>
        <v>-0.14066922495877576</v>
      </c>
      <c r="J293" s="5">
        <v>-0.14066922495877579</v>
      </c>
      <c r="K293" s="5">
        <v>0.04</v>
      </c>
      <c r="L293" s="5">
        <v>0.03</v>
      </c>
      <c r="M293" s="3" t="s">
        <v>47</v>
      </c>
    </row>
    <row r="294" spans="1:13">
      <c r="A294" s="3" t="s">
        <v>1673</v>
      </c>
      <c r="B294" s="3" t="s">
        <v>1674</v>
      </c>
      <c r="C294" s="3" t="s">
        <v>40</v>
      </c>
      <c r="D294" s="3" t="s">
        <v>161</v>
      </c>
      <c r="E294" s="8">
        <v>85.42</v>
      </c>
      <c r="F294" s="8">
        <v>75.75</v>
      </c>
      <c r="G294" s="8">
        <v>73.290000915527344</v>
      </c>
      <c r="H294" s="5">
        <f t="shared" si="8"/>
        <v>-3.2475235438582883E-2</v>
      </c>
      <c r="I294" s="5">
        <f t="shared" si="9"/>
        <v>-0.14200420375172862</v>
      </c>
      <c r="J294" s="5">
        <v>-0.14200420375172859</v>
      </c>
      <c r="K294" s="5">
        <v>0.09</v>
      </c>
      <c r="L294" s="5">
        <v>2.6666666666666668E-2</v>
      </c>
      <c r="M294" s="3" t="s">
        <v>47</v>
      </c>
    </row>
    <row r="295" spans="1:13">
      <c r="A295" s="3" t="s">
        <v>1675</v>
      </c>
      <c r="B295" s="3" t="s">
        <v>1676</v>
      </c>
      <c r="C295" s="3" t="s">
        <v>50</v>
      </c>
      <c r="D295" s="3" t="s">
        <v>50</v>
      </c>
      <c r="E295" s="8">
        <v>72.94</v>
      </c>
      <c r="F295" s="8">
        <v>65.8</v>
      </c>
      <c r="G295" s="8">
        <v>62.330001831054688</v>
      </c>
      <c r="H295" s="5">
        <f t="shared" si="8"/>
        <v>-5.2735534482451496E-2</v>
      </c>
      <c r="I295" s="5">
        <f t="shared" si="9"/>
        <v>-0.14546199847745145</v>
      </c>
      <c r="J295" s="5">
        <v>-0.14546199847745139</v>
      </c>
      <c r="K295" s="5">
        <v>0.02</v>
      </c>
      <c r="L295" s="5">
        <v>2.3333333333333331E-2</v>
      </c>
      <c r="M295" s="3" t="s">
        <v>47</v>
      </c>
    </row>
    <row r="296" spans="1:13">
      <c r="A296" s="3" t="s">
        <v>1677</v>
      </c>
      <c r="B296" s="3" t="s">
        <v>1678</v>
      </c>
      <c r="C296" s="3" t="s">
        <v>40</v>
      </c>
      <c r="D296" s="3" t="s">
        <v>161</v>
      </c>
      <c r="E296" s="8">
        <v>10.48</v>
      </c>
      <c r="F296" s="8">
        <v>9.1</v>
      </c>
      <c r="G296" s="8">
        <v>8.9499998092651367</v>
      </c>
      <c r="H296" s="5">
        <f t="shared" si="8"/>
        <v>-1.6483537443391483E-2</v>
      </c>
      <c r="I296" s="5">
        <f t="shared" si="9"/>
        <v>-0.14599238461210529</v>
      </c>
      <c r="J296" s="5">
        <v>-0.14599238461210531</v>
      </c>
      <c r="K296" s="5">
        <v>0.1933333333333333</v>
      </c>
      <c r="L296" s="5">
        <v>0.02</v>
      </c>
      <c r="M296" s="3" t="s">
        <v>47</v>
      </c>
    </row>
    <row r="297" spans="1:13">
      <c r="A297" s="3" t="s">
        <v>1679</v>
      </c>
      <c r="B297" s="3" t="s">
        <v>1680</v>
      </c>
      <c r="C297" s="3" t="s">
        <v>40</v>
      </c>
      <c r="D297" s="3" t="s">
        <v>161</v>
      </c>
      <c r="E297" s="8">
        <v>337.4</v>
      </c>
      <c r="F297" s="8">
        <v>301.7</v>
      </c>
      <c r="G297" s="8">
        <v>284.80999755859381</v>
      </c>
      <c r="H297" s="5">
        <f t="shared" si="8"/>
        <v>-5.5982772427597527E-2</v>
      </c>
      <c r="I297" s="5">
        <f t="shared" si="9"/>
        <v>-0.15586841268940776</v>
      </c>
      <c r="J297" s="5">
        <v>-0.15586841268940779</v>
      </c>
      <c r="K297" s="5">
        <v>0.01</v>
      </c>
      <c r="L297" s="5">
        <v>1.666666666666667E-2</v>
      </c>
      <c r="M297" s="3" t="s">
        <v>47</v>
      </c>
    </row>
    <row r="298" spans="1:13">
      <c r="A298" s="3" t="s">
        <v>1681</v>
      </c>
      <c r="B298" s="3" t="s">
        <v>1682</v>
      </c>
      <c r="C298" s="3" t="s">
        <v>45</v>
      </c>
      <c r="D298" s="3" t="s">
        <v>46</v>
      </c>
      <c r="E298" s="8">
        <v>22.01</v>
      </c>
      <c r="F298" s="8">
        <v>18.34</v>
      </c>
      <c r="G298" s="8">
        <v>18.190000534057621</v>
      </c>
      <c r="H298" s="5">
        <f t="shared" si="8"/>
        <v>-8.1788149368799967E-3</v>
      </c>
      <c r="I298" s="5">
        <f t="shared" si="9"/>
        <v>-0.17355744961119401</v>
      </c>
      <c r="J298" s="5">
        <v>-0.1743077379002442</v>
      </c>
      <c r="K298" s="5">
        <v>0.28999999999999998</v>
      </c>
      <c r="L298" s="5">
        <v>1.3333333333333331E-2</v>
      </c>
      <c r="M298" s="3" t="s">
        <v>63</v>
      </c>
    </row>
    <row r="299" spans="1:13">
      <c r="A299" s="3" t="s">
        <v>1683</v>
      </c>
      <c r="B299" s="3" t="s">
        <v>1684</v>
      </c>
      <c r="C299" s="3" t="s">
        <v>90</v>
      </c>
      <c r="D299" s="3" t="s">
        <v>90</v>
      </c>
      <c r="E299" s="8">
        <v>162.55000000000001</v>
      </c>
      <c r="F299" s="8">
        <v>130.26</v>
      </c>
      <c r="G299" s="8">
        <v>127.5</v>
      </c>
      <c r="H299" s="5">
        <f t="shared" si="8"/>
        <v>-2.1188392445877446E-2</v>
      </c>
      <c r="I299" s="5">
        <f t="shared" si="9"/>
        <v>-0.21562596124269462</v>
      </c>
      <c r="J299" s="5">
        <v>-0.21562596124269459</v>
      </c>
      <c r="K299" s="5">
        <v>0.14333333333333331</v>
      </c>
      <c r="L299" s="5">
        <v>0.01</v>
      </c>
      <c r="M299" s="3" t="s">
        <v>47</v>
      </c>
    </row>
    <row r="300" spans="1:13">
      <c r="A300" s="3" t="s">
        <v>1685</v>
      </c>
      <c r="B300" s="3" t="s">
        <v>1686</v>
      </c>
      <c r="C300" s="3" t="s">
        <v>45</v>
      </c>
      <c r="D300" s="3" t="s">
        <v>46</v>
      </c>
      <c r="E300" s="8">
        <v>182.44</v>
      </c>
      <c r="F300" s="8">
        <v>140.12</v>
      </c>
      <c r="G300" s="8">
        <v>140.30000305175781</v>
      </c>
      <c r="H300" s="5">
        <f t="shared" si="8"/>
        <v>1.2846349682973379E-3</v>
      </c>
      <c r="I300" s="5">
        <f t="shared" si="9"/>
        <v>-0.23098003150757607</v>
      </c>
      <c r="J300" s="5">
        <v>-0.23196667397500551</v>
      </c>
      <c r="K300" s="5">
        <v>0.44666666666666671</v>
      </c>
      <c r="L300" s="5">
        <v>6.6666666666666671E-3</v>
      </c>
      <c r="M300" s="3" t="s">
        <v>63</v>
      </c>
    </row>
    <row r="301" spans="1:13">
      <c r="A301" s="3" t="s">
        <v>1687</v>
      </c>
      <c r="B301" s="3" t="s">
        <v>1688</v>
      </c>
      <c r="C301" s="3" t="s">
        <v>45</v>
      </c>
      <c r="D301" s="3" t="s">
        <v>46</v>
      </c>
      <c r="E301" s="8">
        <v>118.04</v>
      </c>
      <c r="F301" s="8">
        <v>91.5</v>
      </c>
      <c r="G301" s="8">
        <v>89.330001831054688</v>
      </c>
      <c r="H301" s="5">
        <f t="shared" si="8"/>
        <v>-2.3715826983008892E-2</v>
      </c>
      <c r="I301" s="5">
        <f t="shared" si="9"/>
        <v>-0.2432226208822883</v>
      </c>
      <c r="J301" s="5">
        <v>-0.2432226208822883</v>
      </c>
      <c r="K301" s="5">
        <v>0.13666666666666669</v>
      </c>
      <c r="L301" s="5">
        <v>3.333333333333334E-3</v>
      </c>
      <c r="M301" s="3" t="s">
        <v>47</v>
      </c>
    </row>
  </sheetData>
  <autoFilter ref="A1:M30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3" width="29.7109375" customWidth="1"/>
    <col min="4" max="8" width="14.7109375" customWidth="1"/>
    <col min="9" max="9" width="20.7109375" customWidth="1"/>
  </cols>
  <sheetData>
    <row r="1" spans="1:9">
      <c r="A1" s="2" t="s">
        <v>1079</v>
      </c>
      <c r="B1" s="2" t="s">
        <v>25</v>
      </c>
      <c r="C1" s="2" t="s">
        <v>26</v>
      </c>
      <c r="D1" s="2" t="s">
        <v>1080</v>
      </c>
      <c r="E1" s="2" t="s">
        <v>1081</v>
      </c>
      <c r="F1" s="2" t="s">
        <v>1082</v>
      </c>
      <c r="G1" s="2" t="s">
        <v>1083</v>
      </c>
      <c r="H1" s="2" t="s">
        <v>1084</v>
      </c>
      <c r="I1" s="2" t="s">
        <v>37</v>
      </c>
    </row>
    <row r="2" spans="1:9">
      <c r="A2" s="3" t="s">
        <v>1085</v>
      </c>
      <c r="B2" s="3" t="s">
        <v>1089</v>
      </c>
      <c r="C2" s="3" t="s">
        <v>1090</v>
      </c>
      <c r="D2" s="5">
        <v>0.20023552183548901</v>
      </c>
      <c r="E2" s="5">
        <v>0.34521446605720141</v>
      </c>
      <c r="F2" s="5">
        <v>-8.3278688524590083E-2</v>
      </c>
      <c r="G2" s="5">
        <v>1</v>
      </c>
      <c r="H2" s="5">
        <v>1</v>
      </c>
      <c r="I2" s="3" t="s">
        <v>47</v>
      </c>
    </row>
    <row r="3" spans="1:9">
      <c r="A3" s="3" t="s">
        <v>1085</v>
      </c>
      <c r="B3" s="3" t="s">
        <v>1205</v>
      </c>
      <c r="C3" s="3" t="s">
        <v>1206</v>
      </c>
      <c r="D3" s="5">
        <v>9.9989066115123704E-2</v>
      </c>
      <c r="E3" s="5">
        <v>4.7559680720851587E-2</v>
      </c>
      <c r="F3" s="5">
        <v>-5.8670820353063258E-2</v>
      </c>
      <c r="G3" s="5">
        <v>0.9966666666666667</v>
      </c>
      <c r="H3" s="5">
        <v>0.80666666666666664</v>
      </c>
      <c r="I3" s="3" t="s">
        <v>47</v>
      </c>
    </row>
    <row r="4" spans="1:9">
      <c r="A4" s="3" t="s">
        <v>1085</v>
      </c>
      <c r="B4" s="3" t="s">
        <v>1093</v>
      </c>
      <c r="C4" s="3" t="s">
        <v>1094</v>
      </c>
      <c r="D4" s="5">
        <v>6.1744945961357052E-2</v>
      </c>
      <c r="E4" s="5">
        <v>0.14471777820725171</v>
      </c>
      <c r="F4" s="5">
        <v>-1.381215469613262E-2</v>
      </c>
      <c r="G4" s="5">
        <v>0.99333333333333329</v>
      </c>
      <c r="H4" s="5">
        <v>0.99333333333333329</v>
      </c>
      <c r="I4" s="3" t="s">
        <v>47</v>
      </c>
    </row>
    <row r="5" spans="1:9">
      <c r="A5" s="3" t="s">
        <v>1085</v>
      </c>
      <c r="B5" s="3" t="s">
        <v>1099</v>
      </c>
      <c r="C5" s="3" t="s">
        <v>1100</v>
      </c>
      <c r="D5" s="5">
        <v>5.5187684284403897E-2</v>
      </c>
      <c r="E5" s="5">
        <v>0.1327014715185664</v>
      </c>
      <c r="F5" s="5">
        <v>-1.882352941176468E-2</v>
      </c>
      <c r="G5" s="5">
        <v>0.99</v>
      </c>
      <c r="H5" s="5">
        <v>0.98333333333333328</v>
      </c>
      <c r="I5" s="3" t="s">
        <v>47</v>
      </c>
    </row>
    <row r="6" spans="1:9">
      <c r="A6" s="3" t="s">
        <v>1085</v>
      </c>
      <c r="B6" s="3" t="s">
        <v>1131</v>
      </c>
      <c r="C6" s="3" t="s">
        <v>1132</v>
      </c>
      <c r="D6" s="5">
        <v>5.5133116109289608E-2</v>
      </c>
      <c r="E6" s="5">
        <v>8.6105712472575924E-2</v>
      </c>
      <c r="F6" s="5">
        <v>-1.707779886148009E-2</v>
      </c>
      <c r="G6" s="5">
        <v>0.98666666666666669</v>
      </c>
      <c r="H6" s="5">
        <v>0.93</v>
      </c>
      <c r="I6" s="3" t="s">
        <v>47</v>
      </c>
    </row>
    <row r="7" spans="1:9">
      <c r="A7" s="3" t="s">
        <v>1085</v>
      </c>
      <c r="B7" s="3" t="s">
        <v>1435</v>
      </c>
      <c r="C7" s="3" t="s">
        <v>1436</v>
      </c>
      <c r="D7" s="5">
        <v>5.4025437198789827E-2</v>
      </c>
      <c r="E7" s="5">
        <v>-7.6462639139052158E-3</v>
      </c>
      <c r="F7" s="5">
        <v>-7.6462765957446721E-2</v>
      </c>
      <c r="G7" s="5">
        <v>0.98333333333333328</v>
      </c>
      <c r="H7" s="5">
        <v>0.42333333333333328</v>
      </c>
      <c r="I7" s="3" t="s">
        <v>283</v>
      </c>
    </row>
    <row r="8" spans="1:9">
      <c r="A8" s="3" t="s">
        <v>1085</v>
      </c>
      <c r="B8" s="3" t="s">
        <v>1241</v>
      </c>
      <c r="C8" s="3" t="s">
        <v>1242</v>
      </c>
      <c r="D8" s="5">
        <v>4.6458906222335283E-2</v>
      </c>
      <c r="E8" s="5">
        <v>3.6592192997206167E-2</v>
      </c>
      <c r="F8" s="5">
        <v>-4.9724997193849041E-2</v>
      </c>
      <c r="G8" s="5">
        <v>0.98</v>
      </c>
      <c r="H8" s="5">
        <v>0.7466666666666667</v>
      </c>
      <c r="I8" s="3" t="s">
        <v>47</v>
      </c>
    </row>
    <row r="9" spans="1:9">
      <c r="A9" s="3" t="s">
        <v>1085</v>
      </c>
      <c r="B9" s="3" t="s">
        <v>1273</v>
      </c>
      <c r="C9" s="3" t="s">
        <v>1274</v>
      </c>
      <c r="D9" s="5">
        <v>4.6302513507968428E-2</v>
      </c>
      <c r="E9" s="5">
        <v>2.8023257276019061E-2</v>
      </c>
      <c r="F9" s="5">
        <v>-0.1184044433223934</v>
      </c>
      <c r="G9" s="5">
        <v>0.97666666666666668</v>
      </c>
      <c r="H9" s="5">
        <v>0.69333333333333336</v>
      </c>
      <c r="I9" s="3" t="s">
        <v>47</v>
      </c>
    </row>
    <row r="10" spans="1:9">
      <c r="A10" s="3" t="s">
        <v>1085</v>
      </c>
      <c r="B10" s="3" t="s">
        <v>1289</v>
      </c>
      <c r="C10" s="3" t="s">
        <v>1290</v>
      </c>
      <c r="D10" s="5">
        <v>4.4359920293810529E-2</v>
      </c>
      <c r="E10" s="5">
        <v>2.4875593422657442E-2</v>
      </c>
      <c r="F10" s="5">
        <v>-2.712700369913679E-2</v>
      </c>
      <c r="G10" s="5">
        <v>0.97333333333333338</v>
      </c>
      <c r="H10" s="5">
        <v>0.66666666666666663</v>
      </c>
      <c r="I10" s="3" t="s">
        <v>47</v>
      </c>
    </row>
    <row r="11" spans="1:9">
      <c r="A11" s="3" t="s">
        <v>1085</v>
      </c>
      <c r="B11" s="3" t="s">
        <v>1255</v>
      </c>
      <c r="C11" s="3" t="s">
        <v>1256</v>
      </c>
      <c r="D11" s="5">
        <v>4.4328225203659422E-2</v>
      </c>
      <c r="E11" s="5">
        <v>3.2823710132845678E-2</v>
      </c>
      <c r="F11" s="5">
        <v>-0.1187569367369589</v>
      </c>
      <c r="G11" s="5">
        <v>0.97</v>
      </c>
      <c r="H11" s="5">
        <v>0.72333333333333338</v>
      </c>
      <c r="I11" s="3" t="s">
        <v>47</v>
      </c>
    </row>
    <row r="12" spans="1:9">
      <c r="A12" s="3" t="s">
        <v>1086</v>
      </c>
      <c r="B12" s="3" t="s">
        <v>1651</v>
      </c>
      <c r="C12" s="3" t="s">
        <v>1652</v>
      </c>
      <c r="D12" s="5">
        <v>-6.2514703945794392E-2</v>
      </c>
      <c r="E12" s="5">
        <v>-0.12862250714225859</v>
      </c>
      <c r="F12" s="5">
        <v>-0.16008467771370169</v>
      </c>
      <c r="G12" s="5">
        <v>3.333333333333334E-3</v>
      </c>
      <c r="H12" s="5">
        <v>6.3333333333333339E-2</v>
      </c>
      <c r="I12" s="3" t="s">
        <v>47</v>
      </c>
    </row>
    <row r="13" spans="1:9">
      <c r="A13" s="3" t="s">
        <v>1086</v>
      </c>
      <c r="B13" s="3" t="s">
        <v>1247</v>
      </c>
      <c r="C13" s="3" t="s">
        <v>1248</v>
      </c>
      <c r="D13" s="5">
        <v>-5.8539777255897651E-2</v>
      </c>
      <c r="E13" s="5">
        <v>3.5937150627252779E-2</v>
      </c>
      <c r="F13" s="5">
        <v>-9.9992826913420818E-2</v>
      </c>
      <c r="G13" s="5">
        <v>6.6666666666666671E-3</v>
      </c>
      <c r="H13" s="5">
        <v>0.73666666666666669</v>
      </c>
      <c r="I13" s="3" t="s">
        <v>283</v>
      </c>
    </row>
    <row r="14" spans="1:9">
      <c r="A14" s="3" t="s">
        <v>1086</v>
      </c>
      <c r="B14" s="3" t="s">
        <v>1679</v>
      </c>
      <c r="C14" s="3" t="s">
        <v>1680</v>
      </c>
      <c r="D14" s="5">
        <v>-5.5982772427597527E-2</v>
      </c>
      <c r="E14" s="5">
        <v>-0.15586841268940779</v>
      </c>
      <c r="F14" s="5">
        <v>-0.15586841268940779</v>
      </c>
      <c r="G14" s="5">
        <v>0.01</v>
      </c>
      <c r="H14" s="5">
        <v>1.666666666666667E-2</v>
      </c>
      <c r="I14" s="3" t="s">
        <v>47</v>
      </c>
    </row>
    <row r="15" spans="1:9">
      <c r="A15" s="3" t="s">
        <v>1086</v>
      </c>
      <c r="B15" s="3" t="s">
        <v>1577</v>
      </c>
      <c r="C15" s="3" t="s">
        <v>1578</v>
      </c>
      <c r="D15" s="5">
        <v>-5.4448004065347E-2</v>
      </c>
      <c r="E15" s="5">
        <v>-6.9114685863636893E-2</v>
      </c>
      <c r="F15" s="5">
        <v>-7.882241215574548E-2</v>
      </c>
      <c r="G15" s="5">
        <v>1.3333333333333331E-2</v>
      </c>
      <c r="H15" s="5">
        <v>0.1866666666666667</v>
      </c>
      <c r="I15" s="3" t="s">
        <v>47</v>
      </c>
    </row>
    <row r="16" spans="1:9">
      <c r="A16" s="3" t="s">
        <v>1086</v>
      </c>
      <c r="B16" s="3" t="s">
        <v>1585</v>
      </c>
      <c r="C16" s="3" t="s">
        <v>1586</v>
      </c>
      <c r="D16" s="5">
        <v>-5.2985993146338117E-2</v>
      </c>
      <c r="E16" s="5">
        <v>-7.2534447416253367E-2</v>
      </c>
      <c r="F16" s="5">
        <v>-9.8634759706851871E-2</v>
      </c>
      <c r="G16" s="5">
        <v>1.666666666666667E-2</v>
      </c>
      <c r="H16" s="5">
        <v>0.17333333333333331</v>
      </c>
      <c r="I16" s="3" t="s">
        <v>47</v>
      </c>
    </row>
    <row r="17" spans="1:9">
      <c r="A17" s="3" t="s">
        <v>1086</v>
      </c>
      <c r="B17" s="3" t="s">
        <v>1675</v>
      </c>
      <c r="C17" s="3" t="s">
        <v>1676</v>
      </c>
      <c r="D17" s="5">
        <v>-5.2735534482451503E-2</v>
      </c>
      <c r="E17" s="5">
        <v>-0.14546199847745139</v>
      </c>
      <c r="F17" s="5">
        <v>-0.14546199847745139</v>
      </c>
      <c r="G17" s="5">
        <v>0.02</v>
      </c>
      <c r="H17" s="5">
        <v>2.3333333333333331E-2</v>
      </c>
      <c r="I17" s="3" t="s">
        <v>47</v>
      </c>
    </row>
    <row r="18" spans="1:9">
      <c r="A18" s="3" t="s">
        <v>1086</v>
      </c>
      <c r="B18" s="3" t="s">
        <v>1645</v>
      </c>
      <c r="C18" s="3" t="s">
        <v>1646</v>
      </c>
      <c r="D18" s="5">
        <v>-5.0260858950407883E-2</v>
      </c>
      <c r="E18" s="5">
        <v>-0.1191225000346552</v>
      </c>
      <c r="F18" s="5">
        <v>-0.1233970481490443</v>
      </c>
      <c r="G18" s="5">
        <v>2.3333333333333331E-2</v>
      </c>
      <c r="H18" s="5">
        <v>7.3333333333333334E-2</v>
      </c>
      <c r="I18" s="3" t="s">
        <v>47</v>
      </c>
    </row>
    <row r="19" spans="1:9">
      <c r="A19" s="3" t="s">
        <v>1086</v>
      </c>
      <c r="B19" s="3" t="s">
        <v>1145</v>
      </c>
      <c r="C19" s="3" t="s">
        <v>1146</v>
      </c>
      <c r="D19" s="5">
        <v>-4.8417136951828033E-2</v>
      </c>
      <c r="E19" s="5">
        <v>6.866503476514807E-2</v>
      </c>
      <c r="F19" s="5">
        <v>-0.10857441617288251</v>
      </c>
      <c r="G19" s="5">
        <v>2.6666666666666668E-2</v>
      </c>
      <c r="H19" s="5">
        <v>0.90666666666666662</v>
      </c>
      <c r="I19" s="3" t="s">
        <v>42</v>
      </c>
    </row>
    <row r="20" spans="1:9">
      <c r="A20" s="3" t="s">
        <v>1086</v>
      </c>
      <c r="B20" s="3" t="s">
        <v>1379</v>
      </c>
      <c r="C20" s="3" t="s">
        <v>1380</v>
      </c>
      <c r="D20" s="5">
        <v>-4.8264202276192547E-2</v>
      </c>
      <c r="E20" s="5">
        <v>2.6761615627266529E-3</v>
      </c>
      <c r="F20" s="5">
        <v>-4.8264202276192547E-2</v>
      </c>
      <c r="G20" s="5">
        <v>0.03</v>
      </c>
      <c r="H20" s="5">
        <v>0.51666666666666672</v>
      </c>
      <c r="I20" s="3" t="s">
        <v>283</v>
      </c>
    </row>
    <row r="21" spans="1:9">
      <c r="A21" s="3" t="s">
        <v>1086</v>
      </c>
      <c r="B21" s="3" t="s">
        <v>1643</v>
      </c>
      <c r="C21" s="3" t="s">
        <v>1644</v>
      </c>
      <c r="D21" s="5">
        <v>-4.7020189689867757E-2</v>
      </c>
      <c r="E21" s="5">
        <v>-0.11752875109247871</v>
      </c>
      <c r="F21" s="5">
        <v>-0.11752875109247871</v>
      </c>
      <c r="G21" s="5">
        <v>3.3333333333333333E-2</v>
      </c>
      <c r="H21" s="5">
        <v>7.6666666666666661E-2</v>
      </c>
      <c r="I21" s="3" t="s">
        <v>47</v>
      </c>
    </row>
    <row r="22" spans="1:9">
      <c r="A22" s="3" t="s">
        <v>1087</v>
      </c>
      <c r="B22" s="3" t="s">
        <v>1089</v>
      </c>
      <c r="C22" s="3" t="s">
        <v>1090</v>
      </c>
      <c r="D22" s="5">
        <v>0.20023552183548901</v>
      </c>
      <c r="E22" s="5">
        <v>0.34521446605720141</v>
      </c>
      <c r="F22" s="5">
        <v>-8.3278688524590083E-2</v>
      </c>
      <c r="G22" s="5">
        <v>1</v>
      </c>
      <c r="H22" s="5">
        <v>1</v>
      </c>
      <c r="I22" s="3" t="s">
        <v>47</v>
      </c>
    </row>
    <row r="23" spans="1:9">
      <c r="A23" s="3" t="s">
        <v>1087</v>
      </c>
      <c r="B23" s="3" t="s">
        <v>1091</v>
      </c>
      <c r="C23" s="3" t="s">
        <v>1092</v>
      </c>
      <c r="D23" s="5">
        <v>-2.536329221536493E-2</v>
      </c>
      <c r="E23" s="5">
        <v>0.20516169191925651</v>
      </c>
      <c r="F23" s="5">
        <v>-6.9095816464237347E-2</v>
      </c>
      <c r="G23" s="5">
        <v>0.12333333333333329</v>
      </c>
      <c r="H23" s="5">
        <v>0.9966666666666667</v>
      </c>
      <c r="I23" s="3" t="s">
        <v>42</v>
      </c>
    </row>
    <row r="24" spans="1:9">
      <c r="A24" s="3" t="s">
        <v>1087</v>
      </c>
      <c r="B24" s="3" t="s">
        <v>1093</v>
      </c>
      <c r="C24" s="3" t="s">
        <v>1094</v>
      </c>
      <c r="D24" s="5">
        <v>6.1744945961357052E-2</v>
      </c>
      <c r="E24" s="5">
        <v>0.14471777820725171</v>
      </c>
      <c r="F24" s="5">
        <v>-1.381215469613262E-2</v>
      </c>
      <c r="G24" s="5">
        <v>0.99333333333333329</v>
      </c>
      <c r="H24" s="5">
        <v>0.99333333333333329</v>
      </c>
      <c r="I24" s="3" t="s">
        <v>47</v>
      </c>
    </row>
    <row r="25" spans="1:9">
      <c r="A25" s="3" t="s">
        <v>1087</v>
      </c>
      <c r="B25" s="3" t="s">
        <v>1095</v>
      </c>
      <c r="C25" s="3" t="s">
        <v>1096</v>
      </c>
      <c r="D25" s="5">
        <v>-3.3865979682173968E-2</v>
      </c>
      <c r="E25" s="5">
        <v>0.14469344321484989</v>
      </c>
      <c r="F25" s="5">
        <v>-8.6503387180823288E-2</v>
      </c>
      <c r="G25" s="5">
        <v>7.3333333333333334E-2</v>
      </c>
      <c r="H25" s="5">
        <v>0.99</v>
      </c>
      <c r="I25" s="3" t="s">
        <v>42</v>
      </c>
    </row>
    <row r="26" spans="1:9">
      <c r="A26" s="3" t="s">
        <v>1087</v>
      </c>
      <c r="B26" s="3" t="s">
        <v>1097</v>
      </c>
      <c r="C26" s="3" t="s">
        <v>1098</v>
      </c>
      <c r="D26" s="5">
        <v>-1.3477065813830791E-2</v>
      </c>
      <c r="E26" s="5">
        <v>0.137529164205342</v>
      </c>
      <c r="F26" s="5">
        <v>-3.9244186046511587E-2</v>
      </c>
      <c r="G26" s="5">
        <v>0.23</v>
      </c>
      <c r="H26" s="5">
        <v>0.98666666666666669</v>
      </c>
      <c r="I26" s="3" t="s">
        <v>42</v>
      </c>
    </row>
    <row r="27" spans="1:9">
      <c r="A27" s="3" t="s">
        <v>1087</v>
      </c>
      <c r="B27" s="3" t="s">
        <v>1099</v>
      </c>
      <c r="C27" s="3" t="s">
        <v>1100</v>
      </c>
      <c r="D27" s="5">
        <v>5.5187684284403897E-2</v>
      </c>
      <c r="E27" s="5">
        <v>0.1327014715185664</v>
      </c>
      <c r="F27" s="5">
        <v>-1.882352941176468E-2</v>
      </c>
      <c r="G27" s="5">
        <v>0.99</v>
      </c>
      <c r="H27" s="5">
        <v>0.98333333333333328</v>
      </c>
      <c r="I27" s="3" t="s">
        <v>47</v>
      </c>
    </row>
    <row r="28" spans="1:9">
      <c r="A28" s="3" t="s">
        <v>1087</v>
      </c>
      <c r="B28" s="3" t="s">
        <v>1101</v>
      </c>
      <c r="C28" s="3" t="s">
        <v>1102</v>
      </c>
      <c r="D28" s="5">
        <v>3.3674955018966328E-2</v>
      </c>
      <c r="E28" s="5">
        <v>0.13141024724031089</v>
      </c>
      <c r="F28" s="5">
        <v>-0.11395027624309401</v>
      </c>
      <c r="G28" s="5">
        <v>0.96</v>
      </c>
      <c r="H28" s="5">
        <v>0.98</v>
      </c>
      <c r="I28" s="3" t="s">
        <v>47</v>
      </c>
    </row>
    <row r="29" spans="1:9">
      <c r="A29" s="3" t="s">
        <v>1087</v>
      </c>
      <c r="B29" s="3" t="s">
        <v>1103</v>
      </c>
      <c r="C29" s="3" t="s">
        <v>1104</v>
      </c>
      <c r="D29" s="5">
        <v>-4.5197265969830758E-3</v>
      </c>
      <c r="E29" s="5">
        <v>0.1280410268395262</v>
      </c>
      <c r="F29" s="5">
        <v>-5.8411214953272284E-3</v>
      </c>
      <c r="G29" s="5">
        <v>0.34333333333333332</v>
      </c>
      <c r="H29" s="5">
        <v>0.97666666666666668</v>
      </c>
      <c r="I29" s="3" t="s">
        <v>63</v>
      </c>
    </row>
    <row r="30" spans="1:9">
      <c r="A30" s="3" t="s">
        <v>1087</v>
      </c>
      <c r="B30" s="3" t="s">
        <v>1105</v>
      </c>
      <c r="C30" s="3" t="s">
        <v>1106</v>
      </c>
      <c r="D30" s="5">
        <v>2.2558220931688581E-2</v>
      </c>
      <c r="E30" s="5">
        <v>0.123082044709762</v>
      </c>
      <c r="F30" s="5">
        <v>-2.2901246283292261E-2</v>
      </c>
      <c r="G30" s="5">
        <v>0.91</v>
      </c>
      <c r="H30" s="5">
        <v>0.97333333333333338</v>
      </c>
      <c r="I30" s="3" t="s">
        <v>47</v>
      </c>
    </row>
    <row r="31" spans="1:9">
      <c r="A31" s="3" t="s">
        <v>1087</v>
      </c>
      <c r="B31" s="3" t="s">
        <v>1107</v>
      </c>
      <c r="C31" s="3" t="s">
        <v>1108</v>
      </c>
      <c r="D31" s="5">
        <v>1.9736842105263271E-2</v>
      </c>
      <c r="E31" s="5">
        <v>0.11591072714182871</v>
      </c>
      <c r="F31" s="5">
        <v>-2.4028268551236739E-2</v>
      </c>
      <c r="G31" s="5">
        <v>0.87</v>
      </c>
      <c r="H31" s="5">
        <v>0.97</v>
      </c>
      <c r="I31" s="3" t="s">
        <v>47</v>
      </c>
    </row>
    <row r="32" spans="1:9">
      <c r="A32" s="3" t="s">
        <v>1088</v>
      </c>
      <c r="B32" s="3" t="s">
        <v>1687</v>
      </c>
      <c r="C32" s="3" t="s">
        <v>1688</v>
      </c>
      <c r="D32" s="5">
        <v>-2.3715826983008888E-2</v>
      </c>
      <c r="E32" s="5">
        <v>-0.2432226208822883</v>
      </c>
      <c r="F32" s="5">
        <v>-0.2432226208822883</v>
      </c>
      <c r="G32" s="5">
        <v>0.13666666666666669</v>
      </c>
      <c r="H32" s="5">
        <v>3.333333333333334E-3</v>
      </c>
      <c r="I32" s="3" t="s">
        <v>47</v>
      </c>
    </row>
    <row r="33" spans="1:9">
      <c r="A33" s="3" t="s">
        <v>1088</v>
      </c>
      <c r="B33" s="3" t="s">
        <v>1685</v>
      </c>
      <c r="C33" s="3" t="s">
        <v>1686</v>
      </c>
      <c r="D33" s="5">
        <v>1.2846349682973379E-3</v>
      </c>
      <c r="E33" s="5">
        <v>-0.23098003150757609</v>
      </c>
      <c r="F33" s="5">
        <v>-0.23196667397500551</v>
      </c>
      <c r="G33" s="5">
        <v>0.44666666666666671</v>
      </c>
      <c r="H33" s="5">
        <v>6.6666666666666671E-3</v>
      </c>
      <c r="I33" s="3" t="s">
        <v>63</v>
      </c>
    </row>
    <row r="34" spans="1:9">
      <c r="A34" s="3" t="s">
        <v>1088</v>
      </c>
      <c r="B34" s="3" t="s">
        <v>1683</v>
      </c>
      <c r="C34" s="3" t="s">
        <v>1684</v>
      </c>
      <c r="D34" s="5">
        <v>-2.118839244587745E-2</v>
      </c>
      <c r="E34" s="5">
        <v>-0.21562596124269459</v>
      </c>
      <c r="F34" s="5">
        <v>-0.21562596124269459</v>
      </c>
      <c r="G34" s="5">
        <v>0.14333333333333331</v>
      </c>
      <c r="H34" s="5">
        <v>0.01</v>
      </c>
      <c r="I34" s="3" t="s">
        <v>47</v>
      </c>
    </row>
    <row r="35" spans="1:9">
      <c r="A35" s="3" t="s">
        <v>1088</v>
      </c>
      <c r="B35" s="3" t="s">
        <v>1681</v>
      </c>
      <c r="C35" s="3" t="s">
        <v>1682</v>
      </c>
      <c r="D35" s="5">
        <v>-8.1788149368799967E-3</v>
      </c>
      <c r="E35" s="5">
        <v>-0.17355744961119399</v>
      </c>
      <c r="F35" s="5">
        <v>-0.1743077379002442</v>
      </c>
      <c r="G35" s="5">
        <v>0.28999999999999998</v>
      </c>
      <c r="H35" s="5">
        <v>1.3333333333333331E-2</v>
      </c>
      <c r="I35" s="3" t="s">
        <v>63</v>
      </c>
    </row>
    <row r="36" spans="1:9">
      <c r="A36" s="3" t="s">
        <v>1088</v>
      </c>
      <c r="B36" s="3" t="s">
        <v>1679</v>
      </c>
      <c r="C36" s="3" t="s">
        <v>1680</v>
      </c>
      <c r="D36" s="5">
        <v>-5.5982772427597527E-2</v>
      </c>
      <c r="E36" s="5">
        <v>-0.15586841268940779</v>
      </c>
      <c r="F36" s="5">
        <v>-0.15586841268940779</v>
      </c>
      <c r="G36" s="5">
        <v>0.01</v>
      </c>
      <c r="H36" s="5">
        <v>1.666666666666667E-2</v>
      </c>
      <c r="I36" s="3" t="s">
        <v>47</v>
      </c>
    </row>
    <row r="37" spans="1:9">
      <c r="A37" s="3" t="s">
        <v>1088</v>
      </c>
      <c r="B37" s="3" t="s">
        <v>1677</v>
      </c>
      <c r="C37" s="3" t="s">
        <v>1678</v>
      </c>
      <c r="D37" s="5">
        <v>-1.6483537443391479E-2</v>
      </c>
      <c r="E37" s="5">
        <v>-0.14599238461210531</v>
      </c>
      <c r="F37" s="5">
        <v>-0.14599238461210531</v>
      </c>
      <c r="G37" s="5">
        <v>0.1933333333333333</v>
      </c>
      <c r="H37" s="5">
        <v>0.02</v>
      </c>
      <c r="I37" s="3" t="s">
        <v>47</v>
      </c>
    </row>
    <row r="38" spans="1:9">
      <c r="A38" s="3" t="s">
        <v>1088</v>
      </c>
      <c r="B38" s="3" t="s">
        <v>1675</v>
      </c>
      <c r="C38" s="3" t="s">
        <v>1676</v>
      </c>
      <c r="D38" s="5">
        <v>-5.2735534482451503E-2</v>
      </c>
      <c r="E38" s="5">
        <v>-0.14546199847745139</v>
      </c>
      <c r="F38" s="5">
        <v>-0.14546199847745139</v>
      </c>
      <c r="G38" s="5">
        <v>0.02</v>
      </c>
      <c r="H38" s="5">
        <v>2.3333333333333331E-2</v>
      </c>
      <c r="I38" s="3" t="s">
        <v>47</v>
      </c>
    </row>
    <row r="39" spans="1:9">
      <c r="A39" s="3" t="s">
        <v>1088</v>
      </c>
      <c r="B39" s="3" t="s">
        <v>1673</v>
      </c>
      <c r="C39" s="3" t="s">
        <v>1674</v>
      </c>
      <c r="D39" s="5">
        <v>-3.2475235438582883E-2</v>
      </c>
      <c r="E39" s="5">
        <v>-0.14200420375172859</v>
      </c>
      <c r="F39" s="5">
        <v>-0.14200420375172859</v>
      </c>
      <c r="G39" s="5">
        <v>0.09</v>
      </c>
      <c r="H39" s="5">
        <v>2.6666666666666668E-2</v>
      </c>
      <c r="I39" s="3" t="s">
        <v>47</v>
      </c>
    </row>
    <row r="40" spans="1:9">
      <c r="A40" s="3" t="s">
        <v>1088</v>
      </c>
      <c r="B40" s="3" t="s">
        <v>1671</v>
      </c>
      <c r="C40" s="3" t="s">
        <v>1672</v>
      </c>
      <c r="D40" s="5">
        <v>-4.5856596683246043E-2</v>
      </c>
      <c r="E40" s="5">
        <v>-0.14066922495877579</v>
      </c>
      <c r="F40" s="5">
        <v>-0.14066922495877579</v>
      </c>
      <c r="G40" s="5">
        <v>0.04</v>
      </c>
      <c r="H40" s="5">
        <v>0.03</v>
      </c>
      <c r="I40" s="3" t="s">
        <v>47</v>
      </c>
    </row>
    <row r="41" spans="1:9">
      <c r="A41" s="3" t="s">
        <v>1088</v>
      </c>
      <c r="B41" s="3" t="s">
        <v>1669</v>
      </c>
      <c r="C41" s="3" t="s">
        <v>1670</v>
      </c>
      <c r="D41" s="5">
        <v>-4.0347549987276188E-2</v>
      </c>
      <c r="E41" s="5">
        <v>-0.13892196838267409</v>
      </c>
      <c r="F41" s="5">
        <v>-0.13892196838267409</v>
      </c>
      <c r="G41" s="5">
        <v>0.06</v>
      </c>
      <c r="H41" s="5">
        <v>3.3333333333333333E-2</v>
      </c>
      <c r="I41" s="3" t="s">
        <v>47</v>
      </c>
    </row>
  </sheetData>
  <autoFilter ref="A1:I4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31.7109375" customWidth="1"/>
    <col min="3" max="4" width="25.7109375" customWidth="1"/>
    <col min="5" max="7" width="14.7109375" customWidth="1"/>
    <col min="8" max="12" width="13.7109375" customWidth="1"/>
    <col min="13" max="13" width="18.7109375" customWidth="1"/>
  </cols>
  <sheetData>
    <row r="1" spans="1:13" ht="24.7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</row>
    <row r="2" spans="1:13">
      <c r="A2" s="3" t="s">
        <v>1689</v>
      </c>
      <c r="B2" s="3" t="s">
        <v>1690</v>
      </c>
      <c r="C2" s="3" t="s">
        <v>71</v>
      </c>
      <c r="D2" s="3" t="s">
        <v>72</v>
      </c>
      <c r="E2" s="8">
        <v>32.604999999999997</v>
      </c>
      <c r="F2" s="8">
        <v>34.51</v>
      </c>
      <c r="G2" s="8">
        <v>34.919998168945313</v>
      </c>
      <c r="H2" s="5">
        <f t="shared" ref="H2:H33" si="0">IFERROR(G2/F2-1,"")</f>
        <v>1.1880561256021771E-2</v>
      </c>
      <c r="I2" s="5">
        <f t="shared" ref="I2:I33" si="1">IFERROR(G2/E2-1,"")</f>
        <v>7.100132399770942E-2</v>
      </c>
      <c r="J2" s="5">
        <v>-1.1316430310843841E-2</v>
      </c>
      <c r="K2" s="5">
        <v>0.88</v>
      </c>
      <c r="L2" s="5">
        <v>1</v>
      </c>
      <c r="M2" s="3" t="s">
        <v>47</v>
      </c>
    </row>
    <row r="3" spans="1:13">
      <c r="A3" s="3" t="s">
        <v>1691</v>
      </c>
      <c r="B3" s="3" t="s">
        <v>1692</v>
      </c>
      <c r="C3" s="3" t="s">
        <v>71</v>
      </c>
      <c r="D3" s="3" t="s">
        <v>168</v>
      </c>
      <c r="E3" s="8">
        <v>29.87</v>
      </c>
      <c r="F3" s="8">
        <v>30.565000000000001</v>
      </c>
      <c r="G3" s="8">
        <v>31.344999313354489</v>
      </c>
      <c r="H3" s="5">
        <f t="shared" si="0"/>
        <v>2.5519362452298022E-2</v>
      </c>
      <c r="I3" s="5">
        <f t="shared" si="1"/>
        <v>4.9380626493287227E-2</v>
      </c>
      <c r="J3" s="5">
        <v>-1.439555046621954E-2</v>
      </c>
      <c r="K3" s="5">
        <v>0.98</v>
      </c>
      <c r="L3" s="5">
        <v>0.98</v>
      </c>
      <c r="M3" s="3" t="s">
        <v>47</v>
      </c>
    </row>
    <row r="4" spans="1:13">
      <c r="A4" s="3" t="s">
        <v>1693</v>
      </c>
      <c r="B4" s="3" t="s">
        <v>1694</v>
      </c>
      <c r="C4" s="3" t="s">
        <v>57</v>
      </c>
      <c r="D4" s="3" t="s">
        <v>376</v>
      </c>
      <c r="E4" s="8">
        <v>58.36</v>
      </c>
      <c r="F4" s="8">
        <v>61.2</v>
      </c>
      <c r="G4" s="8">
        <v>60.720001220703118</v>
      </c>
      <c r="H4" s="5">
        <f t="shared" si="0"/>
        <v>-7.8431173087726291E-3</v>
      </c>
      <c r="I4" s="5">
        <f t="shared" si="1"/>
        <v>4.0438677530896472E-2</v>
      </c>
      <c r="J4" s="5">
        <v>-3.0651321508570969E-2</v>
      </c>
      <c r="K4" s="5">
        <v>0.34</v>
      </c>
      <c r="L4" s="5">
        <v>0.96</v>
      </c>
      <c r="M4" s="3" t="s">
        <v>63</v>
      </c>
    </row>
    <row r="5" spans="1:13">
      <c r="A5" s="3" t="s">
        <v>1695</v>
      </c>
      <c r="B5" s="3" t="s">
        <v>1696</v>
      </c>
      <c r="C5" s="3" t="s">
        <v>50</v>
      </c>
      <c r="D5" s="3" t="s">
        <v>50</v>
      </c>
      <c r="E5" s="8">
        <v>166.78</v>
      </c>
      <c r="F5" s="8">
        <v>173.18</v>
      </c>
      <c r="G5" s="8">
        <v>172.24000549316409</v>
      </c>
      <c r="H5" s="5">
        <f t="shared" si="0"/>
        <v>-5.427846788520152E-3</v>
      </c>
      <c r="I5" s="5">
        <f t="shared" si="1"/>
        <v>3.2737771274517824E-2</v>
      </c>
      <c r="J5" s="5">
        <v>-1.1498340445708849E-2</v>
      </c>
      <c r="K5" s="5">
        <v>0.38</v>
      </c>
      <c r="L5" s="5">
        <v>0.94</v>
      </c>
      <c r="M5" s="3" t="s">
        <v>63</v>
      </c>
    </row>
    <row r="6" spans="1:13">
      <c r="A6" s="3" t="s">
        <v>1697</v>
      </c>
      <c r="B6" s="3" t="s">
        <v>1698</v>
      </c>
      <c r="C6" s="3" t="s">
        <v>71</v>
      </c>
      <c r="D6" s="3" t="s">
        <v>168</v>
      </c>
      <c r="E6" s="8">
        <v>12.3</v>
      </c>
      <c r="F6" s="8">
        <v>12.584</v>
      </c>
      <c r="G6" s="8">
        <v>12.701999664306641</v>
      </c>
      <c r="H6" s="5">
        <f t="shared" si="0"/>
        <v>9.3769599735094022E-3</v>
      </c>
      <c r="I6" s="5">
        <f t="shared" si="1"/>
        <v>3.268289953712511E-2</v>
      </c>
      <c r="J6" s="5">
        <v>-1.321793863099929E-2</v>
      </c>
      <c r="K6" s="5">
        <v>0.86</v>
      </c>
      <c r="L6" s="5">
        <v>0.92</v>
      </c>
      <c r="M6" s="3" t="s">
        <v>47</v>
      </c>
    </row>
    <row r="7" spans="1:13">
      <c r="A7" s="3" t="s">
        <v>1699</v>
      </c>
      <c r="B7" s="3" t="s">
        <v>1700</v>
      </c>
      <c r="C7" s="3" t="s">
        <v>50</v>
      </c>
      <c r="D7" s="3" t="s">
        <v>50</v>
      </c>
      <c r="E7" s="8">
        <v>51.79</v>
      </c>
      <c r="F7" s="8">
        <v>53.03</v>
      </c>
      <c r="G7" s="8">
        <v>53.430000305175781</v>
      </c>
      <c r="H7" s="5">
        <f t="shared" si="0"/>
        <v>7.5429059999203574E-3</v>
      </c>
      <c r="I7" s="5">
        <f t="shared" si="1"/>
        <v>3.1666350746780925E-2</v>
      </c>
      <c r="J7" s="5">
        <v>-1.7547205798207122E-2</v>
      </c>
      <c r="K7" s="5">
        <v>0.82</v>
      </c>
      <c r="L7" s="5">
        <v>0.9</v>
      </c>
      <c r="M7" s="3" t="s">
        <v>63</v>
      </c>
    </row>
    <row r="8" spans="1:13">
      <c r="A8" s="3" t="s">
        <v>1701</v>
      </c>
      <c r="B8" s="3" t="s">
        <v>1702</v>
      </c>
      <c r="C8" s="3" t="s">
        <v>61</v>
      </c>
      <c r="D8" s="3" t="s">
        <v>77</v>
      </c>
      <c r="E8" s="8">
        <v>877.6</v>
      </c>
      <c r="F8" s="8">
        <v>886.2</v>
      </c>
      <c r="G8" s="8">
        <v>904.5999755859375</v>
      </c>
      <c r="H8" s="5">
        <f t="shared" si="0"/>
        <v>2.0762779943508836E-2</v>
      </c>
      <c r="I8" s="5">
        <f t="shared" si="1"/>
        <v>3.0765696884614169E-2</v>
      </c>
      <c r="J8" s="5">
        <v>-4.1906873614190647E-2</v>
      </c>
      <c r="K8" s="5">
        <v>0.96</v>
      </c>
      <c r="L8" s="5">
        <v>0.88</v>
      </c>
      <c r="M8" s="3" t="s">
        <v>47</v>
      </c>
    </row>
    <row r="9" spans="1:13">
      <c r="A9" s="3" t="s">
        <v>1703</v>
      </c>
      <c r="B9" s="3" t="s">
        <v>1704</v>
      </c>
      <c r="C9" s="3" t="s">
        <v>95</v>
      </c>
      <c r="D9" s="3" t="s">
        <v>99</v>
      </c>
      <c r="E9" s="8">
        <v>66.5</v>
      </c>
      <c r="F9" s="8">
        <v>68.459999999999994</v>
      </c>
      <c r="G9" s="8">
        <v>68.419998168945313</v>
      </c>
      <c r="H9" s="5">
        <f t="shared" si="0"/>
        <v>-5.8430953921528861E-4</v>
      </c>
      <c r="I9" s="5">
        <f t="shared" si="1"/>
        <v>2.8872152916470828E-2</v>
      </c>
      <c r="J9" s="5">
        <v>-1.9247594050743611E-2</v>
      </c>
      <c r="K9" s="5">
        <v>0.54</v>
      </c>
      <c r="L9" s="5">
        <v>0.86</v>
      </c>
      <c r="M9" s="3" t="s">
        <v>63</v>
      </c>
    </row>
    <row r="10" spans="1:13">
      <c r="A10" s="3" t="s">
        <v>1705</v>
      </c>
      <c r="B10" s="3" t="s">
        <v>1706</v>
      </c>
      <c r="C10" s="3" t="s">
        <v>57</v>
      </c>
      <c r="D10" s="3" t="s">
        <v>376</v>
      </c>
      <c r="E10" s="8">
        <v>45.024999999999999</v>
      </c>
      <c r="F10" s="8">
        <v>46.97</v>
      </c>
      <c r="G10" s="8">
        <v>46.185001373291023</v>
      </c>
      <c r="H10" s="5">
        <f t="shared" si="0"/>
        <v>-1.6712766163699766E-2</v>
      </c>
      <c r="I10" s="5">
        <f t="shared" si="1"/>
        <v>2.5763495242443701E-2</v>
      </c>
      <c r="J10" s="5">
        <v>-2.1918649443222749E-2</v>
      </c>
      <c r="K10" s="5">
        <v>0.16</v>
      </c>
      <c r="L10" s="5">
        <v>0.84</v>
      </c>
      <c r="M10" s="3" t="s">
        <v>42</v>
      </c>
    </row>
    <row r="11" spans="1:13">
      <c r="A11" s="3" t="s">
        <v>1707</v>
      </c>
      <c r="B11" s="3" t="s">
        <v>1708</v>
      </c>
      <c r="C11" s="3" t="s">
        <v>71</v>
      </c>
      <c r="D11" s="3" t="s">
        <v>168</v>
      </c>
      <c r="E11" s="8">
        <v>17.12</v>
      </c>
      <c r="F11" s="8">
        <v>17.645</v>
      </c>
      <c r="G11" s="8">
        <v>17.54999923706055</v>
      </c>
      <c r="H11" s="5">
        <f t="shared" si="0"/>
        <v>-5.3840047004505287E-3</v>
      </c>
      <c r="I11" s="5">
        <f t="shared" si="1"/>
        <v>2.5116777865686224E-2</v>
      </c>
      <c r="J11" s="5">
        <v>-5.3840047004505287E-3</v>
      </c>
      <c r="K11" s="5">
        <v>0.4</v>
      </c>
      <c r="L11" s="5">
        <v>0.82</v>
      </c>
      <c r="M11" s="3" t="s">
        <v>63</v>
      </c>
    </row>
    <row r="12" spans="1:13">
      <c r="A12" s="3" t="s">
        <v>1709</v>
      </c>
      <c r="B12" s="3" t="s">
        <v>1710</v>
      </c>
      <c r="C12" s="3" t="s">
        <v>71</v>
      </c>
      <c r="D12" s="3" t="s">
        <v>146</v>
      </c>
      <c r="E12" s="8">
        <v>438</v>
      </c>
      <c r="F12" s="8">
        <v>451.8</v>
      </c>
      <c r="G12" s="8">
        <v>448.20001220703119</v>
      </c>
      <c r="H12" s="5">
        <f t="shared" si="0"/>
        <v>-7.9681004713785253E-3</v>
      </c>
      <c r="I12" s="5">
        <f t="shared" si="1"/>
        <v>2.3287699102811033E-2</v>
      </c>
      <c r="J12" s="5">
        <v>-1.4390081912773909E-2</v>
      </c>
      <c r="K12" s="5">
        <v>0.32</v>
      </c>
      <c r="L12" s="5">
        <v>0.8</v>
      </c>
      <c r="M12" s="3" t="s">
        <v>42</v>
      </c>
    </row>
    <row r="13" spans="1:13">
      <c r="A13" s="3" t="s">
        <v>1711</v>
      </c>
      <c r="B13" s="3" t="s">
        <v>1712</v>
      </c>
      <c r="C13" s="3" t="s">
        <v>71</v>
      </c>
      <c r="D13" s="3" t="s">
        <v>168</v>
      </c>
      <c r="E13" s="8">
        <v>24.62</v>
      </c>
      <c r="F13" s="8">
        <v>24.86</v>
      </c>
      <c r="G13" s="8">
        <v>25.079999923706051</v>
      </c>
      <c r="H13" s="5">
        <f t="shared" si="0"/>
        <v>8.8495544531799197E-3</v>
      </c>
      <c r="I13" s="5">
        <f t="shared" si="1"/>
        <v>1.8683993651748665E-2</v>
      </c>
      <c r="J13" s="5">
        <v>-1.6354208216992409E-2</v>
      </c>
      <c r="K13" s="5">
        <v>0.84</v>
      </c>
      <c r="L13" s="5">
        <v>0.78</v>
      </c>
      <c r="M13" s="3" t="s">
        <v>47</v>
      </c>
    </row>
    <row r="14" spans="1:13">
      <c r="A14" s="3" t="s">
        <v>1713</v>
      </c>
      <c r="B14" s="3" t="s">
        <v>1714</v>
      </c>
      <c r="C14" s="3" t="s">
        <v>71</v>
      </c>
      <c r="D14" s="3" t="s">
        <v>146</v>
      </c>
      <c r="E14" s="8">
        <v>514.6</v>
      </c>
      <c r="F14" s="8">
        <v>524.6</v>
      </c>
      <c r="G14" s="8">
        <v>523</v>
      </c>
      <c r="H14" s="5">
        <f t="shared" si="0"/>
        <v>-3.0499428135722928E-3</v>
      </c>
      <c r="I14" s="5">
        <f t="shared" si="1"/>
        <v>1.6323357947920725E-2</v>
      </c>
      <c r="J14" s="5">
        <v>-8.0987273428462236E-3</v>
      </c>
      <c r="K14" s="5">
        <v>0.5</v>
      </c>
      <c r="L14" s="5">
        <v>0.76</v>
      </c>
      <c r="M14" s="3" t="s">
        <v>63</v>
      </c>
    </row>
    <row r="15" spans="1:13">
      <c r="A15" s="3" t="s">
        <v>1715</v>
      </c>
      <c r="B15" s="3" t="s">
        <v>1716</v>
      </c>
      <c r="C15" s="3" t="s">
        <v>71</v>
      </c>
      <c r="D15" s="3" t="s">
        <v>168</v>
      </c>
      <c r="E15" s="8">
        <v>82.37</v>
      </c>
      <c r="F15" s="8">
        <v>83.34</v>
      </c>
      <c r="G15" s="8">
        <v>83.419998168945313</v>
      </c>
      <c r="H15" s="5">
        <f t="shared" si="0"/>
        <v>9.5990123524480886E-4</v>
      </c>
      <c r="I15" s="5">
        <f t="shared" si="1"/>
        <v>1.2747337245906376E-2</v>
      </c>
      <c r="J15" s="5">
        <v>-3.2617527568195033E-2</v>
      </c>
      <c r="K15" s="5">
        <v>0.6</v>
      </c>
      <c r="L15" s="5">
        <v>0.74</v>
      </c>
      <c r="M15" s="3" t="s">
        <v>63</v>
      </c>
    </row>
    <row r="16" spans="1:13">
      <c r="A16" s="3" t="s">
        <v>1717</v>
      </c>
      <c r="B16" s="3" t="s">
        <v>1718</v>
      </c>
      <c r="C16" s="3" t="s">
        <v>40</v>
      </c>
      <c r="D16" s="3" t="s">
        <v>161</v>
      </c>
      <c r="E16" s="8">
        <v>54.98</v>
      </c>
      <c r="F16" s="8">
        <v>55.54</v>
      </c>
      <c r="G16" s="8">
        <v>55.540000915527337</v>
      </c>
      <c r="H16" s="5">
        <f t="shared" si="0"/>
        <v>1.6484107634440193E-8</v>
      </c>
      <c r="I16" s="5">
        <f t="shared" si="1"/>
        <v>1.0185538660009819E-2</v>
      </c>
      <c r="J16" s="5">
        <v>-3.2338752903341088E-2</v>
      </c>
      <c r="K16" s="5">
        <v>0.56000000000000005</v>
      </c>
      <c r="L16" s="5">
        <v>0.72</v>
      </c>
      <c r="M16" s="3" t="s">
        <v>63</v>
      </c>
    </row>
    <row r="17" spans="1:13">
      <c r="A17" s="3" t="s">
        <v>1719</v>
      </c>
      <c r="B17" s="3" t="s">
        <v>1720</v>
      </c>
      <c r="C17" s="3" t="s">
        <v>95</v>
      </c>
      <c r="D17" s="3" t="s">
        <v>181</v>
      </c>
      <c r="E17" s="8">
        <v>382.55</v>
      </c>
      <c r="F17" s="8">
        <v>379.35</v>
      </c>
      <c r="G17" s="8">
        <v>385.35000610351562</v>
      </c>
      <c r="H17" s="5">
        <f t="shared" si="0"/>
        <v>1.5816544361448859E-2</v>
      </c>
      <c r="I17" s="5">
        <f t="shared" si="1"/>
        <v>7.319320620874592E-3</v>
      </c>
      <c r="J17" s="5">
        <v>-3.3503184713375767E-2</v>
      </c>
      <c r="K17" s="5">
        <v>0.92</v>
      </c>
      <c r="L17" s="5">
        <v>0.7</v>
      </c>
      <c r="M17" s="3" t="s">
        <v>47</v>
      </c>
    </row>
    <row r="18" spans="1:13">
      <c r="A18" s="3" t="s">
        <v>1721</v>
      </c>
      <c r="B18" s="3" t="s">
        <v>1722</v>
      </c>
      <c r="C18" s="3" t="s">
        <v>90</v>
      </c>
      <c r="D18" s="3" t="s">
        <v>90</v>
      </c>
      <c r="E18" s="8">
        <v>77.66</v>
      </c>
      <c r="F18" s="8">
        <v>77.61</v>
      </c>
      <c r="G18" s="8">
        <v>78.069999694824219</v>
      </c>
      <c r="H18" s="5">
        <f t="shared" si="0"/>
        <v>5.9270673215334746E-3</v>
      </c>
      <c r="I18" s="5">
        <f t="shared" si="1"/>
        <v>5.2794191968095205E-3</v>
      </c>
      <c r="J18" s="5">
        <v>-5.2987742594484022E-2</v>
      </c>
      <c r="K18" s="5">
        <v>0.74</v>
      </c>
      <c r="L18" s="5">
        <v>0.68</v>
      </c>
      <c r="M18" s="3" t="s">
        <v>63</v>
      </c>
    </row>
    <row r="19" spans="1:13">
      <c r="A19" s="3" t="s">
        <v>1723</v>
      </c>
      <c r="B19" s="3" t="s">
        <v>1724</v>
      </c>
      <c r="C19" s="3" t="s">
        <v>61</v>
      </c>
      <c r="D19" s="3" t="s">
        <v>77</v>
      </c>
      <c r="E19" s="8">
        <v>49.01</v>
      </c>
      <c r="F19" s="8">
        <v>48.88</v>
      </c>
      <c r="G19" s="8">
        <v>49.229999542236328</v>
      </c>
      <c r="H19" s="5">
        <f t="shared" si="0"/>
        <v>7.1603834336400052E-3</v>
      </c>
      <c r="I19" s="5">
        <f t="shared" si="1"/>
        <v>4.4888704802352741E-3</v>
      </c>
      <c r="J19" s="5">
        <v>-1.9791879208324811E-2</v>
      </c>
      <c r="K19" s="5">
        <v>0.8</v>
      </c>
      <c r="L19" s="5">
        <v>0.66</v>
      </c>
      <c r="M19" s="3" t="s">
        <v>63</v>
      </c>
    </row>
    <row r="20" spans="1:13">
      <c r="A20" s="3" t="s">
        <v>1725</v>
      </c>
      <c r="B20" s="3" t="s">
        <v>1726</v>
      </c>
      <c r="C20" s="3" t="s">
        <v>71</v>
      </c>
      <c r="D20" s="3" t="s">
        <v>72</v>
      </c>
      <c r="E20" s="8">
        <v>277.89999999999998</v>
      </c>
      <c r="F20" s="8">
        <v>283.8</v>
      </c>
      <c r="G20" s="8">
        <v>278.39999389648437</v>
      </c>
      <c r="H20" s="5">
        <f t="shared" si="0"/>
        <v>-1.9027505650160759E-2</v>
      </c>
      <c r="I20" s="5">
        <f t="shared" si="1"/>
        <v>1.7991863853343837E-3</v>
      </c>
      <c r="J20" s="5">
        <v>-4.3956064915918969E-2</v>
      </c>
      <c r="K20" s="5">
        <v>0.12</v>
      </c>
      <c r="L20" s="5">
        <v>0.64</v>
      </c>
      <c r="M20" s="3" t="s">
        <v>283</v>
      </c>
    </row>
    <row r="21" spans="1:13">
      <c r="A21" s="3" t="s">
        <v>1727</v>
      </c>
      <c r="B21" s="3" t="s">
        <v>1728</v>
      </c>
      <c r="C21" s="3" t="s">
        <v>90</v>
      </c>
      <c r="D21" s="3" t="s">
        <v>90</v>
      </c>
      <c r="E21" s="8">
        <v>23.93</v>
      </c>
      <c r="F21" s="8">
        <v>23.664999999999999</v>
      </c>
      <c r="G21" s="8">
        <v>23.829999923706051</v>
      </c>
      <c r="H21" s="5">
        <f t="shared" si="0"/>
        <v>6.9723187705916789E-3</v>
      </c>
      <c r="I21" s="5">
        <f t="shared" si="1"/>
        <v>-4.1788581819451887E-3</v>
      </c>
      <c r="J21" s="5">
        <v>-7.4949083503054958E-2</v>
      </c>
      <c r="K21" s="5">
        <v>0.78</v>
      </c>
      <c r="L21" s="5">
        <v>0.62</v>
      </c>
      <c r="M21" s="3" t="s">
        <v>63</v>
      </c>
    </row>
    <row r="22" spans="1:13">
      <c r="A22" s="3" t="s">
        <v>1729</v>
      </c>
      <c r="B22" s="3" t="s">
        <v>1730</v>
      </c>
      <c r="C22" s="3" t="s">
        <v>45</v>
      </c>
      <c r="D22" s="3" t="s">
        <v>345</v>
      </c>
      <c r="E22" s="8">
        <v>55.32</v>
      </c>
      <c r="F22" s="8">
        <v>55.58</v>
      </c>
      <c r="G22" s="8">
        <v>54.720001220703118</v>
      </c>
      <c r="H22" s="5">
        <f t="shared" si="0"/>
        <v>-1.5473169832617484E-2</v>
      </c>
      <c r="I22" s="5">
        <f t="shared" si="1"/>
        <v>-1.0845964918598794E-2</v>
      </c>
      <c r="J22" s="5">
        <v>-3.7297656215638408E-2</v>
      </c>
      <c r="K22" s="5">
        <v>0.2</v>
      </c>
      <c r="L22" s="5">
        <v>0.6</v>
      </c>
      <c r="M22" s="3" t="s">
        <v>47</v>
      </c>
    </row>
    <row r="23" spans="1:13">
      <c r="A23" s="3" t="s">
        <v>1731</v>
      </c>
      <c r="B23" s="3" t="s">
        <v>1732</v>
      </c>
      <c r="C23" s="3" t="s">
        <v>45</v>
      </c>
      <c r="D23" s="3" t="s">
        <v>46</v>
      </c>
      <c r="E23" s="8">
        <v>276.64999999999998</v>
      </c>
      <c r="F23" s="8">
        <v>277.85000000000002</v>
      </c>
      <c r="G23" s="8">
        <v>273.54998779296881</v>
      </c>
      <c r="H23" s="5">
        <f t="shared" si="0"/>
        <v>-1.5476020180065553E-2</v>
      </c>
      <c r="I23" s="5">
        <f t="shared" si="1"/>
        <v>-1.120553843134342E-2</v>
      </c>
      <c r="J23" s="5">
        <v>-5.6236026244717019E-2</v>
      </c>
      <c r="K23" s="5">
        <v>0.18</v>
      </c>
      <c r="L23" s="5">
        <v>0.57999999999999996</v>
      </c>
      <c r="M23" s="3" t="s">
        <v>47</v>
      </c>
    </row>
    <row r="24" spans="1:13">
      <c r="A24" s="3" t="s">
        <v>1733</v>
      </c>
      <c r="B24" s="3" t="s">
        <v>1734</v>
      </c>
      <c r="C24" s="3" t="s">
        <v>57</v>
      </c>
      <c r="D24" s="3" t="s">
        <v>376</v>
      </c>
      <c r="E24" s="8">
        <v>362.5</v>
      </c>
      <c r="F24" s="8">
        <v>355.5</v>
      </c>
      <c r="G24" s="8">
        <v>357.95001220703119</v>
      </c>
      <c r="H24" s="5">
        <f t="shared" si="0"/>
        <v>6.89173616605121E-3</v>
      </c>
      <c r="I24" s="5">
        <f t="shared" si="1"/>
        <v>-1.2551690463362242E-2</v>
      </c>
      <c r="J24" s="5">
        <v>-4.2037186742118093E-2</v>
      </c>
      <c r="K24" s="5">
        <v>0.76</v>
      </c>
      <c r="L24" s="5">
        <v>0.56000000000000005</v>
      </c>
      <c r="M24" s="3" t="s">
        <v>63</v>
      </c>
    </row>
    <row r="25" spans="1:13">
      <c r="A25" s="3" t="s">
        <v>1735</v>
      </c>
      <c r="B25" s="3" t="s">
        <v>1736</v>
      </c>
      <c r="C25" s="3" t="s">
        <v>57</v>
      </c>
      <c r="D25" s="3" t="s">
        <v>376</v>
      </c>
      <c r="E25" s="8">
        <v>74.84</v>
      </c>
      <c r="F25" s="8">
        <v>76.58</v>
      </c>
      <c r="G25" s="8">
        <v>73.839996337890625</v>
      </c>
      <c r="H25" s="5">
        <f t="shared" si="0"/>
        <v>-3.5779624733734305E-2</v>
      </c>
      <c r="I25" s="5">
        <f t="shared" si="1"/>
        <v>-1.3361887521504245E-2</v>
      </c>
      <c r="J25" s="5">
        <v>-4.9433620778957077E-2</v>
      </c>
      <c r="K25" s="5">
        <v>0.02</v>
      </c>
      <c r="L25" s="5">
        <v>0.54</v>
      </c>
      <c r="M25" s="3" t="s">
        <v>47</v>
      </c>
    </row>
    <row r="26" spans="1:13">
      <c r="A26" s="3" t="s">
        <v>1737</v>
      </c>
      <c r="B26" s="3" t="s">
        <v>1738</v>
      </c>
      <c r="C26" s="3" t="s">
        <v>71</v>
      </c>
      <c r="D26" s="3" t="s">
        <v>146</v>
      </c>
      <c r="E26" s="8">
        <v>43.98</v>
      </c>
      <c r="F26" s="8">
        <v>43.71</v>
      </c>
      <c r="G26" s="8">
        <v>43.310001373291023</v>
      </c>
      <c r="H26" s="5">
        <f t="shared" si="0"/>
        <v>-9.1511925579724762E-3</v>
      </c>
      <c r="I26" s="5">
        <f t="shared" si="1"/>
        <v>-1.5234166137084504E-2</v>
      </c>
      <c r="J26" s="5">
        <v>-2.6978009521650411E-2</v>
      </c>
      <c r="K26" s="5">
        <v>0.3</v>
      </c>
      <c r="L26" s="5">
        <v>0.52</v>
      </c>
      <c r="M26" s="3" t="s">
        <v>47</v>
      </c>
    </row>
    <row r="27" spans="1:13">
      <c r="A27" s="3" t="s">
        <v>1739</v>
      </c>
      <c r="B27" s="3" t="s">
        <v>1740</v>
      </c>
      <c r="C27" s="3" t="s">
        <v>61</v>
      </c>
      <c r="D27" s="3" t="s">
        <v>77</v>
      </c>
      <c r="E27" s="8">
        <v>78.56</v>
      </c>
      <c r="F27" s="8">
        <v>76.86</v>
      </c>
      <c r="G27" s="8">
        <v>77.300003051757812</v>
      </c>
      <c r="H27" s="5">
        <f t="shared" si="0"/>
        <v>5.7247339546944165E-3</v>
      </c>
      <c r="I27" s="5">
        <f t="shared" si="1"/>
        <v>-1.6038657691473945E-2</v>
      </c>
      <c r="J27" s="5">
        <v>-2.6982518368380951E-2</v>
      </c>
      <c r="K27" s="5">
        <v>0.72</v>
      </c>
      <c r="L27" s="5">
        <v>0.5</v>
      </c>
      <c r="M27" s="3" t="s">
        <v>63</v>
      </c>
    </row>
    <row r="28" spans="1:13">
      <c r="A28" s="3" t="s">
        <v>1741</v>
      </c>
      <c r="B28" s="3" t="s">
        <v>1742</v>
      </c>
      <c r="C28" s="3" t="s">
        <v>71</v>
      </c>
      <c r="D28" s="3" t="s">
        <v>168</v>
      </c>
      <c r="E28" s="8">
        <v>6.7869999999999999</v>
      </c>
      <c r="F28" s="8">
        <v>6.6680000000000001</v>
      </c>
      <c r="G28" s="8">
        <v>6.6710000038146973</v>
      </c>
      <c r="H28" s="5">
        <f t="shared" si="0"/>
        <v>4.4991059008658851E-4</v>
      </c>
      <c r="I28" s="5">
        <f t="shared" si="1"/>
        <v>-1.7091497890865281E-2</v>
      </c>
      <c r="J28" s="5">
        <v>-2.813001020259431E-2</v>
      </c>
      <c r="K28" s="5">
        <v>0.57999999999999996</v>
      </c>
      <c r="L28" s="5">
        <v>0.48</v>
      </c>
      <c r="M28" s="3" t="s">
        <v>63</v>
      </c>
    </row>
    <row r="29" spans="1:13">
      <c r="A29" s="3" t="s">
        <v>1743</v>
      </c>
      <c r="B29" s="3" t="s">
        <v>1744</v>
      </c>
      <c r="C29" s="3" t="s">
        <v>251</v>
      </c>
      <c r="D29" s="3" t="s">
        <v>251</v>
      </c>
      <c r="E29" s="8">
        <v>20.04</v>
      </c>
      <c r="F29" s="8">
        <v>19.89</v>
      </c>
      <c r="G29" s="8">
        <v>19.684999465942379</v>
      </c>
      <c r="H29" s="5">
        <f t="shared" si="0"/>
        <v>-1.0306713627834196E-2</v>
      </c>
      <c r="I29" s="5">
        <f t="shared" si="1"/>
        <v>-1.7714597507865304E-2</v>
      </c>
      <c r="J29" s="5">
        <v>-2.9339276827298869E-2</v>
      </c>
      <c r="K29" s="5">
        <v>0.28000000000000003</v>
      </c>
      <c r="L29" s="5">
        <v>0.46</v>
      </c>
      <c r="M29" s="3" t="s">
        <v>47</v>
      </c>
    </row>
    <row r="30" spans="1:13">
      <c r="A30" s="3" t="s">
        <v>1745</v>
      </c>
      <c r="B30" s="3" t="s">
        <v>1746</v>
      </c>
      <c r="C30" s="3" t="s">
        <v>71</v>
      </c>
      <c r="D30" s="3" t="s">
        <v>72</v>
      </c>
      <c r="E30" s="8">
        <v>1054.5999999999999</v>
      </c>
      <c r="F30" s="8">
        <v>1006.8</v>
      </c>
      <c r="G30" s="8">
        <v>1033.400024414062</v>
      </c>
      <c r="H30" s="5">
        <f t="shared" si="0"/>
        <v>2.6420365925766909E-2</v>
      </c>
      <c r="I30" s="5">
        <f t="shared" si="1"/>
        <v>-2.0102385346043916E-2</v>
      </c>
      <c r="J30" s="5">
        <v>-7.6669112252384597E-2</v>
      </c>
      <c r="K30" s="5">
        <v>1</v>
      </c>
      <c r="L30" s="5">
        <v>0.44</v>
      </c>
      <c r="M30" s="3" t="s">
        <v>283</v>
      </c>
    </row>
    <row r="31" spans="1:13">
      <c r="A31" s="3" t="s">
        <v>1747</v>
      </c>
      <c r="B31" s="3" t="s">
        <v>1748</v>
      </c>
      <c r="C31" s="3" t="s">
        <v>95</v>
      </c>
      <c r="D31" s="3" t="s">
        <v>99</v>
      </c>
      <c r="E31" s="8">
        <v>65.680000000000007</v>
      </c>
      <c r="F31" s="8">
        <v>64.540000000000006</v>
      </c>
      <c r="G31" s="8">
        <v>64.279998779296875</v>
      </c>
      <c r="H31" s="5">
        <f t="shared" si="0"/>
        <v>-4.0285283654033499E-3</v>
      </c>
      <c r="I31" s="5">
        <f t="shared" si="1"/>
        <v>-2.131548752593071E-2</v>
      </c>
      <c r="J31" s="5">
        <v>-3.0759970155354591E-2</v>
      </c>
      <c r="K31" s="5">
        <v>0.46</v>
      </c>
      <c r="L31" s="5">
        <v>0.42</v>
      </c>
      <c r="M31" s="3" t="s">
        <v>63</v>
      </c>
    </row>
    <row r="32" spans="1:13">
      <c r="A32" s="3" t="s">
        <v>1749</v>
      </c>
      <c r="B32" s="3" t="s">
        <v>1750</v>
      </c>
      <c r="C32" s="3" t="s">
        <v>40</v>
      </c>
      <c r="D32" s="3" t="s">
        <v>41</v>
      </c>
      <c r="E32" s="8">
        <v>185.9</v>
      </c>
      <c r="F32" s="8">
        <v>184.26</v>
      </c>
      <c r="G32" s="8">
        <v>181.53999328613281</v>
      </c>
      <c r="H32" s="5">
        <f t="shared" si="0"/>
        <v>-1.4761786138430377E-2</v>
      </c>
      <c r="I32" s="5">
        <f t="shared" si="1"/>
        <v>-2.3453505722792811E-2</v>
      </c>
      <c r="J32" s="5">
        <v>-5.1118579938674413E-2</v>
      </c>
      <c r="K32" s="5">
        <v>0.22</v>
      </c>
      <c r="L32" s="5">
        <v>0.4</v>
      </c>
      <c r="M32" s="3" t="s">
        <v>47</v>
      </c>
    </row>
    <row r="33" spans="1:13">
      <c r="A33" s="3" t="s">
        <v>1751</v>
      </c>
      <c r="B33" s="3" t="s">
        <v>1752</v>
      </c>
      <c r="C33" s="3" t="s">
        <v>45</v>
      </c>
      <c r="D33" s="3" t="s">
        <v>46</v>
      </c>
      <c r="E33" s="8">
        <v>294</v>
      </c>
      <c r="F33" s="8">
        <v>288.2</v>
      </c>
      <c r="G33" s="8">
        <v>286.95001220703119</v>
      </c>
      <c r="H33" s="5">
        <f t="shared" si="0"/>
        <v>-4.3372234315364189E-3</v>
      </c>
      <c r="I33" s="5">
        <f t="shared" si="1"/>
        <v>-2.3979550316220455E-2</v>
      </c>
      <c r="J33" s="5">
        <v>-4.9047184069490712E-2</v>
      </c>
      <c r="K33" s="5">
        <v>0.42</v>
      </c>
      <c r="L33" s="5">
        <v>0.38</v>
      </c>
      <c r="M33" s="3" t="s">
        <v>63</v>
      </c>
    </row>
    <row r="34" spans="1:13">
      <c r="A34" s="3" t="s">
        <v>1753</v>
      </c>
      <c r="B34" s="3" t="s">
        <v>1754</v>
      </c>
      <c r="C34" s="3" t="s">
        <v>80</v>
      </c>
      <c r="D34" s="3" t="s">
        <v>137</v>
      </c>
      <c r="E34" s="8">
        <v>29.18</v>
      </c>
      <c r="F34" s="8">
        <v>28.38</v>
      </c>
      <c r="G34" s="8">
        <v>28.45999908447266</v>
      </c>
      <c r="H34" s="5">
        <f t="shared" ref="H34:H65" si="2">IFERROR(G34/F34-1,"")</f>
        <v>2.8188542802205507E-3</v>
      </c>
      <c r="I34" s="5">
        <f t="shared" ref="I34:I51" si="3">IFERROR(G34/E34-1,"")</f>
        <v>-2.4674465919374278E-2</v>
      </c>
      <c r="J34" s="5">
        <v>-3.3927347498286409E-2</v>
      </c>
      <c r="K34" s="5">
        <v>0.62</v>
      </c>
      <c r="L34" s="5">
        <v>0.36</v>
      </c>
      <c r="M34" s="3" t="s">
        <v>63</v>
      </c>
    </row>
    <row r="35" spans="1:13">
      <c r="A35" s="3" t="s">
        <v>1755</v>
      </c>
      <c r="B35" s="3" t="s">
        <v>1756</v>
      </c>
      <c r="C35" s="3" t="s">
        <v>61</v>
      </c>
      <c r="D35" s="3" t="s">
        <v>62</v>
      </c>
      <c r="E35" s="8">
        <v>163.44999999999999</v>
      </c>
      <c r="F35" s="8">
        <v>159.55000000000001</v>
      </c>
      <c r="G35" s="8">
        <v>158.8999938964844</v>
      </c>
      <c r="H35" s="5">
        <f t="shared" si="2"/>
        <v>-4.0739962614578795E-3</v>
      </c>
      <c r="I35" s="5">
        <f t="shared" si="3"/>
        <v>-2.7837296442432491E-2</v>
      </c>
      <c r="J35" s="5">
        <v>-3.6402569593147693E-2</v>
      </c>
      <c r="K35" s="5">
        <v>0.44</v>
      </c>
      <c r="L35" s="5">
        <v>0.34</v>
      </c>
      <c r="M35" s="3" t="s">
        <v>63</v>
      </c>
    </row>
    <row r="36" spans="1:13">
      <c r="A36" s="3" t="s">
        <v>1757</v>
      </c>
      <c r="B36" s="3" t="s">
        <v>1758</v>
      </c>
      <c r="C36" s="3" t="s">
        <v>95</v>
      </c>
      <c r="D36" s="3" t="s">
        <v>96</v>
      </c>
      <c r="E36" s="8">
        <v>31.55</v>
      </c>
      <c r="F36" s="8">
        <v>30.84</v>
      </c>
      <c r="G36" s="8">
        <v>30.670000076293949</v>
      </c>
      <c r="H36" s="5">
        <f t="shared" si="2"/>
        <v>-5.5123191863181153E-3</v>
      </c>
      <c r="I36" s="5">
        <f t="shared" si="3"/>
        <v>-2.7892232130144246E-2</v>
      </c>
      <c r="J36" s="5">
        <v>-3.137876386687799E-2</v>
      </c>
      <c r="K36" s="5">
        <v>0.36</v>
      </c>
      <c r="L36" s="5">
        <v>0.32</v>
      </c>
      <c r="M36" s="3" t="s">
        <v>63</v>
      </c>
    </row>
    <row r="37" spans="1:13">
      <c r="A37" s="3" t="s">
        <v>1759</v>
      </c>
      <c r="B37" s="3" t="s">
        <v>1760</v>
      </c>
      <c r="C37" s="3" t="s">
        <v>57</v>
      </c>
      <c r="D37" s="3" t="s">
        <v>112</v>
      </c>
      <c r="E37" s="8">
        <v>37.895000000000003</v>
      </c>
      <c r="F37" s="8">
        <v>37.35</v>
      </c>
      <c r="G37" s="8">
        <v>36.810001373291023</v>
      </c>
      <c r="H37" s="5">
        <f t="shared" si="2"/>
        <v>-1.4457794557134585E-2</v>
      </c>
      <c r="I37" s="5">
        <f t="shared" si="3"/>
        <v>-2.8631709373505232E-2</v>
      </c>
      <c r="J37" s="5">
        <v>-4.8591331783638503E-2</v>
      </c>
      <c r="K37" s="5">
        <v>0.26</v>
      </c>
      <c r="L37" s="5">
        <v>0.3</v>
      </c>
      <c r="M37" s="3" t="s">
        <v>47</v>
      </c>
    </row>
    <row r="38" spans="1:13">
      <c r="A38" s="3" t="s">
        <v>1761</v>
      </c>
      <c r="B38" s="3" t="s">
        <v>1762</v>
      </c>
      <c r="C38" s="3" t="s">
        <v>57</v>
      </c>
      <c r="D38" s="3" t="s">
        <v>338</v>
      </c>
      <c r="E38" s="8">
        <v>1582.5</v>
      </c>
      <c r="F38" s="8">
        <v>1542.5</v>
      </c>
      <c r="G38" s="8">
        <v>1537</v>
      </c>
      <c r="H38" s="5">
        <f t="shared" si="2"/>
        <v>-3.5656401944894611E-3</v>
      </c>
      <c r="I38" s="5">
        <f t="shared" si="3"/>
        <v>-2.8751974723538742E-2</v>
      </c>
      <c r="J38" s="5">
        <v>-3.8172715894868592E-2</v>
      </c>
      <c r="K38" s="5">
        <v>0.48</v>
      </c>
      <c r="L38" s="5">
        <v>0.28000000000000003</v>
      </c>
      <c r="M38" s="3" t="s">
        <v>63</v>
      </c>
    </row>
    <row r="39" spans="1:13">
      <c r="A39" s="3" t="s">
        <v>1763</v>
      </c>
      <c r="B39" s="3" t="s">
        <v>1764</v>
      </c>
      <c r="C39" s="3" t="s">
        <v>57</v>
      </c>
      <c r="D39" s="3" t="s">
        <v>112</v>
      </c>
      <c r="E39" s="8">
        <v>58.28</v>
      </c>
      <c r="F39" s="8">
        <v>57.5</v>
      </c>
      <c r="G39" s="8">
        <v>56.360000610351563</v>
      </c>
      <c r="H39" s="5">
        <f t="shared" si="2"/>
        <v>-1.9826076341711962E-2</v>
      </c>
      <c r="I39" s="5">
        <f t="shared" si="3"/>
        <v>-3.2944395841599805E-2</v>
      </c>
      <c r="J39" s="5">
        <v>-3.5261886163102329E-2</v>
      </c>
      <c r="K39" s="5">
        <v>0.08</v>
      </c>
      <c r="L39" s="5">
        <v>0.26</v>
      </c>
      <c r="M39" s="3" t="s">
        <v>47</v>
      </c>
    </row>
    <row r="40" spans="1:13">
      <c r="A40" s="3" t="s">
        <v>1765</v>
      </c>
      <c r="B40" s="3" t="s">
        <v>1766</v>
      </c>
      <c r="C40" s="3" t="s">
        <v>71</v>
      </c>
      <c r="D40" s="3" t="s">
        <v>168</v>
      </c>
      <c r="E40" s="8">
        <v>106.78</v>
      </c>
      <c r="F40" s="8">
        <v>102.6</v>
      </c>
      <c r="G40" s="8">
        <v>103.1600036621094</v>
      </c>
      <c r="H40" s="5">
        <f t="shared" si="2"/>
        <v>5.4581253616901027E-3</v>
      </c>
      <c r="I40" s="5">
        <f t="shared" si="3"/>
        <v>-3.3901445382006012E-2</v>
      </c>
      <c r="J40" s="5">
        <v>-6.3627906976744253E-2</v>
      </c>
      <c r="K40" s="5">
        <v>0.7</v>
      </c>
      <c r="L40" s="5">
        <v>0.24</v>
      </c>
      <c r="M40" s="3" t="s">
        <v>63</v>
      </c>
    </row>
    <row r="41" spans="1:13">
      <c r="A41" s="3" t="s">
        <v>1767</v>
      </c>
      <c r="B41" s="3" t="s">
        <v>1768</v>
      </c>
      <c r="C41" s="3" t="s">
        <v>57</v>
      </c>
      <c r="D41" s="3" t="s">
        <v>338</v>
      </c>
      <c r="E41" s="8">
        <v>456</v>
      </c>
      <c r="F41" s="8">
        <v>445</v>
      </c>
      <c r="G41" s="8">
        <v>438.54998779296881</v>
      </c>
      <c r="H41" s="5">
        <f t="shared" si="2"/>
        <v>-1.449440945400271E-2</v>
      </c>
      <c r="I41" s="5">
        <f t="shared" si="3"/>
        <v>-3.8267570629454406E-2</v>
      </c>
      <c r="J41" s="5">
        <v>-4.5281402431764928E-2</v>
      </c>
      <c r="K41" s="5">
        <v>0.24</v>
      </c>
      <c r="L41" s="5">
        <v>0.22</v>
      </c>
      <c r="M41" s="3" t="s">
        <v>47</v>
      </c>
    </row>
    <row r="42" spans="1:13">
      <c r="A42" s="3" t="s">
        <v>1769</v>
      </c>
      <c r="B42" s="3" t="s">
        <v>1770</v>
      </c>
      <c r="C42" s="3" t="s">
        <v>57</v>
      </c>
      <c r="D42" s="3" t="s">
        <v>338</v>
      </c>
      <c r="E42" s="8">
        <v>155.9</v>
      </c>
      <c r="F42" s="8">
        <v>147.94999999999999</v>
      </c>
      <c r="G42" s="8">
        <v>149.8999938964844</v>
      </c>
      <c r="H42" s="5">
        <f t="shared" si="2"/>
        <v>1.3180087167856902E-2</v>
      </c>
      <c r="I42" s="5">
        <f t="shared" si="3"/>
        <v>-3.8486248258599143E-2</v>
      </c>
      <c r="J42" s="5">
        <v>-5.0994227068633879E-2</v>
      </c>
      <c r="K42" s="5">
        <v>0.9</v>
      </c>
      <c r="L42" s="5">
        <v>0.2</v>
      </c>
      <c r="M42" s="3" t="s">
        <v>879</v>
      </c>
    </row>
    <row r="43" spans="1:13">
      <c r="A43" s="3" t="s">
        <v>1771</v>
      </c>
      <c r="B43" s="3" t="s">
        <v>1772</v>
      </c>
      <c r="C43" s="3" t="s">
        <v>45</v>
      </c>
      <c r="D43" s="3" t="s">
        <v>254</v>
      </c>
      <c r="E43" s="8">
        <v>70.62</v>
      </c>
      <c r="F43" s="8">
        <v>69.78</v>
      </c>
      <c r="G43" s="8">
        <v>67.580001831054688</v>
      </c>
      <c r="H43" s="5">
        <f t="shared" si="2"/>
        <v>-3.1527632114435544E-2</v>
      </c>
      <c r="I43" s="5">
        <f t="shared" si="3"/>
        <v>-4.3047269455470327E-2</v>
      </c>
      <c r="J43" s="5">
        <v>-5.7461620208442372E-2</v>
      </c>
      <c r="K43" s="5">
        <v>0.04</v>
      </c>
      <c r="L43" s="5">
        <v>0.18</v>
      </c>
      <c r="M43" s="3" t="s">
        <v>47</v>
      </c>
    </row>
    <row r="44" spans="1:13">
      <c r="A44" s="3" t="s">
        <v>1773</v>
      </c>
      <c r="B44" s="3" t="s">
        <v>1774</v>
      </c>
      <c r="C44" s="3" t="s">
        <v>40</v>
      </c>
      <c r="D44" s="3" t="s">
        <v>161</v>
      </c>
      <c r="E44" s="8">
        <v>1507.6</v>
      </c>
      <c r="F44" s="8">
        <v>1435.4</v>
      </c>
      <c r="G44" s="8">
        <v>1440.400024414062</v>
      </c>
      <c r="H44" s="5">
        <f t="shared" si="2"/>
        <v>3.4833665975073647E-3</v>
      </c>
      <c r="I44" s="5">
        <f t="shared" si="3"/>
        <v>-4.4574141407493939E-2</v>
      </c>
      <c r="J44" s="5">
        <v>-4.7890687184929608E-2</v>
      </c>
      <c r="K44" s="5">
        <v>0.64</v>
      </c>
      <c r="L44" s="5">
        <v>0.16</v>
      </c>
      <c r="M44" s="3" t="s">
        <v>63</v>
      </c>
    </row>
    <row r="45" spans="1:13">
      <c r="A45" s="3" t="s">
        <v>1775</v>
      </c>
      <c r="B45" s="3" t="s">
        <v>1776</v>
      </c>
      <c r="C45" s="3" t="s">
        <v>251</v>
      </c>
      <c r="D45" s="3" t="s">
        <v>251</v>
      </c>
      <c r="E45" s="8">
        <v>9.4749999999999996</v>
      </c>
      <c r="F45" s="8">
        <v>9.24</v>
      </c>
      <c r="G45" s="8">
        <v>8.9940004348754883</v>
      </c>
      <c r="H45" s="5">
        <f t="shared" si="2"/>
        <v>-2.6623329558929876E-2</v>
      </c>
      <c r="I45" s="5">
        <f t="shared" si="3"/>
        <v>-5.076512560680857E-2</v>
      </c>
      <c r="J45" s="5">
        <v>-5.8417039899969818E-2</v>
      </c>
      <c r="K45" s="5">
        <v>0.06</v>
      </c>
      <c r="L45" s="5">
        <v>0.14000000000000001</v>
      </c>
      <c r="M45" s="3" t="s">
        <v>47</v>
      </c>
    </row>
    <row r="46" spans="1:13">
      <c r="A46" s="3" t="s">
        <v>1777</v>
      </c>
      <c r="B46" s="3" t="s">
        <v>1778</v>
      </c>
      <c r="C46" s="3" t="s">
        <v>45</v>
      </c>
      <c r="D46" s="3" t="s">
        <v>46</v>
      </c>
      <c r="E46" s="8">
        <v>349.1</v>
      </c>
      <c r="F46" s="8">
        <v>331.6</v>
      </c>
      <c r="G46" s="8">
        <v>330.79998779296881</v>
      </c>
      <c r="H46" s="5">
        <f t="shared" si="2"/>
        <v>-2.4125820477418625E-3</v>
      </c>
      <c r="I46" s="5">
        <f t="shared" si="3"/>
        <v>-5.242054484970271E-2</v>
      </c>
      <c r="J46" s="5">
        <v>-5.5936107896778497E-2</v>
      </c>
      <c r="K46" s="5">
        <v>0.52</v>
      </c>
      <c r="L46" s="5">
        <v>0.12</v>
      </c>
      <c r="M46" s="3" t="s">
        <v>63</v>
      </c>
    </row>
    <row r="47" spans="1:13">
      <c r="A47" s="3" t="s">
        <v>1779</v>
      </c>
      <c r="B47" s="3" t="s">
        <v>1780</v>
      </c>
      <c r="C47" s="3" t="s">
        <v>45</v>
      </c>
      <c r="D47" s="3" t="s">
        <v>46</v>
      </c>
      <c r="E47" s="8">
        <v>208.05</v>
      </c>
      <c r="F47" s="8">
        <v>196.18</v>
      </c>
      <c r="G47" s="8">
        <v>197.13999938964841</v>
      </c>
      <c r="H47" s="5">
        <f t="shared" si="2"/>
        <v>4.8934620738525503E-3</v>
      </c>
      <c r="I47" s="5">
        <f t="shared" si="3"/>
        <v>-5.2439320405439083E-2</v>
      </c>
      <c r="J47" s="5">
        <v>-5.7053592886325388E-2</v>
      </c>
      <c r="K47" s="5">
        <v>0.66</v>
      </c>
      <c r="L47" s="5">
        <v>0.1</v>
      </c>
      <c r="M47" s="3" t="s">
        <v>63</v>
      </c>
    </row>
    <row r="48" spans="1:13">
      <c r="A48" s="3" t="s">
        <v>1781</v>
      </c>
      <c r="B48" s="3" t="s">
        <v>1782</v>
      </c>
      <c r="C48" s="3" t="s">
        <v>45</v>
      </c>
      <c r="D48" s="3" t="s">
        <v>46</v>
      </c>
      <c r="E48" s="8">
        <v>1178.8</v>
      </c>
      <c r="F48" s="8">
        <v>1079.8</v>
      </c>
      <c r="G48" s="8">
        <v>1097.199951171875</v>
      </c>
      <c r="H48" s="5">
        <f t="shared" si="2"/>
        <v>1.6114049983214418E-2</v>
      </c>
      <c r="I48" s="5">
        <f t="shared" si="3"/>
        <v>-6.9222980003499246E-2</v>
      </c>
      <c r="J48" s="5">
        <v>-8.3983712249745546E-2</v>
      </c>
      <c r="K48" s="5">
        <v>0.94</v>
      </c>
      <c r="L48" s="5">
        <v>0.08</v>
      </c>
      <c r="M48" s="3" t="s">
        <v>879</v>
      </c>
    </row>
    <row r="49" spans="1:13">
      <c r="A49" s="3" t="s">
        <v>1783</v>
      </c>
      <c r="B49" s="3" t="s">
        <v>1784</v>
      </c>
      <c r="C49" s="3" t="s">
        <v>45</v>
      </c>
      <c r="D49" s="3" t="s">
        <v>46</v>
      </c>
      <c r="E49" s="8">
        <v>120.35</v>
      </c>
      <c r="F49" s="8">
        <v>114.1</v>
      </c>
      <c r="G49" s="8">
        <v>112</v>
      </c>
      <c r="H49" s="5">
        <f t="shared" si="2"/>
        <v>-1.8404907975460127E-2</v>
      </c>
      <c r="I49" s="5">
        <f t="shared" si="3"/>
        <v>-6.9380972164520105E-2</v>
      </c>
      <c r="J49" s="5">
        <v>-6.9380972164520105E-2</v>
      </c>
      <c r="K49" s="5">
        <v>0.14000000000000001</v>
      </c>
      <c r="L49" s="5">
        <v>0.06</v>
      </c>
      <c r="M49" s="3" t="s">
        <v>47</v>
      </c>
    </row>
    <row r="50" spans="1:13">
      <c r="A50" s="3" t="s">
        <v>1785</v>
      </c>
      <c r="B50" s="3" t="s">
        <v>1786</v>
      </c>
      <c r="C50" s="3" t="s">
        <v>45</v>
      </c>
      <c r="D50" s="3" t="s">
        <v>46</v>
      </c>
      <c r="E50" s="8">
        <v>80.8</v>
      </c>
      <c r="F50" s="8">
        <v>76.48</v>
      </c>
      <c r="G50" s="8">
        <v>75</v>
      </c>
      <c r="H50" s="5">
        <f t="shared" si="2"/>
        <v>-1.9351464435146459E-2</v>
      </c>
      <c r="I50" s="5">
        <f t="shared" si="3"/>
        <v>-7.1782178217821735E-2</v>
      </c>
      <c r="J50" s="5">
        <v>-8.8699878493317064E-2</v>
      </c>
      <c r="K50" s="5">
        <v>0.1</v>
      </c>
      <c r="L50" s="5">
        <v>0.04</v>
      </c>
      <c r="M50" s="3" t="s">
        <v>47</v>
      </c>
    </row>
    <row r="51" spans="1:13">
      <c r="A51" s="3" t="s">
        <v>1787</v>
      </c>
      <c r="B51" s="3" t="s">
        <v>1788</v>
      </c>
      <c r="C51" s="3" t="s">
        <v>45</v>
      </c>
      <c r="D51" s="3" t="s">
        <v>46</v>
      </c>
      <c r="E51" s="8">
        <v>154.34</v>
      </c>
      <c r="F51" s="8">
        <v>141.08000000000001</v>
      </c>
      <c r="G51" s="8">
        <v>141.8399963378906</v>
      </c>
      <c r="H51" s="5">
        <f t="shared" si="2"/>
        <v>5.3869885022015396E-3</v>
      </c>
      <c r="I51" s="5">
        <f t="shared" si="3"/>
        <v>-8.0990045756831663E-2</v>
      </c>
      <c r="J51" s="5">
        <v>-8.5914215368666502E-2</v>
      </c>
      <c r="K51" s="5">
        <v>0.68</v>
      </c>
      <c r="L51" s="5">
        <v>0.02</v>
      </c>
      <c r="M51" s="3" t="s">
        <v>63</v>
      </c>
    </row>
  </sheetData>
  <autoFilter ref="A1:M5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3" width="29.7109375" customWidth="1"/>
    <col min="4" max="8" width="14.7109375" customWidth="1"/>
    <col min="9" max="9" width="20.7109375" customWidth="1"/>
  </cols>
  <sheetData>
    <row r="1" spans="1:9">
      <c r="A1" s="2" t="s">
        <v>1079</v>
      </c>
      <c r="B1" s="2" t="s">
        <v>25</v>
      </c>
      <c r="C1" s="2" t="s">
        <v>26</v>
      </c>
      <c r="D1" s="2" t="s">
        <v>1080</v>
      </c>
      <c r="E1" s="2" t="s">
        <v>1081</v>
      </c>
      <c r="F1" s="2" t="s">
        <v>1082</v>
      </c>
      <c r="G1" s="2" t="s">
        <v>1083</v>
      </c>
      <c r="H1" s="2" t="s">
        <v>1084</v>
      </c>
      <c r="I1" s="2" t="s">
        <v>37</v>
      </c>
    </row>
    <row r="2" spans="1:9">
      <c r="A2" s="3" t="s">
        <v>1085</v>
      </c>
      <c r="B2" s="3" t="s">
        <v>1745</v>
      </c>
      <c r="C2" s="3" t="s">
        <v>1746</v>
      </c>
      <c r="D2" s="5">
        <v>2.6420365925766909E-2</v>
      </c>
      <c r="E2" s="5">
        <v>-2.010238534604392E-2</v>
      </c>
      <c r="F2" s="5">
        <v>-7.6669112252384597E-2</v>
      </c>
      <c r="G2" s="5">
        <v>1</v>
      </c>
      <c r="H2" s="5">
        <v>0.44</v>
      </c>
      <c r="I2" s="3" t="s">
        <v>283</v>
      </c>
    </row>
    <row r="3" spans="1:9">
      <c r="A3" s="3" t="s">
        <v>1085</v>
      </c>
      <c r="B3" s="3" t="s">
        <v>1691</v>
      </c>
      <c r="C3" s="3" t="s">
        <v>1692</v>
      </c>
      <c r="D3" s="5">
        <v>2.5519362452298019E-2</v>
      </c>
      <c r="E3" s="5">
        <v>4.9380626493287227E-2</v>
      </c>
      <c r="F3" s="5">
        <v>-1.439555046621954E-2</v>
      </c>
      <c r="G3" s="5">
        <v>0.98</v>
      </c>
      <c r="H3" s="5">
        <v>0.98</v>
      </c>
      <c r="I3" s="3" t="s">
        <v>47</v>
      </c>
    </row>
    <row r="4" spans="1:9">
      <c r="A4" s="3" t="s">
        <v>1085</v>
      </c>
      <c r="B4" s="3" t="s">
        <v>1701</v>
      </c>
      <c r="C4" s="3" t="s">
        <v>1702</v>
      </c>
      <c r="D4" s="5">
        <v>2.0762779943508839E-2</v>
      </c>
      <c r="E4" s="5">
        <v>3.0765696884614169E-2</v>
      </c>
      <c r="F4" s="5">
        <v>-4.1906873614190647E-2</v>
      </c>
      <c r="G4" s="5">
        <v>0.96</v>
      </c>
      <c r="H4" s="5">
        <v>0.88</v>
      </c>
      <c r="I4" s="3" t="s">
        <v>47</v>
      </c>
    </row>
    <row r="5" spans="1:9">
      <c r="A5" s="3" t="s">
        <v>1085</v>
      </c>
      <c r="B5" s="3" t="s">
        <v>1781</v>
      </c>
      <c r="C5" s="3" t="s">
        <v>1782</v>
      </c>
      <c r="D5" s="5">
        <v>1.6114049983214421E-2</v>
      </c>
      <c r="E5" s="5">
        <v>-6.9222980003499246E-2</v>
      </c>
      <c r="F5" s="5">
        <v>-8.3983712249745546E-2</v>
      </c>
      <c r="G5" s="5">
        <v>0.94</v>
      </c>
      <c r="H5" s="5">
        <v>0.08</v>
      </c>
      <c r="I5" s="3" t="s">
        <v>879</v>
      </c>
    </row>
    <row r="6" spans="1:9">
      <c r="A6" s="3" t="s">
        <v>1085</v>
      </c>
      <c r="B6" s="3" t="s">
        <v>1719</v>
      </c>
      <c r="C6" s="3" t="s">
        <v>1720</v>
      </c>
      <c r="D6" s="5">
        <v>1.5816544361448859E-2</v>
      </c>
      <c r="E6" s="5">
        <v>7.319320620874592E-3</v>
      </c>
      <c r="F6" s="5">
        <v>-3.3503184713375767E-2</v>
      </c>
      <c r="G6" s="5">
        <v>0.92</v>
      </c>
      <c r="H6" s="5">
        <v>0.7</v>
      </c>
      <c r="I6" s="3" t="s">
        <v>47</v>
      </c>
    </row>
    <row r="7" spans="1:9">
      <c r="A7" s="3" t="s">
        <v>1085</v>
      </c>
      <c r="B7" s="3" t="s">
        <v>1769</v>
      </c>
      <c r="C7" s="3" t="s">
        <v>1770</v>
      </c>
      <c r="D7" s="5">
        <v>1.31800871678569E-2</v>
      </c>
      <c r="E7" s="5">
        <v>-3.8486248258599143E-2</v>
      </c>
      <c r="F7" s="5">
        <v>-5.0994227068633879E-2</v>
      </c>
      <c r="G7" s="5">
        <v>0.9</v>
      </c>
      <c r="H7" s="5">
        <v>0.2</v>
      </c>
      <c r="I7" s="3" t="s">
        <v>879</v>
      </c>
    </row>
    <row r="8" spans="1:9">
      <c r="A8" s="3" t="s">
        <v>1085</v>
      </c>
      <c r="B8" s="3" t="s">
        <v>1689</v>
      </c>
      <c r="C8" s="3" t="s">
        <v>1690</v>
      </c>
      <c r="D8" s="5">
        <v>1.1880561256021769E-2</v>
      </c>
      <c r="E8" s="5">
        <v>7.100132399770942E-2</v>
      </c>
      <c r="F8" s="5">
        <v>-1.1316430310843841E-2</v>
      </c>
      <c r="G8" s="5">
        <v>0.88</v>
      </c>
      <c r="H8" s="5">
        <v>1</v>
      </c>
      <c r="I8" s="3" t="s">
        <v>47</v>
      </c>
    </row>
    <row r="9" spans="1:9">
      <c r="A9" s="3" t="s">
        <v>1085</v>
      </c>
      <c r="B9" s="3" t="s">
        <v>1697</v>
      </c>
      <c r="C9" s="3" t="s">
        <v>1698</v>
      </c>
      <c r="D9" s="5">
        <v>9.3769599735094022E-3</v>
      </c>
      <c r="E9" s="5">
        <v>3.268289953712511E-2</v>
      </c>
      <c r="F9" s="5">
        <v>-1.321793863099929E-2</v>
      </c>
      <c r="G9" s="5">
        <v>0.86</v>
      </c>
      <c r="H9" s="5">
        <v>0.92</v>
      </c>
      <c r="I9" s="3" t="s">
        <v>47</v>
      </c>
    </row>
    <row r="10" spans="1:9">
      <c r="A10" s="3" t="s">
        <v>1085</v>
      </c>
      <c r="B10" s="3" t="s">
        <v>1711</v>
      </c>
      <c r="C10" s="3" t="s">
        <v>1712</v>
      </c>
      <c r="D10" s="5">
        <v>8.8495544531799197E-3</v>
      </c>
      <c r="E10" s="5">
        <v>1.8683993651748661E-2</v>
      </c>
      <c r="F10" s="5">
        <v>-1.6354208216992409E-2</v>
      </c>
      <c r="G10" s="5">
        <v>0.84</v>
      </c>
      <c r="H10" s="5">
        <v>0.78</v>
      </c>
      <c r="I10" s="3" t="s">
        <v>47</v>
      </c>
    </row>
    <row r="11" spans="1:9">
      <c r="A11" s="3" t="s">
        <v>1085</v>
      </c>
      <c r="B11" s="3" t="s">
        <v>1699</v>
      </c>
      <c r="C11" s="3" t="s">
        <v>1700</v>
      </c>
      <c r="D11" s="5">
        <v>7.5429059999203574E-3</v>
      </c>
      <c r="E11" s="5">
        <v>3.1666350746780918E-2</v>
      </c>
      <c r="F11" s="5">
        <v>-1.7547205798207122E-2</v>
      </c>
      <c r="G11" s="5">
        <v>0.82</v>
      </c>
      <c r="H11" s="5">
        <v>0.9</v>
      </c>
      <c r="I11" s="3" t="s">
        <v>63</v>
      </c>
    </row>
    <row r="12" spans="1:9">
      <c r="A12" s="3" t="s">
        <v>1086</v>
      </c>
      <c r="B12" s="3" t="s">
        <v>1735</v>
      </c>
      <c r="C12" s="3" t="s">
        <v>1736</v>
      </c>
      <c r="D12" s="5">
        <v>-3.5779624733734312E-2</v>
      </c>
      <c r="E12" s="5">
        <v>-1.3361887521504251E-2</v>
      </c>
      <c r="F12" s="5">
        <v>-4.9433620778957077E-2</v>
      </c>
      <c r="G12" s="5">
        <v>0.02</v>
      </c>
      <c r="H12" s="5">
        <v>0.54</v>
      </c>
      <c r="I12" s="3" t="s">
        <v>47</v>
      </c>
    </row>
    <row r="13" spans="1:9">
      <c r="A13" s="3" t="s">
        <v>1086</v>
      </c>
      <c r="B13" s="3" t="s">
        <v>1771</v>
      </c>
      <c r="C13" s="3" t="s">
        <v>1772</v>
      </c>
      <c r="D13" s="5">
        <v>-3.1527632114435537E-2</v>
      </c>
      <c r="E13" s="5">
        <v>-4.3047269455470327E-2</v>
      </c>
      <c r="F13" s="5">
        <v>-5.7461620208442372E-2</v>
      </c>
      <c r="G13" s="5">
        <v>0.04</v>
      </c>
      <c r="H13" s="5">
        <v>0.18</v>
      </c>
      <c r="I13" s="3" t="s">
        <v>47</v>
      </c>
    </row>
    <row r="14" spans="1:9">
      <c r="A14" s="3" t="s">
        <v>1086</v>
      </c>
      <c r="B14" s="3" t="s">
        <v>1775</v>
      </c>
      <c r="C14" s="3" t="s">
        <v>1776</v>
      </c>
      <c r="D14" s="5">
        <v>-2.6623329558929879E-2</v>
      </c>
      <c r="E14" s="5">
        <v>-5.076512560680857E-2</v>
      </c>
      <c r="F14" s="5">
        <v>-5.8417039899969818E-2</v>
      </c>
      <c r="G14" s="5">
        <v>0.06</v>
      </c>
      <c r="H14" s="5">
        <v>0.14000000000000001</v>
      </c>
      <c r="I14" s="3" t="s">
        <v>47</v>
      </c>
    </row>
    <row r="15" spans="1:9">
      <c r="A15" s="3" t="s">
        <v>1086</v>
      </c>
      <c r="B15" s="3" t="s">
        <v>1763</v>
      </c>
      <c r="C15" s="3" t="s">
        <v>1764</v>
      </c>
      <c r="D15" s="5">
        <v>-1.9826076341711959E-2</v>
      </c>
      <c r="E15" s="5">
        <v>-3.2944395841599812E-2</v>
      </c>
      <c r="F15" s="5">
        <v>-3.5261886163102329E-2</v>
      </c>
      <c r="G15" s="5">
        <v>0.08</v>
      </c>
      <c r="H15" s="5">
        <v>0.26</v>
      </c>
      <c r="I15" s="3" t="s">
        <v>47</v>
      </c>
    </row>
    <row r="16" spans="1:9">
      <c r="A16" s="3" t="s">
        <v>1086</v>
      </c>
      <c r="B16" s="3" t="s">
        <v>1785</v>
      </c>
      <c r="C16" s="3" t="s">
        <v>1786</v>
      </c>
      <c r="D16" s="5">
        <v>-1.9351464435146459E-2</v>
      </c>
      <c r="E16" s="5">
        <v>-7.1782178217821735E-2</v>
      </c>
      <c r="F16" s="5">
        <v>-8.8699878493317064E-2</v>
      </c>
      <c r="G16" s="5">
        <v>0.1</v>
      </c>
      <c r="H16" s="5">
        <v>0.04</v>
      </c>
      <c r="I16" s="3" t="s">
        <v>47</v>
      </c>
    </row>
    <row r="17" spans="1:9">
      <c r="A17" s="3" t="s">
        <v>1086</v>
      </c>
      <c r="B17" s="3" t="s">
        <v>1725</v>
      </c>
      <c r="C17" s="3" t="s">
        <v>1726</v>
      </c>
      <c r="D17" s="5">
        <v>-1.9027505650160759E-2</v>
      </c>
      <c r="E17" s="5">
        <v>1.7991863853343839E-3</v>
      </c>
      <c r="F17" s="5">
        <v>-4.3956064915918969E-2</v>
      </c>
      <c r="G17" s="5">
        <v>0.12</v>
      </c>
      <c r="H17" s="5">
        <v>0.64</v>
      </c>
      <c r="I17" s="3" t="s">
        <v>283</v>
      </c>
    </row>
    <row r="18" spans="1:9">
      <c r="A18" s="3" t="s">
        <v>1086</v>
      </c>
      <c r="B18" s="3" t="s">
        <v>1783</v>
      </c>
      <c r="C18" s="3" t="s">
        <v>1784</v>
      </c>
      <c r="D18" s="5">
        <v>-1.8404907975460131E-2</v>
      </c>
      <c r="E18" s="5">
        <v>-6.9380972164520105E-2</v>
      </c>
      <c r="F18" s="5">
        <v>-6.9380972164520105E-2</v>
      </c>
      <c r="G18" s="5">
        <v>0.14000000000000001</v>
      </c>
      <c r="H18" s="5">
        <v>0.06</v>
      </c>
      <c r="I18" s="3" t="s">
        <v>47</v>
      </c>
    </row>
    <row r="19" spans="1:9">
      <c r="A19" s="3" t="s">
        <v>1086</v>
      </c>
      <c r="B19" s="3" t="s">
        <v>1705</v>
      </c>
      <c r="C19" s="3" t="s">
        <v>1706</v>
      </c>
      <c r="D19" s="5">
        <v>-1.6712766163699769E-2</v>
      </c>
      <c r="E19" s="5">
        <v>2.5763495242443701E-2</v>
      </c>
      <c r="F19" s="5">
        <v>-2.1918649443222749E-2</v>
      </c>
      <c r="G19" s="5">
        <v>0.16</v>
      </c>
      <c r="H19" s="5">
        <v>0.84</v>
      </c>
      <c r="I19" s="3" t="s">
        <v>42</v>
      </c>
    </row>
    <row r="20" spans="1:9">
      <c r="A20" s="3" t="s">
        <v>1086</v>
      </c>
      <c r="B20" s="3" t="s">
        <v>1731</v>
      </c>
      <c r="C20" s="3" t="s">
        <v>1732</v>
      </c>
      <c r="D20" s="5">
        <v>-1.5476020180065549E-2</v>
      </c>
      <c r="E20" s="5">
        <v>-1.120553843134342E-2</v>
      </c>
      <c r="F20" s="5">
        <v>-5.6236026244717019E-2</v>
      </c>
      <c r="G20" s="5">
        <v>0.18</v>
      </c>
      <c r="H20" s="5">
        <v>0.57999999999999996</v>
      </c>
      <c r="I20" s="3" t="s">
        <v>47</v>
      </c>
    </row>
    <row r="21" spans="1:9">
      <c r="A21" s="3" t="s">
        <v>1086</v>
      </c>
      <c r="B21" s="3" t="s">
        <v>1729</v>
      </c>
      <c r="C21" s="3" t="s">
        <v>1730</v>
      </c>
      <c r="D21" s="5">
        <v>-1.547316983261748E-2</v>
      </c>
      <c r="E21" s="5">
        <v>-1.084596491859879E-2</v>
      </c>
      <c r="F21" s="5">
        <v>-3.7297656215638408E-2</v>
      </c>
      <c r="G21" s="5">
        <v>0.2</v>
      </c>
      <c r="H21" s="5">
        <v>0.6</v>
      </c>
      <c r="I21" s="3" t="s">
        <v>47</v>
      </c>
    </row>
    <row r="22" spans="1:9">
      <c r="A22" s="3" t="s">
        <v>1087</v>
      </c>
      <c r="B22" s="3" t="s">
        <v>1689</v>
      </c>
      <c r="C22" s="3" t="s">
        <v>1690</v>
      </c>
      <c r="D22" s="5">
        <v>1.1880561256021769E-2</v>
      </c>
      <c r="E22" s="5">
        <v>7.100132399770942E-2</v>
      </c>
      <c r="F22" s="5">
        <v>-1.1316430310843841E-2</v>
      </c>
      <c r="G22" s="5">
        <v>0.88</v>
      </c>
      <c r="H22" s="5">
        <v>1</v>
      </c>
      <c r="I22" s="3" t="s">
        <v>47</v>
      </c>
    </row>
    <row r="23" spans="1:9">
      <c r="A23" s="3" t="s">
        <v>1087</v>
      </c>
      <c r="B23" s="3" t="s">
        <v>1691</v>
      </c>
      <c r="C23" s="3" t="s">
        <v>1692</v>
      </c>
      <c r="D23" s="5">
        <v>2.5519362452298019E-2</v>
      </c>
      <c r="E23" s="5">
        <v>4.9380626493287227E-2</v>
      </c>
      <c r="F23" s="5">
        <v>-1.439555046621954E-2</v>
      </c>
      <c r="G23" s="5">
        <v>0.98</v>
      </c>
      <c r="H23" s="5">
        <v>0.98</v>
      </c>
      <c r="I23" s="3" t="s">
        <v>47</v>
      </c>
    </row>
    <row r="24" spans="1:9">
      <c r="A24" s="3" t="s">
        <v>1087</v>
      </c>
      <c r="B24" s="3" t="s">
        <v>1693</v>
      </c>
      <c r="C24" s="3" t="s">
        <v>1694</v>
      </c>
      <c r="D24" s="5">
        <v>-7.8431173087726291E-3</v>
      </c>
      <c r="E24" s="5">
        <v>4.0438677530896472E-2</v>
      </c>
      <c r="F24" s="5">
        <v>-3.0651321508570969E-2</v>
      </c>
      <c r="G24" s="5">
        <v>0.34</v>
      </c>
      <c r="H24" s="5">
        <v>0.96</v>
      </c>
      <c r="I24" s="3" t="s">
        <v>63</v>
      </c>
    </row>
    <row r="25" spans="1:9">
      <c r="A25" s="3" t="s">
        <v>1087</v>
      </c>
      <c r="B25" s="3" t="s">
        <v>1695</v>
      </c>
      <c r="C25" s="3" t="s">
        <v>1696</v>
      </c>
      <c r="D25" s="5">
        <v>-5.427846788520152E-3</v>
      </c>
      <c r="E25" s="5">
        <v>3.2737771274517817E-2</v>
      </c>
      <c r="F25" s="5">
        <v>-1.1498340445708849E-2</v>
      </c>
      <c r="G25" s="5">
        <v>0.38</v>
      </c>
      <c r="H25" s="5">
        <v>0.94</v>
      </c>
      <c r="I25" s="3" t="s">
        <v>63</v>
      </c>
    </row>
    <row r="26" spans="1:9">
      <c r="A26" s="3" t="s">
        <v>1087</v>
      </c>
      <c r="B26" s="3" t="s">
        <v>1697</v>
      </c>
      <c r="C26" s="3" t="s">
        <v>1698</v>
      </c>
      <c r="D26" s="5">
        <v>9.3769599735094022E-3</v>
      </c>
      <c r="E26" s="5">
        <v>3.268289953712511E-2</v>
      </c>
      <c r="F26" s="5">
        <v>-1.321793863099929E-2</v>
      </c>
      <c r="G26" s="5">
        <v>0.86</v>
      </c>
      <c r="H26" s="5">
        <v>0.92</v>
      </c>
      <c r="I26" s="3" t="s">
        <v>47</v>
      </c>
    </row>
    <row r="27" spans="1:9">
      <c r="A27" s="3" t="s">
        <v>1087</v>
      </c>
      <c r="B27" s="3" t="s">
        <v>1699</v>
      </c>
      <c r="C27" s="3" t="s">
        <v>1700</v>
      </c>
      <c r="D27" s="5">
        <v>7.5429059999203574E-3</v>
      </c>
      <c r="E27" s="5">
        <v>3.1666350746780918E-2</v>
      </c>
      <c r="F27" s="5">
        <v>-1.7547205798207122E-2</v>
      </c>
      <c r="G27" s="5">
        <v>0.82</v>
      </c>
      <c r="H27" s="5">
        <v>0.9</v>
      </c>
      <c r="I27" s="3" t="s">
        <v>63</v>
      </c>
    </row>
    <row r="28" spans="1:9">
      <c r="A28" s="3" t="s">
        <v>1087</v>
      </c>
      <c r="B28" s="3" t="s">
        <v>1701</v>
      </c>
      <c r="C28" s="3" t="s">
        <v>1702</v>
      </c>
      <c r="D28" s="5">
        <v>2.0762779943508839E-2</v>
      </c>
      <c r="E28" s="5">
        <v>3.0765696884614169E-2</v>
      </c>
      <c r="F28" s="5">
        <v>-4.1906873614190647E-2</v>
      </c>
      <c r="G28" s="5">
        <v>0.96</v>
      </c>
      <c r="H28" s="5">
        <v>0.88</v>
      </c>
      <c r="I28" s="3" t="s">
        <v>47</v>
      </c>
    </row>
    <row r="29" spans="1:9">
      <c r="A29" s="3" t="s">
        <v>1087</v>
      </c>
      <c r="B29" s="3" t="s">
        <v>1703</v>
      </c>
      <c r="C29" s="3" t="s">
        <v>1704</v>
      </c>
      <c r="D29" s="5">
        <v>-5.8430953921528861E-4</v>
      </c>
      <c r="E29" s="5">
        <v>2.8872152916470831E-2</v>
      </c>
      <c r="F29" s="5">
        <v>-1.9247594050743611E-2</v>
      </c>
      <c r="G29" s="5">
        <v>0.54</v>
      </c>
      <c r="H29" s="5">
        <v>0.86</v>
      </c>
      <c r="I29" s="3" t="s">
        <v>63</v>
      </c>
    </row>
    <row r="30" spans="1:9">
      <c r="A30" s="3" t="s">
        <v>1087</v>
      </c>
      <c r="B30" s="3" t="s">
        <v>1705</v>
      </c>
      <c r="C30" s="3" t="s">
        <v>1706</v>
      </c>
      <c r="D30" s="5">
        <v>-1.6712766163699769E-2</v>
      </c>
      <c r="E30" s="5">
        <v>2.5763495242443701E-2</v>
      </c>
      <c r="F30" s="5">
        <v>-2.1918649443222749E-2</v>
      </c>
      <c r="G30" s="5">
        <v>0.16</v>
      </c>
      <c r="H30" s="5">
        <v>0.84</v>
      </c>
      <c r="I30" s="3" t="s">
        <v>42</v>
      </c>
    </row>
    <row r="31" spans="1:9">
      <c r="A31" s="3" t="s">
        <v>1087</v>
      </c>
      <c r="B31" s="3" t="s">
        <v>1707</v>
      </c>
      <c r="C31" s="3" t="s">
        <v>1708</v>
      </c>
      <c r="D31" s="5">
        <v>-5.3840047004505287E-3</v>
      </c>
      <c r="E31" s="5">
        <v>2.511677786568622E-2</v>
      </c>
      <c r="F31" s="5">
        <v>-5.3840047004505287E-3</v>
      </c>
      <c r="G31" s="5">
        <v>0.4</v>
      </c>
      <c r="H31" s="5">
        <v>0.82</v>
      </c>
      <c r="I31" s="3" t="s">
        <v>63</v>
      </c>
    </row>
    <row r="32" spans="1:9">
      <c r="A32" s="3" t="s">
        <v>1088</v>
      </c>
      <c r="B32" s="3" t="s">
        <v>1787</v>
      </c>
      <c r="C32" s="3" t="s">
        <v>1788</v>
      </c>
      <c r="D32" s="5">
        <v>5.3869885022015396E-3</v>
      </c>
      <c r="E32" s="5">
        <v>-8.0990045756831663E-2</v>
      </c>
      <c r="F32" s="5">
        <v>-8.5914215368666502E-2</v>
      </c>
      <c r="G32" s="5">
        <v>0.68</v>
      </c>
      <c r="H32" s="5">
        <v>0.02</v>
      </c>
      <c r="I32" s="3" t="s">
        <v>63</v>
      </c>
    </row>
    <row r="33" spans="1:9">
      <c r="A33" s="3" t="s">
        <v>1088</v>
      </c>
      <c r="B33" s="3" t="s">
        <v>1785</v>
      </c>
      <c r="C33" s="3" t="s">
        <v>1786</v>
      </c>
      <c r="D33" s="5">
        <v>-1.9351464435146459E-2</v>
      </c>
      <c r="E33" s="5">
        <v>-7.1782178217821735E-2</v>
      </c>
      <c r="F33" s="5">
        <v>-8.8699878493317064E-2</v>
      </c>
      <c r="G33" s="5">
        <v>0.1</v>
      </c>
      <c r="H33" s="5">
        <v>0.04</v>
      </c>
      <c r="I33" s="3" t="s">
        <v>47</v>
      </c>
    </row>
    <row r="34" spans="1:9">
      <c r="A34" s="3" t="s">
        <v>1088</v>
      </c>
      <c r="B34" s="3" t="s">
        <v>1783</v>
      </c>
      <c r="C34" s="3" t="s">
        <v>1784</v>
      </c>
      <c r="D34" s="5">
        <v>-1.8404907975460131E-2</v>
      </c>
      <c r="E34" s="5">
        <v>-6.9380972164520105E-2</v>
      </c>
      <c r="F34" s="5">
        <v>-6.9380972164520105E-2</v>
      </c>
      <c r="G34" s="5">
        <v>0.14000000000000001</v>
      </c>
      <c r="H34" s="5">
        <v>0.06</v>
      </c>
      <c r="I34" s="3" t="s">
        <v>47</v>
      </c>
    </row>
    <row r="35" spans="1:9">
      <c r="A35" s="3" t="s">
        <v>1088</v>
      </c>
      <c r="B35" s="3" t="s">
        <v>1781</v>
      </c>
      <c r="C35" s="3" t="s">
        <v>1782</v>
      </c>
      <c r="D35" s="5">
        <v>1.6114049983214421E-2</v>
      </c>
      <c r="E35" s="5">
        <v>-6.9222980003499246E-2</v>
      </c>
      <c r="F35" s="5">
        <v>-8.3983712249745546E-2</v>
      </c>
      <c r="G35" s="5">
        <v>0.94</v>
      </c>
      <c r="H35" s="5">
        <v>0.08</v>
      </c>
      <c r="I35" s="3" t="s">
        <v>879</v>
      </c>
    </row>
    <row r="36" spans="1:9">
      <c r="A36" s="3" t="s">
        <v>1088</v>
      </c>
      <c r="B36" s="3" t="s">
        <v>1779</v>
      </c>
      <c r="C36" s="3" t="s">
        <v>1780</v>
      </c>
      <c r="D36" s="5">
        <v>4.8934620738525503E-3</v>
      </c>
      <c r="E36" s="5">
        <v>-5.2439320405439083E-2</v>
      </c>
      <c r="F36" s="5">
        <v>-5.7053592886325388E-2</v>
      </c>
      <c r="G36" s="5">
        <v>0.66</v>
      </c>
      <c r="H36" s="5">
        <v>0.1</v>
      </c>
      <c r="I36" s="3" t="s">
        <v>63</v>
      </c>
    </row>
    <row r="37" spans="1:9">
      <c r="A37" s="3" t="s">
        <v>1088</v>
      </c>
      <c r="B37" s="3" t="s">
        <v>1777</v>
      </c>
      <c r="C37" s="3" t="s">
        <v>1778</v>
      </c>
      <c r="D37" s="5">
        <v>-2.412582047741862E-3</v>
      </c>
      <c r="E37" s="5">
        <v>-5.242054484970271E-2</v>
      </c>
      <c r="F37" s="5">
        <v>-5.5936107896778497E-2</v>
      </c>
      <c r="G37" s="5">
        <v>0.52</v>
      </c>
      <c r="H37" s="5">
        <v>0.12</v>
      </c>
      <c r="I37" s="3" t="s">
        <v>63</v>
      </c>
    </row>
    <row r="38" spans="1:9">
      <c r="A38" s="3" t="s">
        <v>1088</v>
      </c>
      <c r="B38" s="3" t="s">
        <v>1775</v>
      </c>
      <c r="C38" s="3" t="s">
        <v>1776</v>
      </c>
      <c r="D38" s="5">
        <v>-2.6623329558929879E-2</v>
      </c>
      <c r="E38" s="5">
        <v>-5.076512560680857E-2</v>
      </c>
      <c r="F38" s="5">
        <v>-5.8417039899969818E-2</v>
      </c>
      <c r="G38" s="5">
        <v>0.06</v>
      </c>
      <c r="H38" s="5">
        <v>0.14000000000000001</v>
      </c>
      <c r="I38" s="3" t="s">
        <v>47</v>
      </c>
    </row>
    <row r="39" spans="1:9">
      <c r="A39" s="3" t="s">
        <v>1088</v>
      </c>
      <c r="B39" s="3" t="s">
        <v>1773</v>
      </c>
      <c r="C39" s="3" t="s">
        <v>1774</v>
      </c>
      <c r="D39" s="5">
        <v>3.4833665975073651E-3</v>
      </c>
      <c r="E39" s="5">
        <v>-4.4574141407493939E-2</v>
      </c>
      <c r="F39" s="5">
        <v>-4.7890687184929608E-2</v>
      </c>
      <c r="G39" s="5">
        <v>0.64</v>
      </c>
      <c r="H39" s="5">
        <v>0.16</v>
      </c>
      <c r="I39" s="3" t="s">
        <v>63</v>
      </c>
    </row>
    <row r="40" spans="1:9">
      <c r="A40" s="3" t="s">
        <v>1088</v>
      </c>
      <c r="B40" s="3" t="s">
        <v>1771</v>
      </c>
      <c r="C40" s="3" t="s">
        <v>1772</v>
      </c>
      <c r="D40" s="5">
        <v>-3.1527632114435537E-2</v>
      </c>
      <c r="E40" s="5">
        <v>-4.3047269455470327E-2</v>
      </c>
      <c r="F40" s="5">
        <v>-5.7461620208442372E-2</v>
      </c>
      <c r="G40" s="5">
        <v>0.04</v>
      </c>
      <c r="H40" s="5">
        <v>0.18</v>
      </c>
      <c r="I40" s="3" t="s">
        <v>47</v>
      </c>
    </row>
    <row r="41" spans="1:9">
      <c r="A41" s="3" t="s">
        <v>1088</v>
      </c>
      <c r="B41" s="3" t="s">
        <v>1769</v>
      </c>
      <c r="C41" s="3" t="s">
        <v>1770</v>
      </c>
      <c r="D41" s="5">
        <v>1.31800871678569E-2</v>
      </c>
      <c r="E41" s="5">
        <v>-3.8486248258599143E-2</v>
      </c>
      <c r="F41" s="5">
        <v>-5.0994227068633879E-2</v>
      </c>
      <c r="G41" s="5">
        <v>0.9</v>
      </c>
      <c r="H41" s="5">
        <v>0.2</v>
      </c>
      <c r="I41" s="3" t="s">
        <v>879</v>
      </c>
    </row>
  </sheetData>
  <autoFilter ref="A1:I4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.7109375" customWidth="1"/>
    <col min="2" max="2" width="100.7109375" customWidth="1"/>
  </cols>
  <sheetData>
    <row r="1" spans="1:2">
      <c r="A1" s="2" t="s">
        <v>1789</v>
      </c>
      <c r="B1" s="2" t="s">
        <v>1790</v>
      </c>
    </row>
    <row r="2" spans="1:2">
      <c r="A2" s="3" t="s">
        <v>1791</v>
      </c>
      <c r="B2" s="3" t="s">
        <v>1792</v>
      </c>
    </row>
    <row r="3" spans="1:2">
      <c r="A3" s="3" t="s">
        <v>1793</v>
      </c>
      <c r="B3" s="3" t="s">
        <v>1794</v>
      </c>
    </row>
    <row r="4" spans="1:2">
      <c r="A4" s="3" t="s">
        <v>1795</v>
      </c>
      <c r="B4" s="3" t="s">
        <v>1796</v>
      </c>
    </row>
    <row r="5" spans="1:2">
      <c r="A5" s="3" t="s">
        <v>1797</v>
      </c>
      <c r="B5" s="3" t="s">
        <v>1798</v>
      </c>
    </row>
    <row r="6" spans="1:2">
      <c r="A6" s="3" t="s">
        <v>1799</v>
      </c>
      <c r="B6" s="3" t="s">
        <v>1800</v>
      </c>
    </row>
    <row r="7" spans="1:2">
      <c r="A7" s="3" t="s">
        <v>1801</v>
      </c>
      <c r="B7" s="3" t="s">
        <v>1802</v>
      </c>
    </row>
    <row r="8" spans="1:2">
      <c r="A8" s="3" t="s">
        <v>1080</v>
      </c>
      <c r="B8" s="3" t="s">
        <v>1803</v>
      </c>
    </row>
    <row r="9" spans="1:2">
      <c r="A9" s="3" t="s">
        <v>1081</v>
      </c>
      <c r="B9" s="3" t="s">
        <v>1804</v>
      </c>
    </row>
    <row r="10" spans="1:2">
      <c r="A10" s="3" t="s">
        <v>1082</v>
      </c>
      <c r="B10" s="3" t="s">
        <v>1805</v>
      </c>
    </row>
    <row r="11" spans="1:2">
      <c r="A11" s="3" t="s">
        <v>1806</v>
      </c>
      <c r="B11" s="3" t="s">
        <v>1807</v>
      </c>
    </row>
    <row r="12" spans="1:2">
      <c r="A12" s="3" t="s">
        <v>1808</v>
      </c>
      <c r="B12" s="3" t="s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Summary</vt:lpstr>
      <vt:lpstr>QA_Audit</vt:lpstr>
      <vt:lpstr>SPX</vt:lpstr>
      <vt:lpstr>SPX_Ranks</vt:lpstr>
      <vt:lpstr>SHSZ300</vt:lpstr>
      <vt:lpstr>SHSZ300_Ranks</vt:lpstr>
      <vt:lpstr>SX5E</vt:lpstr>
      <vt:lpstr>SX5E_Ranks</vt:lpstr>
      <vt:lpstr>Methodology</vt:lpstr>
    </vt:vector>
  </TitlesOfParts>
  <Company>NPS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dc:description>Calculated from BQuant_Master.xlsx</dc:description>
  <cp:lastModifiedBy>infomax</cp:lastModifiedBy>
  <dcterms:created xsi:type="dcterms:W3CDTF">2026-09-03T00:13:48Z</dcterms:created>
  <dcterms:modified xsi:type="dcterms:W3CDTF">2026-09-03T00:14:29Z</dcterms:modified>
</cp:coreProperties>
</file>