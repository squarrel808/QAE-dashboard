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US_SPX" sheetId="2" r:id="rId2"/>
    <sheet name="China_CSI300" sheetId="3" r:id="rId3"/>
    <sheet name="Europe_STOXX600" sheetId="4" r:id="rId4"/>
    <sheet name="Methodology" sheetId="5" r:id="rId5"/>
  </sheets>
  <definedNames>
    <definedName name="_xlnm._FilterDatabase" localSheetId="2" hidden="1">China_CSI300!$A$6:$M$26</definedName>
    <definedName name="_xlnm._FilterDatabase" localSheetId="3" hidden="1">Europe_STOXX600!$A$6:$M$26</definedName>
    <definedName name="_xlnm._FilterDatabase" localSheetId="1" hidden="1">US_SPX!$A$6:$M$26</definedName>
    <definedName name="_xlnm.Print_Area" localSheetId="2">China_CSI300!$A$1:$M$37</definedName>
    <definedName name="_xlnm.Print_Area" localSheetId="3">Europe_STOXX600!$A$1:$M$37</definedName>
    <definedName name="_xlnm.Print_Area" localSheetId="4">Methodology!$B$2:$C$28</definedName>
    <definedName name="_xlnm.Print_Area" localSheetId="0">Summary!$B$2:$J$29</definedName>
    <definedName name="_xlnm.Print_Area" localSheetId="1">US_SPX!$A$1:$M$37</definedName>
    <definedName name="_xlnm.Print_Titles" localSheetId="2">China_CSI300!$1:$6</definedName>
    <definedName name="_xlnm.Print_Titles" localSheetId="3">Europe_STOXX600!$1:$6</definedName>
    <definedName name="_xlnm.Print_Titles" localSheetId="1">US_SPX!$1:$6</definedName>
  </definedNames>
  <calcPr calcId="124519" fullCalcOnLoad="1"/>
</workbook>
</file>

<file path=xl/sharedStrings.xml><?xml version="1.0" encoding="utf-8"?>
<sst xmlns="http://schemas.openxmlformats.org/spreadsheetml/2006/main" count="669" uniqueCount="350">
  <si>
    <t>S&amp;P 500·CSI 300·STOXX 600 최근 10거래일 승자와 패자</t>
  </si>
  <si>
    <t>BQuant 구성종목 가격자료로 실제 거래일을 맞춘 뒤, 종목별 촉매와 섹터·팩터 로테이션을 구분했다. 세 시장 모두 지수 방향보다 기존 주도주의 혼잡도 완화와 실적으로 확인되는 새로운 리더십이 더 중요했다.</t>
  </si>
  <si>
    <t>핵심 해석</t>
  </si>
  <si>
    <t>미국 · 상위: Information Technology 4개, Materials 3개 · 하위: Industrials 3개, Information Technology 3개</t>
  </si>
  <si>
    <t>최신 유효 거래일 2026-09-02까지의 최근 10거래일 기준이다. 상위 10개는 Information Technology 4개, Materials 3개, 하위 10개는 Industrials 3개, Information Technology 3개 비중이 두드러졌다. 성과 원인은 가격·섹터 분포에서 자동 집계했으며 기업별 최신 촉매는 별도 검증이 필요하다.</t>
  </si>
  <si>
    <t>중국 · 상위: Materials 2개, Financials 2개 · 하위: Information Technology 5개, Industrials 3개</t>
  </si>
  <si>
    <t>최신 유효 거래일 2026-09-01까지의 최근 10거래일 기준이다. 상위 10개는 Materials 2개, Financials 2개, 하위 10개는 Information Technology 5개, Industrials 3개 비중이 두드러졌다. 성과 원인은 가격·섹터 분포에서 자동 집계했으며 기업별 최신 촉매는 별도 검증이 필요하다.</t>
  </si>
  <si>
    <t>유럽 · 상위: Materials 4개, Consumer Staples 2개 · 하위: Industrials 7개, Information Technology 2개</t>
  </si>
  <si>
    <t>최신 유효 거래일 2026-09-01까지의 최근 10거래일 기준이다. 상위 10개는 Materials 4개, Consumer Staples 2개, 하위 10개는 Industrials 7개, Information Technology 2개 비중이 두드러졌다. 성과 원인은 가격·섹터 분포에서 자동 집계했으며 기업별 최신 촉매는 별도 검증이 필요하다.</t>
  </si>
  <si>
    <t>공통 테마</t>
  </si>
  <si>
    <t>각 시장의 상·하위 10개 종목과 섹터 집중도를 최신 원자료에서 자동 계산했다.
기존 [FACT]/[INFERENCE] 설명은 정확히 같은 과거 분석창에서만 재사용한다.
새 기준일에는 [DATA]로 표시하며, 기업별 촉매와 로테이션 해석은 최신 공시·뉴스 검증 후 보강해야 한다.</t>
  </si>
  <si>
    <t>읽을 때 주의할 점</t>
  </si>
  <si>
    <t>자동 선택 기간: 미국 2026-08-19→2026-09-02; 중국 2026-08-18→2026-09-01; 유럽 2026-08-18→2026-09-01. 각 지수에서 유효 종목의 10%를 초과해 가격이 변한 행만 실제 거래일로 판정하고, 최신 11개 관측 종가 사이의 10거래일 수익률을 계산했다. 배당을 제외한 현지통화 단순 가격수익률이다. [DATA]는 자동 계산만 완료된 항목이며 최신 촉매 검증 전이다.</t>
  </si>
  <si>
    <t>미국 · S&amp;P 500 · 최근 10거래일 Best / Worst 10</t>
  </si>
  <si>
    <t>기간: 2026-08-19 → 2026-09-02 | 구성종목 503개 | 배당 미포함 현지통화 가격수익률 | 최신 유효 거래일 2026-09-02까지의 최근 10거래일 기준이다. 상위 10개는 Information Technology 4개, Materials 3개, 하위 10개는 Industrials 3개, Information Technology 3개 비중이 두드러졌다. 성과 원인은 가격·섹터 분포에서 자동 집계했으며 기업별 최신 촉매는 별도 검증이 필요하다.</t>
  </si>
  <si>
    <t>Rank</t>
  </si>
  <si>
    <t>구분</t>
  </si>
  <si>
    <t>Ticker</t>
  </si>
  <si>
    <t>종목명</t>
  </si>
  <si>
    <t>Sector</t>
  </si>
  <si>
    <t>Industry Group</t>
  </si>
  <si>
    <t>시작가</t>
  </si>
  <si>
    <t>종료가</t>
  </si>
  <si>
    <t>10D Return</t>
  </si>
  <si>
    <t>근거</t>
  </si>
  <si>
    <t>성과 요인</t>
  </si>
  <si>
    <t>부각 테마</t>
  </si>
  <si>
    <t>Source</t>
  </si>
  <si>
    <t>BEST</t>
  </si>
  <si>
    <t>APH UN</t>
  </si>
  <si>
    <t>Amphenol Corp</t>
  </si>
  <si>
    <t>Information Technology</t>
  </si>
  <si>
    <t>Technology Hardware &amp; Equipment</t>
  </si>
  <si>
    <t>DATA</t>
  </si>
  <si>
    <t>2026-09-02 기준 최근 10거래일 수익률 상위 종목이다. 순위는 BQuant 가격으로 자동 계산됐으며 최신 공시·뉴스 기반 촉매 설명은 아직 검증하지 않았다.</t>
  </si>
  <si>
    <t>Information Technology · 가격 상위</t>
  </si>
  <si>
    <t>—</t>
  </si>
  <si>
    <t>CRM UN</t>
  </si>
  <si>
    <t>Salesforce Inc</t>
  </si>
  <si>
    <t>Software &amp; Services</t>
  </si>
  <si>
    <t>DE UN</t>
  </si>
  <si>
    <t>Deere &amp; Co</t>
  </si>
  <si>
    <t>Industrials</t>
  </si>
  <si>
    <t>Capital Goods</t>
  </si>
  <si>
    <t>Industrials · 가격 상위</t>
  </si>
  <si>
    <t>MOS UN</t>
  </si>
  <si>
    <t>Mosaic Co/The</t>
  </si>
  <si>
    <t>Materials</t>
  </si>
  <si>
    <t>Materials · 가격 상위</t>
  </si>
  <si>
    <t>CF UN</t>
  </si>
  <si>
    <t>CF Industries Holdings Inc</t>
  </si>
  <si>
    <t>CTVA UN</t>
  </si>
  <si>
    <t>Corteva Inc</t>
  </si>
  <si>
    <t>CMG UN</t>
  </si>
  <si>
    <t>Chipotle Mexican Grill Inc</t>
  </si>
  <si>
    <t>Consumer Discretionary</t>
  </si>
  <si>
    <t>Consumer Services</t>
  </si>
  <si>
    <t>Consumer Discretionary · 가격 상위</t>
  </si>
  <si>
    <t>VEEV UN</t>
  </si>
  <si>
    <t>Veeva Systems Inc</t>
  </si>
  <si>
    <t>Health Care</t>
  </si>
  <si>
    <t>Health Care Equipment &amp; Services</t>
  </si>
  <si>
    <t>Health Care · 가격 상위</t>
  </si>
  <si>
    <t>GEN UW</t>
  </si>
  <si>
    <t>Gen Digital Inc</t>
  </si>
  <si>
    <t>CDW UW</t>
  </si>
  <si>
    <t>CDW Corp/DE</t>
  </si>
  <si>
    <t>WORST</t>
  </si>
  <si>
    <t>PCG UN</t>
  </si>
  <si>
    <t>PG&amp;E Corp</t>
  </si>
  <si>
    <t>Utilities</t>
  </si>
  <si>
    <t>2026-09-02 기준 최근 10거래일 수익률 하위 종목이다. 순위는 BQuant 가격으로 자동 계산됐으며 최신 공시·뉴스 기반 촉매 설명은 아직 검증하지 않았다.</t>
  </si>
  <si>
    <t>Utilities · 가격 하위</t>
  </si>
  <si>
    <t>EIX UN</t>
  </si>
  <si>
    <t>Edison International</t>
  </si>
  <si>
    <t>AXON UW</t>
  </si>
  <si>
    <t>Axon Enterprise Inc</t>
  </si>
  <si>
    <t>Industrials · 가격 하위</t>
  </si>
  <si>
    <t>MRNA UW</t>
  </si>
  <si>
    <t>Moderna Inc</t>
  </si>
  <si>
    <t>Pharmaceuticals, Biotechnology &amp; Life Sciences</t>
  </si>
  <si>
    <t>Health Care · 가격 하위</t>
  </si>
  <si>
    <t>GNRC UN</t>
  </si>
  <si>
    <t>Generac Holdings Inc</t>
  </si>
  <si>
    <t>MRVL UW</t>
  </si>
  <si>
    <t>Marvell Technology Inc</t>
  </si>
  <si>
    <t>Semiconductors &amp; Semiconductor Equipment</t>
  </si>
  <si>
    <t>Information Technology · 가격 하위</t>
  </si>
  <si>
    <t>CIEN UN</t>
  </si>
  <si>
    <t>Ciena Corp</t>
  </si>
  <si>
    <t>PYPL UW</t>
  </si>
  <si>
    <t>PayPal Holdings Inc</t>
  </si>
  <si>
    <t>Financials</t>
  </si>
  <si>
    <t>Financial Services</t>
  </si>
  <si>
    <t>Financials · 가격 하위</t>
  </si>
  <si>
    <t>BLDR UN</t>
  </si>
  <si>
    <t>Builders FirstSource Inc</t>
  </si>
  <si>
    <t>AMAT UW</t>
  </si>
  <si>
    <t>Applied Materials Inc</t>
  </si>
  <si>
    <t>요약</t>
  </si>
  <si>
    <t>상위: Information Technology 4개, Materials 3개 · 하위: Industrials 3개, Information Technology 3개</t>
  </si>
  <si>
    <t>[FACT]는 해당 기간의 공시·보도에서 직접 확인된 촉매다. [INFERENCE]는 기업별 신규 뉴스가 없거나 영향이 작아 동종업종 수익률, 금리, 원자재, 포지셔닝을 통해 해석한 것이다. 추론을 실적 악화의 확정 근거로 사용하면 안 된다.</t>
  </si>
  <si>
    <t>중국 · CSI 300 · 최근 10거래일 Best / Worst 10</t>
  </si>
  <si>
    <t>기간: 2026-08-18 → 2026-09-01 | 구성종목 300개 | 배당 미포함 현지통화 가격수익률 | 최신 유효 거래일 2026-09-01까지의 최근 10거래일 기준이다. 상위 10개는 Materials 2개, Financials 2개, 하위 10개는 Information Technology 5개, Industrials 3개 비중이 두드러졌다. 성과 원인은 가격·섹터 분포에서 자동 집계했으며 기업별 최신 촉매는 별도 검증이 필요하다.</t>
  </si>
  <si>
    <t>300413 CH</t>
  </si>
  <si>
    <t>Mango Excellent Media Co Ltd</t>
  </si>
  <si>
    <t>Communication Services</t>
  </si>
  <si>
    <t>Media &amp; Entertainment</t>
  </si>
  <si>
    <t>FACT</t>
  </si>
  <si>
    <t>Mango TV의 AI 제작 드라마가 8월 31일 공개되며 AIGC가 실제 미디어 콘텐츠로 상용화된다는 기대가 부각됐다. 주가는 일일 상한가를 기록하며 10일 수익률 1위를 차지했다.</t>
  </si>
  <si>
    <t>AI 콘텐츠 애플리케이션</t>
  </si>
  <si>
    <t>S7</t>
  </si>
  <si>
    <t>600547 CH</t>
  </si>
  <si>
    <t>Shandong Gold Mining Co Ltd</t>
  </si>
  <si>
    <t>상반기 수익성 개선이 확인된 데다 중국 금 ETF 유입과 인민은행의 21개월 연속 금 매입이 금광주 프리미엄을 지지했다.</t>
  </si>
  <si>
    <t>금·실적 개선</t>
  </si>
  <si>
    <t>S8,S9</t>
  </si>
  <si>
    <t>601319 CH</t>
  </si>
  <si>
    <t>People's Insurance Co Group of</t>
  </si>
  <si>
    <t>Insurance</t>
  </si>
  <si>
    <t>INFERENCE</t>
  </si>
  <si>
    <t>보험의 자산운용 레버리지와 고배당·저평가 금융주 선호가 결합된 움직임이다. 기간 중 확인된 단일 기업 촉매보다 가치·배당 팩터 성격이 강하다.</t>
  </si>
  <si>
    <t>보험·고배당 가치</t>
  </si>
  <si>
    <t>002837 CH</t>
  </si>
  <si>
    <t>Shenzhen Envicool Technology C</t>
  </si>
  <si>
    <t>데이터센터용 정밀 온도제어·냉각 솔루션 업체라는 사업구조가 AI 서버 열관리 수요와 직접 연결된다. 상반기 실적 발표 구간에서 AI 냉각의 실적화 기대가 강화됐다.</t>
  </si>
  <si>
    <t>데이터센터 냉각</t>
  </si>
  <si>
    <t>S10</t>
  </si>
  <si>
    <t>002493 CH</t>
  </si>
  <si>
    <t>Rongsheng Petrochemical Co Ltd</t>
  </si>
  <si>
    <t>정유·석유화학 가격과 원가 스프레드 개선 기대가 소재주 로테이션을 만들었다. 단일 기업 뉴스보다는 유가·화학 업황 베타로 해석한다.</t>
  </si>
  <si>
    <t>석유화학 업황</t>
  </si>
  <si>
    <t>600039 CH</t>
  </si>
  <si>
    <t>Sichuan Road and Bridge Group</t>
  </si>
  <si>
    <t>도로·교량 건설 노출을 통해 경기부양과 인프라 집행 기대를 반영했다. 정책 기대는 주가의 하방을 지지하지만 신규수주와 현금회수 확인이 필요하다.</t>
  </si>
  <si>
    <t>중국 인프라 정책</t>
  </si>
  <si>
    <t>300122 CH</t>
  </si>
  <si>
    <t>Chongqing Zhifei Biological Pr</t>
  </si>
  <si>
    <t>백신·바이오의 낮아진 기대와 헬스케어 반등이 결합됐다. 기간 중 확인된 단일 임상 이벤트보다 낙폭과대 업종 회복 성격이 강하다.</t>
  </si>
  <si>
    <t>헬스케어 낙폭과대</t>
  </si>
  <si>
    <t>601998 CH</t>
  </si>
  <si>
    <t>China CITIC Bank Corp Ltd</t>
  </si>
  <si>
    <t>Banks</t>
  </si>
  <si>
    <t>고배당 은행과 정책금융 기대가 반영됐다. 대출 성장의 강한 가속이 확인됐다기보다 낮은 밸류에이션과 배당 안정성에 대한 선호다.</t>
  </si>
  <si>
    <t>은행·고배당 가치</t>
  </si>
  <si>
    <t>300760 CH</t>
  </si>
  <si>
    <t>Shenzhen Mindray Bio-Medical E</t>
  </si>
  <si>
    <t>의료기기의 질적 성장과 해외 매출 방어력에 대한 선호가 헬스케어 회복과 맞물렸다. 개별 단기 뉴스보다 이익 방어력 재평가다.</t>
  </si>
  <si>
    <t>의료기기 질적 성장</t>
  </si>
  <si>
    <t>601058 CH</t>
  </si>
  <si>
    <t>Sailun Group Co Ltd</t>
  </si>
  <si>
    <t>Automobiles &amp; Components</t>
  </si>
  <si>
    <t>타이어 수출과 원가 경쟁력에 대한 기대가 자동차 부품주 내 차별화를 만들었다. 확인된 단일 이벤트보다 수출 제조업 알파의 성격이 강하다.</t>
  </si>
  <si>
    <t>타이어 수출</t>
  </si>
  <si>
    <t>300274 CH</t>
  </si>
  <si>
    <t>Sungrow Power Supply Co Ltd</t>
  </si>
  <si>
    <t>태양광 인버터·에너지저장장치의 고성장 기대가 선반영된 뒤 신재생 장비 전반에서 포지션 축소가 나타났다. 정책 수혜와 단기 주가 방향이 다를 수 있음을 보여준다.</t>
  </si>
  <si>
    <t>신재생 장비 디레이팅</t>
  </si>
  <si>
    <t>S11</t>
  </si>
  <si>
    <t>002028 CH</t>
  </si>
  <si>
    <t>Sieyuan Electric Co Ltd</t>
  </si>
  <si>
    <t>전력기기 고성장과 전력망 CAPEX 기대를 반영한 고밸류 종목에서 차익실현이 집중됐다. 수주 붕괴보다 혼잡도 완화 성격으로 본다.</t>
  </si>
  <si>
    <t>전력기기 차익실현</t>
  </si>
  <si>
    <t>002353 CH</t>
  </si>
  <si>
    <t>Yantai Jereh Oilfield Services</t>
  </si>
  <si>
    <t>Energy</t>
  </si>
  <si>
    <t>유전서비스 업종 내 고변동성 포지션이 축소됐다. 유가 방향만으로 설명되지 않아 기업별 주문·마진 확인 전까지 원인을 단정하기 어렵다.</t>
  </si>
  <si>
    <t>에너지 서비스 디레이팅</t>
  </si>
  <si>
    <t>002202 CH</t>
  </si>
  <si>
    <t>Goldwind Science &amp; Technology</t>
  </si>
  <si>
    <t>풍력장비의 가격경쟁과 수익성 우려가 신재생 장비 매도와 겹쳤다. 설치량 증가와 제조사 마진은 별개라는 점이 반영됐다.</t>
  </si>
  <si>
    <t>풍력장비 마진 우려</t>
  </si>
  <si>
    <t>688082 CH</t>
  </si>
  <si>
    <t>ACM Research Shanghai Inc</t>
  </si>
  <si>
    <t>반도체 장비의 실적이 기대에 부합하는 정도로는 높은 밸류에이션을 지지하기 어려워지며 매물이 출회됐다. 8월 24일 A주 반도체에서 집중 매도가 확인됐다.</t>
  </si>
  <si>
    <t>반도체 장비 조정</t>
  </si>
  <si>
    <t>688472 CH</t>
  </si>
  <si>
    <t>CSI Solar Co Ltd</t>
  </si>
  <si>
    <t>태양광 제조 공급과잉·가격 경쟁 우려가 지속되며 신재생 장비 조정에 동참했다. 원자료의 GICS 분류는 반도체지만 경제적 노출은 태양광 모듈이다.</t>
  </si>
  <si>
    <t>태양광 공급과잉</t>
  </si>
  <si>
    <t>000657 CH</t>
  </si>
  <si>
    <t>China Tungsten And Hightech Ma</t>
  </si>
  <si>
    <t>희소금속 가격과 정책 테마를 선반영한 뒤 차익실현이 발생했다. 구조적 국산화 논리보다 단기 모멘텀 축소가 주가를 지배했다.</t>
  </si>
  <si>
    <t>희소금속 차익실현</t>
  </si>
  <si>
    <t>600584 CH</t>
  </si>
  <si>
    <t>JCET Group Co Ltd</t>
  </si>
  <si>
    <t>후공정·패키징까지 반도체 업종 전반의 밸류에이션 재평가가 확산됐다. 개별 주문 훼손보다 A주 기술주 바스켓 매도 성격이다.</t>
  </si>
  <si>
    <t>반도체 패키징 조정</t>
  </si>
  <si>
    <t>002371 CH</t>
  </si>
  <si>
    <t>NAURA Technology Group Co Ltd</t>
  </si>
  <si>
    <t>국산 반도체 장비 대표주로서 높은 기대와 혼잡도가 역풍이 됐다. 업종 실적의 '기대 부합'만으로는 멀티플 유지가 어려웠다.</t>
  </si>
  <si>
    <t>반도체 장비 혼잡도</t>
  </si>
  <si>
    <t>688072 CH</t>
  </si>
  <si>
    <t>Piotech Inc</t>
  </si>
  <si>
    <t>증착 장비 국산화의 장기 논리는 남아 있지만 8월 기술주 2차 조정에서 고베타 장비주로 매도됐다.</t>
  </si>
  <si>
    <t>상위: Materials 2개, Financials 2개 · 하위: Information Technology 5개, Industrials 3개</t>
  </si>
  <si>
    <t>유럽 · STOXX Europe 600 · 최근 10거래일 Best / Worst 10</t>
  </si>
  <si>
    <t>기간: 2026-08-18 → 2026-09-01 | 구성종목 600개 | 배당 미포함 현지통화 가격수익률 | 최신 유효 거래일 2026-09-01까지의 최근 10거래일 기준이다. 상위 10개는 Materials 4개, Consumer Staples 2개, 하위 10개는 Industrials 7개, Information Technology 2개 비중이 두드러졌다. 성과 원인은 가격·섹터 분포에서 자동 집계했으며 기업별 최신 촉매는 별도 검증이 필요하다.</t>
  </si>
  <si>
    <t>HOC LN</t>
  </si>
  <si>
    <t>Hochschild Mining PLC</t>
  </si>
  <si>
    <t>8월 26일 상반기 매출이 62%, 조정 EBITDA가 119% 증가했고 순부채에서 순현금으로 전환했다. 금 가격 강세에 실적 레버리지가 확인되며 금광주 프리미엄이 확대됐다.</t>
  </si>
  <si>
    <t>금광 실적 레버리지</t>
  </si>
  <si>
    <t>S15</t>
  </si>
  <si>
    <t>FLS DC</t>
  </si>
  <si>
    <t>FLSmidth &amp; Co A/S</t>
  </si>
  <si>
    <t>8월 19일 발표한 2분기 유기적 매출은 16%, 수주는 13% 증가했고 조정 EBITA 마진은 17.3%로 상승했다. 연간 매출성장과 마진 가이던스 하단도 높였다.</t>
  </si>
  <si>
    <t>광산장비 실적·가이던스</t>
  </si>
  <si>
    <t>S16</t>
  </si>
  <si>
    <t>PAF LN</t>
  </si>
  <si>
    <t>Pan African Resources PLC</t>
  </si>
  <si>
    <t>기간 중 확인된 핵심 신규 공시보다 금 가격과 귀금속 주식 베타가 주된 설명이다. 다만 FY2026 생산량이 약 40% 늘어난 사상 최고 수준이라는 운영 기반이 상승 탄력을 키웠다.</t>
  </si>
  <si>
    <t>금 가격·생산량</t>
  </si>
  <si>
    <t>S28</t>
  </si>
  <si>
    <t>SDF GY</t>
  </si>
  <si>
    <t>K+S AG</t>
  </si>
  <si>
    <t>8월 12일 연간 전망 상향 이후 비료·칼륨 가격과 낮아진 기대의 정상화가 이어졌다. 분석기간 안의 신규 이벤트보다는 실적 발표의 후행 반영 성격이 강하다.</t>
  </si>
  <si>
    <t>비료 가격·전망 상향</t>
  </si>
  <si>
    <t>S27</t>
  </si>
  <si>
    <t>SALM NO</t>
  </si>
  <si>
    <t>Salmar ASA</t>
  </si>
  <si>
    <t>Consumer Staples</t>
  </si>
  <si>
    <t>Food, Beverage &amp; Tobacco</t>
  </si>
  <si>
    <t>8월 25일 2분기 보고서에서 노르웨이 양식 부문의 강한 생물학적 성과를 제시했고 자사주 매입도 시작했다. 생산 정상화와 주주환원이 동시에 반영됐다.</t>
  </si>
  <si>
    <t>연어 생산 정상화·자사주</t>
  </si>
  <si>
    <t>S17</t>
  </si>
  <si>
    <t>DNP PW</t>
  </si>
  <si>
    <t>Dino Polska SA</t>
  </si>
  <si>
    <t>Consumer Staples Distribution &amp; Retail</t>
  </si>
  <si>
    <t>8월 20일 상반기 실적을 발표했다. 매장 확장과 방어적 식품소매 성장의 가시성이 경기민감주 변동성이 큰 구간에서 재평가됐다.</t>
  </si>
  <si>
    <t>식품소매 성장·방어력</t>
  </si>
  <si>
    <t>S18</t>
  </si>
  <si>
    <t>SQN SE</t>
  </si>
  <si>
    <t>Swissquote Group Holding SA</t>
  </si>
  <si>
    <t>8월 13일 상반기 고객자산이 사상 최고 CHF 96.3bn, 신규자금이 CHF 5.1bn으로 확인된 뒤 고객 성장 프리미엄이 이어졌다. 다만 기간 시작 전 발표여서 후행 반영으로 분류했다.</t>
  </si>
  <si>
    <t>온라인 브로커 고객성장</t>
  </si>
  <si>
    <t>S19</t>
  </si>
  <si>
    <t>NSISB DC</t>
  </si>
  <si>
    <t>Novonesis Novozymes B</t>
  </si>
  <si>
    <t>8월 19일 상반기 유기적 매출이 8% 증가했고 연간 성장 전망을 7~8%로 상향했다. EUR 1bn 자사주 매입도 발표해 실적과 자본환원이 함께 작용했다.</t>
  </si>
  <si>
    <t>바이오솔루션 전망 상향</t>
  </si>
  <si>
    <t>S20</t>
  </si>
  <si>
    <t>DRX LN</t>
  </si>
  <si>
    <t>Drax Group PLC</t>
  </si>
  <si>
    <t>영국 전력안보와 유연성 자산의 희소성, 향후 데이터센터용 계통접속 옵션이 부각됐다. 10일 창 안의 단일 신규 공시보다 전력가격·정책 베타의 영향이 크다.</t>
  </si>
  <si>
    <t>전력안보·데이터센터 옵션</t>
  </si>
  <si>
    <t>S21</t>
  </si>
  <si>
    <t>DIM FP</t>
  </si>
  <si>
    <t>Sartorius Stedim Biotech</t>
  </si>
  <si>
    <t>7월 상반기 실적에서 반복소모품이 견조하고 장비가 소폭 성장으로 복귀한 점이 확인된 뒤 바이오프로세싱 회복 기대가 이어졌다. 기간 내 신규 대형 촉매는 확인되지 않았다.</t>
  </si>
  <si>
    <t>바이오프로세싱 회복</t>
  </si>
  <si>
    <t>S22</t>
  </si>
  <si>
    <t>LDO IM</t>
  </si>
  <si>
    <t>Leonardo SpA</t>
  </si>
  <si>
    <t>Leonardo를 포함한 유럽 방산주가 동반 하락했다. 수주 논리의 붕괴보다 높은 기대와 정부 재정조달 우려 속에서 방산 바스켓의 혼잡도가 풀린 움직임으로 판단한다.</t>
  </si>
  <si>
    <t>유럽 방산 디레이팅</t>
  </si>
  <si>
    <t>S23</t>
  </si>
  <si>
    <t>BESI NA</t>
  </si>
  <si>
    <t>BE Semiconductor Industries NV</t>
  </si>
  <si>
    <t>첨단패키징과 AI 반도체 장비의 장기 수요는 유지됐지만, 높은 밸류에이션의 AI 하드웨어에서 차익실현이 이어졌다. 실적 훼손이 확인된 하락으로 보기는 어렵다.</t>
  </si>
  <si>
    <t>AI 반도체 장비 차익실현</t>
  </si>
  <si>
    <t>S24</t>
  </si>
  <si>
    <t>HAG GY</t>
  </si>
  <si>
    <t>Hensoldt AG</t>
  </si>
  <si>
    <t>Rheinmetall·Saab·Leonardo와 함께 하락해 기업별 뉴스보다 방산 팩터 매도의 성격이 강했다. 주문잔고가 실제 매출·마진으로 전환되는 속도에 대한 요구가 높아졌다.</t>
  </si>
  <si>
    <t>SAABB SS</t>
  </si>
  <si>
    <t>Saab AB</t>
  </si>
  <si>
    <t>8월 21일 유럽 방산주 동반 약세가 확인됐고 이후 매도가 이어졌다. 재무가이던스 변화보다 높은 멀티플과 포지션 축소가 단기 주가를 지배했다.</t>
  </si>
  <si>
    <t>COTN SE</t>
  </si>
  <si>
    <t>Comet Holding AG</t>
  </si>
  <si>
    <t>H1 실적은 양호했지만 반도체·AI 장비의 높아진 기대를 추가로 넘어설 촉매가 부족했다. 좋은 실적에도 밸류에이션이 압축되는 전형적인 혼잡도 완화로 해석한다.</t>
  </si>
  <si>
    <t>반도체 장비 멀티플 압축</t>
  </si>
  <si>
    <t>S29,S24</t>
  </si>
  <si>
    <t>RHM GY</t>
  </si>
  <si>
    <t>Rheinmetall AG</t>
  </si>
  <si>
    <t>8월 31일 독일 방산주 매도에서 Rheinmetall과 Hensoldt가 함께 하락했다. 약 EUR 80.5bn 주문잔고에도 주가가 내린 점은 수요 붕괴보다 기대치와 밸류에이션 조정에 가깝다.</t>
  </si>
  <si>
    <t>QQ/ LN</t>
  </si>
  <si>
    <t>QinetiQ Group PLC</t>
  </si>
  <si>
    <t>QinetiQ도 유럽 방산 바스켓 매도에 동참했다. 기간 중 확인된 독립적 대형 악재보다 정부 예산의 집행 속도와 고평가 우려가 공통 요인이다.</t>
  </si>
  <si>
    <t>SESG FP</t>
  </si>
  <si>
    <t>SES SA</t>
  </si>
  <si>
    <t>H1 실적과 연간 전망 유지에도 위성사업 통합과 2026년 컨센서스 달성 난이도에 대한 우려가 남았다. 실적 발표 후 지속된 디레이팅의 성격이 강하다.</t>
  </si>
  <si>
    <t>위성사업 통합·컨센서스 우려</t>
  </si>
  <si>
    <t>S25</t>
  </si>
  <si>
    <t>HO FP</t>
  </si>
  <si>
    <t>Thales SA</t>
  </si>
  <si>
    <t>Thales 역시 유럽 방산주 동반 약세에 포함됐다. 높은 주문잔고보다 단기 매출 전환과 수익성 증명이 중요해지는 국면으로, 개별 수주 취소로 단정할 근거는 없다.</t>
  </si>
  <si>
    <t>ROCKB DC</t>
  </si>
  <si>
    <t>ROCKWOOL A/S</t>
  </si>
  <si>
    <t>상반기 물량과 EBITDA 마진은 견조했지만 에너지·운송비 상승이 2분기 비용 부담으로 제시됐다. 좋은 실적보다 비용과 건설수요 불확실성이 주가에 더 크게 반영됐다.</t>
  </si>
  <si>
    <t>건자재 비용·수요 우려</t>
  </si>
  <si>
    <t>S26</t>
  </si>
  <si>
    <t>상위: Materials 4개, Consumer Staples 2개 · 하위: Industrials 7개, Information Technology 2개</t>
  </si>
  <si>
    <t>방법론과 출처</t>
  </si>
  <si>
    <t>항목</t>
  </si>
  <si>
    <t>설명</t>
  </si>
  <si>
    <t>Universe</t>
  </si>
  <si>
    <t>S&amp;P 500, CSI 300, STOXX Europe 600의 BQuant 구성종목. 전체 상장주가 아니라 각 대표지수 내부 순위다.</t>
  </si>
  <si>
    <t>기간</t>
  </si>
  <si>
    <t>미국 2026-08-19→2026-09-02; 중국 2026-08-18→2026-09-01; 유럽 2026-08-18→2026-09-01. 입력 데이터에서 지수별 최신 유효 거래일을 자동 탐지한다.</t>
  </si>
  <si>
    <t>거래일 판정</t>
  </si>
  <si>
    <t>전일과 당일 가격이 모두 유효한 구성종목 중 10%를 초과해 가격이 변한 날짜를 실제 거래일로 판정한다. 휴일·시차로 직전 값이 반복된 행은 자동 제외된다.</t>
  </si>
  <si>
    <t>수익률</t>
  </si>
  <si>
    <t>현지통화, 배당 미포함. I열은 H열/ G열 - 1의 Excel 수식이며 계산값을 함께 저장했다.</t>
  </si>
  <si>
    <t>구성종목</t>
  </si>
  <si>
    <t>시작일과 종료일 모두 가격이 존재하는 종목의 교집합. 10거래일의 짧은 구간이므로 구성 변경 편향은 제한적이지만 완전히 제거되지는 않는다.</t>
  </si>
  <si>
    <t>근거 등급</t>
  </si>
  <si>
    <t>FACT: 공식 공시·기업 발표·신뢰도 높은 보도가 해당 기간 주가 촉매를 직접 설명. INFERENCE: 동종업종·팩터·금리·원자재·포지셔닝에 기반한 해석.</t>
  </si>
  <si>
    <t>제약</t>
  </si>
  <si>
    <t>10거래일 수익률은 이벤트·숏커버·유동성에 민감하며 장기 이익 추세와 다를 수 있다. 개별 촉매가 확인되지 않은 종목은 원인을 단정하지 않았다.</t>
  </si>
  <si>
    <t>URL</t>
  </si>
  <si>
    <t>S7 · Mango TV AI-produced drama catalyst</t>
  </si>
  <si>
    <t>https://www.itiger.com/news/1177669587</t>
  </si>
  <si>
    <t>S8 · World Gold Council China gold update</t>
  </si>
  <si>
    <t>https://www.gold.org/goldhub/gold-focus/2026/08/china-gold-market-update-strong-official-sector-buying-july</t>
  </si>
  <si>
    <t>S9 · Shandong Gold H1 profitability</t>
  </si>
  <si>
    <t>https://ca.investing.com/news/stock-market-news/why-is-shandong-gold-mining-stock-surging-today-93CH-4822472</t>
  </si>
  <si>
    <t>S10 · Envicool business and H1 context</t>
  </si>
  <si>
    <t>https://hk.marketscreener.com/news/shenzhen-envicool-technology-co-ltd-reports-earnings-results-for-the-half-year-ended-june-30-202-ce7858dbdc8eff2d</t>
  </si>
  <si>
    <t>S11 · A-share semiconductor and optical-tech pullback</t>
  </si>
  <si>
    <t>https://www.yicai.com/news/103331444.html</t>
  </si>
  <si>
    <t>S15 · Hochschild Mining 2026 interim results</t>
  </si>
  <si>
    <t>https://www.hochschildmining.com/investors/results-reports-presentations</t>
  </si>
  <si>
    <t>S16 · FLSmidth H1 2026 interim report</t>
  </si>
  <si>
    <t>https://fls.com/en/announcements/2026/flsmidth-h1-2026-interim-financial-report-continued-strong-order-growth-and-higher-revenue-conversion-support-full-year-guidance-adjustment</t>
  </si>
  <si>
    <t>S17 · SalMar Q2 2026 reports and announcements</t>
  </si>
  <si>
    <t>https://www.salmar.no/en/investor/reports-presentations/</t>
  </si>
  <si>
    <t>S18 · Dino Polska H1 2026 financial reports</t>
  </si>
  <si>
    <t>https://grupadino.pl/en/financial-reports/</t>
  </si>
  <si>
    <t>S19 · Swissquote H1 2026 financial report</t>
  </si>
  <si>
    <t>https://www.swissquote.com/en/group/investor-relations/financial-reports</t>
  </si>
  <si>
    <t>S20 · Novonesis H1 2026 results</t>
  </si>
  <si>
    <t>https://www.novonesis.com/es/news/h1-2026-novonesis-delivered-strong-8-organic-sales-growth-and-increases-full-year-outlook</t>
  </si>
  <si>
    <t>S21 · Drax H1 2026 results</t>
  </si>
  <si>
    <t>https://www.drax.com/financial-news/half-year-results-for-the-six-months-ended-30-june-2026/</t>
  </si>
  <si>
    <t>S22 · Sartorius Stedim Biotech H1 2026 results</t>
  </si>
  <si>
    <t>https://www.sartorius.com/en/company/newsroom/corporate-news/2026-half-year-results-sartorius-stedim-biotech-1845882</t>
  </si>
  <si>
    <t>S23 · European defence shares sell-off, 31 Aug 2026</t>
  </si>
  <si>
    <t>https://www.finanzen.net/amp/aktien/sektorschwaeche-ausverkauf-bei-deutschen-ruestungsaktien-warum-rheinmetall-renk-hensoldt-tkms-nachgeben-00-15910423</t>
  </si>
  <si>
    <t>S24 · AI hardware valuation and positioning reset</t>
  </si>
  <si>
    <t>https://www.morningstar.com.au/stocks/why-great-earnings-havent-been-good-enough-ai-hardware-stocks</t>
  </si>
  <si>
    <t>S25 · SES H1 2026 results and outlook</t>
  </si>
  <si>
    <t>https://www.ses.com/news/press-release/ses-reports-h1-2026-results-reiterates-fullyear-outlook</t>
  </si>
  <si>
    <t>S26 · ROCKWOOL H1 2026 results</t>
  </si>
  <si>
    <t>https://www.rockwool.com/group/about-us/news/2026/rockwool-releases-h1-2026-results/</t>
  </si>
  <si>
    <t>S27 · K+S H1 2026 financial publications</t>
  </si>
  <si>
    <t>https://www.kpluss.com/de-de/investor-relations/publikationen/finanzpublikationen/</t>
  </si>
  <si>
    <t>S28 · Pan African Resources FY2026 operational update</t>
  </si>
  <si>
    <t>https://www.panafricanresources.com/wp-content/uploads/2026/06/SENS_PAN_Operational-update-ahead-of-the-year-ending-30-June-2026_20260601.pdf</t>
  </si>
  <si>
    <t>S29 · Comet H1 2026 results</t>
  </si>
  <si>
    <t>https://comet.tech/en/events/2026/half-year-results-presentation</t>
  </si>
</sst>
</file>

<file path=xl/styles.xml><?xml version="1.0" encoding="utf-8"?>
<styleSheet xmlns="http://schemas.openxmlformats.org/spreadsheetml/2006/main">
  <numFmts count="2">
    <numFmt numFmtId="164" formatCode="0.00"/>
    <numFmt numFmtId="165" formatCode="+0.0%;-0.0%;0.0%"/>
  </numFmts>
  <fonts count="13">
    <font>
      <sz val="10"/>
      <color theme="1"/>
      <name val="Arial"/>
      <family val="2"/>
    </font>
    <font>
      <b/>
      <sz val="22"/>
      <color rgb="FF102A43"/>
      <name val="Arial"/>
      <family val="2"/>
    </font>
    <font>
      <sz val="10"/>
      <color rgb="FF62748A"/>
      <name val="Arial"/>
      <family val="2"/>
    </font>
    <font>
      <b/>
      <sz val="13"/>
      <color rgb="FFFFFFFF"/>
      <name val="Arial"/>
      <family val="2"/>
    </font>
    <font>
      <b/>
      <sz val="12"/>
      <color rgb="FF2F6BDE"/>
      <name val="Arial"/>
      <family val="2"/>
    </font>
    <font>
      <sz val="10"/>
      <color rgb="FF102A43"/>
      <name val="Arial"/>
      <family val="2"/>
    </font>
    <font>
      <b/>
      <sz val="9"/>
      <color rgb="FFFFFFFF"/>
      <name val="Arial"/>
      <family val="2"/>
    </font>
    <font>
      <sz val="9"/>
      <color rgb="FF102A43"/>
      <name val="Arial"/>
      <family val="2"/>
    </font>
    <font>
      <b/>
      <sz val="9"/>
      <color theme="1"/>
      <name val="Arial"/>
      <family val="2"/>
    </font>
    <font>
      <b/>
      <sz val="9"/>
      <color rgb="FF9A6700"/>
      <name val="Arial"/>
      <family val="2"/>
    </font>
    <font>
      <i/>
      <sz val="9"/>
      <color rgb="FF62748A"/>
      <name val="Arial"/>
      <family val="2"/>
    </font>
    <font>
      <b/>
      <sz val="9"/>
      <color rgb="FF0B6E4F"/>
      <name val="Arial"/>
      <family val="2"/>
    </font>
    <font>
      <u/>
      <sz val="9"/>
      <color rgb="FF2F6BDE"/>
      <name val="Arial"/>
      <family val="2"/>
    </font>
  </fonts>
  <fills count="6">
    <fill>
      <patternFill patternType="none"/>
    </fill>
    <fill>
      <patternFill patternType="gray125"/>
    </fill>
    <fill>
      <patternFill patternType="solid">
        <fgColor rgb="FF102A43"/>
        <bgColor indexed="64"/>
      </patternFill>
    </fill>
    <fill>
      <patternFill patternType="solid">
        <fgColor rgb="FFFFFFFF"/>
        <bgColor indexed="64"/>
      </patternFill>
    </fill>
    <fill>
      <patternFill patternType="solid">
        <fgColor rgb="FFFFF4D6"/>
        <bgColor indexed="64"/>
      </patternFill>
    </fill>
    <fill>
      <patternFill patternType="solid">
        <fgColor rgb="FFE8F5EE"/>
        <bgColor indexed="64"/>
      </patternFill>
    </fill>
  </fills>
  <borders count="3">
    <border>
      <left/>
      <right/>
      <top/>
      <bottom/>
      <diagonal/>
    </border>
    <border>
      <left style="thin">
        <color rgb="FFDCE3EC"/>
      </left>
      <right style="thin">
        <color rgb="FFDCE3EC"/>
      </right>
      <top style="thin">
        <color rgb="FFDCE3EC"/>
      </top>
      <bottom style="thin">
        <color rgb="FFDCE3EC"/>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5">
    <xf numFmtId="0" fontId="0" fillId="0" borderId="0" xfId="0"/>
    <xf numFmtId="0" fontId="1" fillId="0" borderId="0" xfId="0" applyFont="1" applyAlignment="1">
      <alignment horizontal="left" vertical="center"/>
    </xf>
    <xf numFmtId="0" fontId="2" fillId="0" borderId="0" xfId="0" applyFont="1" applyAlignment="1">
      <alignment vertical="top" wrapText="1"/>
    </xf>
    <xf numFmtId="0" fontId="3" fillId="2" borderId="0" xfId="0" applyFont="1" applyFill="1" applyAlignment="1">
      <alignment horizontal="left" vertical="center"/>
    </xf>
    <xf numFmtId="0" fontId="4" fillId="0" borderId="0" xfId="0" applyFont="1" applyAlignment="1">
      <alignment vertical="top" wrapText="1"/>
    </xf>
    <xf numFmtId="0" fontId="5" fillId="3" borderId="1" xfId="0" applyFont="1" applyFill="1" applyBorder="1" applyAlignment="1">
      <alignment vertical="top" wrapText="1"/>
    </xf>
    <xf numFmtId="0" fontId="6" fillId="2" borderId="2"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top" wrapText="1"/>
    </xf>
    <xf numFmtId="164" fontId="7" fillId="0" borderId="1" xfId="0" applyNumberFormat="1" applyFont="1" applyBorder="1" applyAlignment="1">
      <alignment horizontal="right"/>
    </xf>
    <xf numFmtId="165" fontId="8" fillId="0" borderId="1" xfId="0" applyNumberFormat="1" applyFont="1" applyBorder="1" applyAlignment="1">
      <alignment horizontal="right"/>
    </xf>
    <xf numFmtId="0" fontId="9" fillId="4" borderId="1" xfId="0" applyFont="1" applyFill="1" applyBorder="1" applyAlignment="1">
      <alignment horizontal="center"/>
    </xf>
    <xf numFmtId="0" fontId="10" fillId="0" borderId="0" xfId="0" applyFont="1" applyAlignment="1">
      <alignment vertical="top" wrapText="1"/>
    </xf>
    <xf numFmtId="0" fontId="11" fillId="5" borderId="1" xfId="0" applyFont="1" applyFill="1" applyBorder="1" applyAlignment="1">
      <alignment horizontal="center"/>
    </xf>
    <xf numFmtId="0" fontId="12" fillId="0" borderId="1" xfId="0" applyFon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itiger.com/news/1177669587" TargetMode="External"/><Relationship Id="rId2" Type="http://schemas.openxmlformats.org/officeDocument/2006/relationships/hyperlink" Target="https://www.gold.org/goldhub/gold-focus/2026/08/china-gold-market-update-strong-official-sector-buying-july" TargetMode="External"/><Relationship Id="rId3" Type="http://schemas.openxmlformats.org/officeDocument/2006/relationships/hyperlink" Target="https://hk.marketscreener.com/news/shenzhen-envicool-technology-co-ltd-reports-earnings-results-for-the-half-year-ended-june-30-202-ce7858dbdc8eff2d" TargetMode="External"/><Relationship Id="rId4" Type="http://schemas.openxmlformats.org/officeDocument/2006/relationships/hyperlink" Target="https://www.yicai.com/news/103331444.html" TargetMode="External"/><Relationship Id="rId5" Type="http://schemas.openxmlformats.org/officeDocument/2006/relationships/hyperlink" Target="https://www.yicai.com/news/103331444.html" TargetMode="External"/><Relationship Id="rId6" Type="http://schemas.openxmlformats.org/officeDocument/2006/relationships/hyperlink" Target="https://www.yicai.com/news/103331444.html" TargetMode="External"/><Relationship Id="rId7" Type="http://schemas.openxmlformats.org/officeDocument/2006/relationships/hyperlink" Target="https://www.yicai.com/news/103331444.html" TargetMode="External"/><Relationship Id="rId8" Type="http://schemas.openxmlformats.org/officeDocument/2006/relationships/hyperlink" Target="https://www.yicai.com/news/103331444.html" TargetMode="External"/><Relationship Id="rId9" Type="http://schemas.openxmlformats.org/officeDocument/2006/relationships/hyperlink" Target="https://www.yicai.com/news/103331444.html" TargetMode="External"/><Relationship Id="rId10" Type="http://schemas.openxmlformats.org/officeDocument/2006/relationships/hyperlink" Target="https://www.yicai.com/news/103331444.html" TargetMode="External"/><Relationship Id="rId11" Type="http://schemas.openxmlformats.org/officeDocument/2006/relationships/hyperlink" Target="https://www.yicai.com/news/103331444.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hochschildmining.com/investors/results-reports-presentations" TargetMode="External"/><Relationship Id="rId2" Type="http://schemas.openxmlformats.org/officeDocument/2006/relationships/hyperlink" Target="https://fls.com/en/announcements/2026/flsmidth-h1-2026-interim-financial-report-continued-strong-order-growth-and-higher-revenue-conversion-support-full-year-guidance-adjustment" TargetMode="External"/><Relationship Id="rId3" Type="http://schemas.openxmlformats.org/officeDocument/2006/relationships/hyperlink" Target="https://www.panafricanresources.com/wp-content/uploads/2026/06/SENS_PAN_Operational-update-ahead-of-the-year-ending-30-June-2026_20260601.pdf" TargetMode="External"/><Relationship Id="rId4" Type="http://schemas.openxmlformats.org/officeDocument/2006/relationships/hyperlink" Target="https://www.kpluss.com/de-de/investor-relations/publikationen/finanzpublikationen/" TargetMode="External"/><Relationship Id="rId5" Type="http://schemas.openxmlformats.org/officeDocument/2006/relationships/hyperlink" Target="https://www.salmar.no/en/investor/reports-presentations/" TargetMode="External"/><Relationship Id="rId6" Type="http://schemas.openxmlformats.org/officeDocument/2006/relationships/hyperlink" Target="https://grupadino.pl/en/financial-reports/" TargetMode="External"/><Relationship Id="rId7" Type="http://schemas.openxmlformats.org/officeDocument/2006/relationships/hyperlink" Target="https://www.swissquote.com/en/group/investor-relations/financial-reports" TargetMode="External"/><Relationship Id="rId8" Type="http://schemas.openxmlformats.org/officeDocument/2006/relationships/hyperlink" Target="https://www.novonesis.com/es/news/h1-2026-novonesis-delivered-strong-8-organic-sales-growth-and-increases-full-year-outlook" TargetMode="External"/><Relationship Id="rId9" Type="http://schemas.openxmlformats.org/officeDocument/2006/relationships/hyperlink" Target="https://www.drax.com/financial-news/half-year-results-for-the-six-months-ended-30-june-2026/" TargetMode="External"/><Relationship Id="rId10" Type="http://schemas.openxmlformats.org/officeDocument/2006/relationships/hyperlink" Target="https://www.sartorius.com/en/company/newsroom/corporate-news/2026-half-year-results-sartorius-stedim-biotech-1845882" TargetMode="External"/><Relationship Id="rId11" Type="http://schemas.openxmlformats.org/officeDocument/2006/relationships/hyperlink" Target="https://www.finanzen.net/amp/aktien/sektorschwaeche-ausverkauf-bei-deutschen-ruestungsaktien-warum-rheinmetall-renk-hensoldt-tkms-nachgeben-00-15910423" TargetMode="External"/><Relationship Id="rId12" Type="http://schemas.openxmlformats.org/officeDocument/2006/relationships/hyperlink" Target="https://www.morningstar.com.au/stocks/why-great-earnings-havent-been-good-enough-ai-hardware-stocks" TargetMode="External"/><Relationship Id="rId13" Type="http://schemas.openxmlformats.org/officeDocument/2006/relationships/hyperlink" Target="https://www.finanzen.net/amp/aktien/sektorschwaeche-ausverkauf-bei-deutschen-ruestungsaktien-warum-rheinmetall-renk-hensoldt-tkms-nachgeben-00-15910423" TargetMode="External"/><Relationship Id="rId14" Type="http://schemas.openxmlformats.org/officeDocument/2006/relationships/hyperlink" Target="https://www.finanzen.net/amp/aktien/sektorschwaeche-ausverkauf-bei-deutschen-ruestungsaktien-warum-rheinmetall-renk-hensoldt-tkms-nachgeben-00-15910423" TargetMode="External"/><Relationship Id="rId15" Type="http://schemas.openxmlformats.org/officeDocument/2006/relationships/hyperlink" Target="https://comet.tech/en/events/2026/half-year-results-presentation" TargetMode="External"/><Relationship Id="rId16" Type="http://schemas.openxmlformats.org/officeDocument/2006/relationships/hyperlink" Target="https://www.finanzen.net/amp/aktien/sektorschwaeche-ausverkauf-bei-deutschen-ruestungsaktien-warum-rheinmetall-renk-hensoldt-tkms-nachgeben-00-15910423" TargetMode="External"/><Relationship Id="rId17" Type="http://schemas.openxmlformats.org/officeDocument/2006/relationships/hyperlink" Target="https://www.finanzen.net/amp/aktien/sektorschwaeche-ausverkauf-bei-deutschen-ruestungsaktien-warum-rheinmetall-renk-hensoldt-tkms-nachgeben-00-15910423" TargetMode="External"/><Relationship Id="rId18" Type="http://schemas.openxmlformats.org/officeDocument/2006/relationships/hyperlink" Target="https://www.ses.com/news/press-release/ses-reports-h1-2026-results-reiterates-fullyear-outlook" TargetMode="External"/><Relationship Id="rId19" Type="http://schemas.openxmlformats.org/officeDocument/2006/relationships/hyperlink" Target="https://www.finanzen.net/amp/aktien/sektorschwaeche-ausverkauf-bei-deutschen-ruestungsaktien-warum-rheinmetall-renk-hensoldt-tkms-nachgeben-00-15910423" TargetMode="External"/><Relationship Id="rId20" Type="http://schemas.openxmlformats.org/officeDocument/2006/relationships/hyperlink" Target="https://www.rockwool.com/group/about-us/news/2026/rockwool-releases-h1-2026-result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itiger.com/news/1177669587" TargetMode="External"/><Relationship Id="rId2" Type="http://schemas.openxmlformats.org/officeDocument/2006/relationships/hyperlink" Target="https://www.gold.org/goldhub/gold-focus/2026/08/china-gold-market-update-strong-official-sector-buying-july" TargetMode="External"/><Relationship Id="rId3" Type="http://schemas.openxmlformats.org/officeDocument/2006/relationships/hyperlink" Target="https://ca.investing.com/news/stock-market-news/why-is-shandong-gold-mining-stock-surging-today-93CH-4822472" TargetMode="External"/><Relationship Id="rId4" Type="http://schemas.openxmlformats.org/officeDocument/2006/relationships/hyperlink" Target="https://hk.marketscreener.com/news/shenzhen-envicool-technology-co-ltd-reports-earnings-results-for-the-half-year-ended-june-30-202-ce7858dbdc8eff2d" TargetMode="External"/><Relationship Id="rId5" Type="http://schemas.openxmlformats.org/officeDocument/2006/relationships/hyperlink" Target="https://www.yicai.com/news/103331444.html" TargetMode="External"/><Relationship Id="rId6" Type="http://schemas.openxmlformats.org/officeDocument/2006/relationships/hyperlink" Target="https://www.hochschildmining.com/investors/results-reports-presentations" TargetMode="External"/><Relationship Id="rId7" Type="http://schemas.openxmlformats.org/officeDocument/2006/relationships/hyperlink" Target="https://fls.com/en/announcements/2026/flsmidth-h1-2026-interim-financial-report-continued-strong-order-growth-and-higher-revenue-conversion-support-full-year-guidance-adjustment" TargetMode="External"/><Relationship Id="rId8" Type="http://schemas.openxmlformats.org/officeDocument/2006/relationships/hyperlink" Target="https://www.salmar.no/en/investor/reports-presentations/" TargetMode="External"/><Relationship Id="rId9" Type="http://schemas.openxmlformats.org/officeDocument/2006/relationships/hyperlink" Target="https://grupadino.pl/en/financial-reports/" TargetMode="External"/><Relationship Id="rId10" Type="http://schemas.openxmlformats.org/officeDocument/2006/relationships/hyperlink" Target="https://www.swissquote.com/en/group/investor-relations/financial-reports" TargetMode="External"/><Relationship Id="rId11" Type="http://schemas.openxmlformats.org/officeDocument/2006/relationships/hyperlink" Target="https://www.novonesis.com/es/news/h1-2026-novonesis-delivered-strong-8-organic-sales-growth-and-increases-full-year-outlook" TargetMode="External"/><Relationship Id="rId12" Type="http://schemas.openxmlformats.org/officeDocument/2006/relationships/hyperlink" Target="https://www.drax.com/financial-news/half-year-results-for-the-six-months-ended-30-june-2026/" TargetMode="External"/><Relationship Id="rId13" Type="http://schemas.openxmlformats.org/officeDocument/2006/relationships/hyperlink" Target="https://www.sartorius.com/en/company/newsroom/corporate-news/2026-half-year-results-sartorius-stedim-biotech-1845882" TargetMode="External"/><Relationship Id="rId14" Type="http://schemas.openxmlformats.org/officeDocument/2006/relationships/hyperlink" Target="https://www.finanzen.net/amp/aktien/sektorschwaeche-ausverkauf-bei-deutschen-ruestungsaktien-warum-rheinmetall-renk-hensoldt-tkms-nachgeben-00-15910423" TargetMode="External"/><Relationship Id="rId15" Type="http://schemas.openxmlformats.org/officeDocument/2006/relationships/hyperlink" Target="https://www.morningstar.com.au/stocks/why-great-earnings-havent-been-good-enough-ai-hardware-stocks" TargetMode="External"/><Relationship Id="rId16" Type="http://schemas.openxmlformats.org/officeDocument/2006/relationships/hyperlink" Target="https://www.ses.com/news/press-release/ses-reports-h1-2026-results-reiterates-fullyear-outlook" TargetMode="External"/><Relationship Id="rId17" Type="http://schemas.openxmlformats.org/officeDocument/2006/relationships/hyperlink" Target="https://www.rockwool.com/group/about-us/news/2026/rockwool-releases-h1-2026-results/" TargetMode="External"/><Relationship Id="rId18" Type="http://schemas.openxmlformats.org/officeDocument/2006/relationships/hyperlink" Target="https://www.kpluss.com/de-de/investor-relations/publikationen/finanzpublikationen/" TargetMode="External"/><Relationship Id="rId19" Type="http://schemas.openxmlformats.org/officeDocument/2006/relationships/hyperlink" Target="https://www.panafricanresources.com/wp-content/uploads/2026/06/SENS_PAN_Operational-update-ahead-of-the-year-ending-30-June-2026_20260601.pdf" TargetMode="External"/><Relationship Id="rId20" Type="http://schemas.openxmlformats.org/officeDocument/2006/relationships/hyperlink" Target="https://comet.tech/en/events/2026/half-year-results-presentation" TargetMode="External"/></Relationships>
</file>

<file path=xl/worksheets/sheet1.xml><?xml version="1.0" encoding="utf-8"?>
<worksheet xmlns="http://schemas.openxmlformats.org/spreadsheetml/2006/main" xmlns:r="http://schemas.openxmlformats.org/officeDocument/2006/relationships">
  <sheetPr>
    <pageSetUpPr fitToPage="1"/>
  </sheetPr>
  <dimension ref="B2:J29"/>
  <sheetViews>
    <sheetView showGridLines="0" tabSelected="1" zoomScale="85" zoomScaleNormal="85"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2.7109375" customWidth="1"/>
    <col min="2" max="10" width="22.7109375" customWidth="1"/>
  </cols>
  <sheetData>
    <row r="2" spans="2:10">
      <c r="B2" s="1" t="s">
        <v>0</v>
      </c>
      <c r="C2" s="1"/>
      <c r="D2" s="1"/>
      <c r="E2" s="1"/>
      <c r="F2" s="1"/>
      <c r="G2" s="1"/>
      <c r="H2" s="1"/>
      <c r="I2" s="1"/>
      <c r="J2" s="1"/>
    </row>
    <row r="3" spans="2:10">
      <c r="B3" s="1"/>
      <c r="C3" s="1"/>
      <c r="D3" s="1"/>
      <c r="E3" s="1"/>
      <c r="F3" s="1"/>
      <c r="G3" s="1"/>
      <c r="H3" s="1"/>
      <c r="I3" s="1"/>
      <c r="J3" s="1"/>
    </row>
    <row r="4" spans="2:10">
      <c r="B4" s="2" t="s">
        <v>1</v>
      </c>
      <c r="C4" s="2"/>
      <c r="D4" s="2"/>
      <c r="E4" s="2"/>
      <c r="F4" s="2"/>
      <c r="G4" s="2"/>
      <c r="H4" s="2"/>
      <c r="I4" s="2"/>
      <c r="J4" s="2"/>
    </row>
    <row r="5" spans="2:10">
      <c r="B5" s="2"/>
      <c r="C5" s="2"/>
      <c r="D5" s="2"/>
      <c r="E5" s="2"/>
      <c r="F5" s="2"/>
      <c r="G5" s="2"/>
      <c r="H5" s="2"/>
      <c r="I5" s="2"/>
      <c r="J5" s="2"/>
    </row>
    <row r="7" spans="2:10">
      <c r="B7" s="3" t="s">
        <v>2</v>
      </c>
      <c r="C7" s="3"/>
      <c r="D7" s="3"/>
      <c r="E7" s="3"/>
      <c r="F7" s="3"/>
      <c r="G7" s="3"/>
      <c r="H7" s="3"/>
      <c r="I7" s="3"/>
      <c r="J7" s="3"/>
    </row>
    <row r="9" spans="2:10">
      <c r="B9" s="4" t="s">
        <v>3</v>
      </c>
      <c r="C9" s="4"/>
      <c r="D9" s="4"/>
      <c r="E9" s="4" t="s">
        <v>5</v>
      </c>
      <c r="F9" s="4"/>
      <c r="G9" s="4"/>
      <c r="H9" s="4" t="s">
        <v>7</v>
      </c>
      <c r="I9" s="4"/>
      <c r="J9" s="4"/>
    </row>
    <row r="10" spans="2:10">
      <c r="B10" s="5" t="s">
        <v>4</v>
      </c>
      <c r="C10" s="5"/>
      <c r="D10" s="5"/>
      <c r="E10" s="5" t="s">
        <v>6</v>
      </c>
      <c r="F10" s="5"/>
      <c r="G10" s="5"/>
      <c r="H10" s="5" t="s">
        <v>8</v>
      </c>
      <c r="I10" s="5"/>
      <c r="J10" s="5"/>
    </row>
    <row r="11" spans="2:10">
      <c r="B11" s="5"/>
      <c r="C11" s="5"/>
      <c r="D11" s="5"/>
      <c r="E11" s="5"/>
      <c r="F11" s="5"/>
      <c r="G11" s="5"/>
      <c r="H11" s="5"/>
      <c r="I11" s="5"/>
      <c r="J11" s="5"/>
    </row>
    <row r="12" spans="2:10">
      <c r="B12" s="5"/>
      <c r="C12" s="5"/>
      <c r="D12" s="5"/>
      <c r="E12" s="5"/>
      <c r="F12" s="5"/>
      <c r="G12" s="5"/>
      <c r="H12" s="5"/>
      <c r="I12" s="5"/>
      <c r="J12" s="5"/>
    </row>
    <row r="13" spans="2:10">
      <c r="B13" s="5"/>
      <c r="C13" s="5"/>
      <c r="D13" s="5"/>
      <c r="E13" s="5"/>
      <c r="F13" s="5"/>
      <c r="G13" s="5"/>
      <c r="H13" s="5"/>
      <c r="I13" s="5"/>
      <c r="J13" s="5"/>
    </row>
    <row r="14" spans="2:10">
      <c r="B14" s="5"/>
      <c r="C14" s="5"/>
      <c r="D14" s="5"/>
      <c r="E14" s="5"/>
      <c r="F14" s="5"/>
      <c r="G14" s="5"/>
      <c r="H14" s="5"/>
      <c r="I14" s="5"/>
      <c r="J14" s="5"/>
    </row>
    <row r="16" spans="2:10">
      <c r="B16" s="3" t="s">
        <v>9</v>
      </c>
      <c r="C16" s="3"/>
      <c r="D16" s="3"/>
      <c r="E16" s="3"/>
      <c r="F16" s="3"/>
      <c r="G16" s="3"/>
      <c r="H16" s="3"/>
      <c r="I16" s="3"/>
      <c r="J16" s="3"/>
    </row>
    <row r="18" spans="2:10">
      <c r="B18" s="5" t="s">
        <v>10</v>
      </c>
      <c r="C18" s="5"/>
      <c r="D18" s="5"/>
      <c r="E18" s="5"/>
      <c r="F18" s="5"/>
      <c r="G18" s="5"/>
      <c r="H18" s="5"/>
      <c r="I18" s="5"/>
      <c r="J18" s="5"/>
    </row>
    <row r="19" spans="2:10">
      <c r="B19" s="5"/>
      <c r="C19" s="5"/>
      <c r="D19" s="5"/>
      <c r="E19" s="5"/>
      <c r="F19" s="5"/>
      <c r="G19" s="5"/>
      <c r="H19" s="5"/>
      <c r="I19" s="5"/>
      <c r="J19" s="5"/>
    </row>
    <row r="20" spans="2:10">
      <c r="B20" s="5"/>
      <c r="C20" s="5"/>
      <c r="D20" s="5"/>
      <c r="E20" s="5"/>
      <c r="F20" s="5"/>
      <c r="G20" s="5"/>
      <c r="H20" s="5"/>
      <c r="I20" s="5"/>
      <c r="J20" s="5"/>
    </row>
    <row r="21" spans="2:10">
      <c r="B21" s="5"/>
      <c r="C21" s="5"/>
      <c r="D21" s="5"/>
      <c r="E21" s="5"/>
      <c r="F21" s="5"/>
      <c r="G21" s="5"/>
      <c r="H21" s="5"/>
      <c r="I21" s="5"/>
      <c r="J21" s="5"/>
    </row>
    <row r="22" spans="2:10">
      <c r="B22" s="5"/>
      <c r="C22" s="5"/>
      <c r="D22" s="5"/>
      <c r="E22" s="5"/>
      <c r="F22" s="5"/>
      <c r="G22" s="5"/>
      <c r="H22" s="5"/>
      <c r="I22" s="5"/>
      <c r="J22" s="5"/>
    </row>
    <row r="24" spans="2:10">
      <c r="B24" s="3" t="s">
        <v>11</v>
      </c>
      <c r="C24" s="3"/>
      <c r="D24" s="3"/>
      <c r="E24" s="3"/>
      <c r="F24" s="3"/>
      <c r="G24" s="3"/>
      <c r="H24" s="3"/>
      <c r="I24" s="3"/>
      <c r="J24" s="3"/>
    </row>
    <row r="26" spans="2:10">
      <c r="B26" s="5" t="s">
        <v>12</v>
      </c>
      <c r="C26" s="5"/>
      <c r="D26" s="5"/>
      <c r="E26" s="5"/>
      <c r="F26" s="5"/>
      <c r="G26" s="5"/>
      <c r="H26" s="5"/>
      <c r="I26" s="5"/>
      <c r="J26" s="5"/>
    </row>
    <row r="27" spans="2:10">
      <c r="B27" s="5"/>
      <c r="C27" s="5"/>
      <c r="D27" s="5"/>
      <c r="E27" s="5"/>
      <c r="F27" s="5"/>
      <c r="G27" s="5"/>
      <c r="H27" s="5"/>
      <c r="I27" s="5"/>
      <c r="J27" s="5"/>
    </row>
    <row r="28" spans="2:10">
      <c r="B28" s="5"/>
      <c r="C28" s="5"/>
      <c r="D28" s="5"/>
      <c r="E28" s="5"/>
      <c r="F28" s="5"/>
      <c r="G28" s="5"/>
      <c r="H28" s="5"/>
      <c r="I28" s="5"/>
      <c r="J28" s="5"/>
    </row>
    <row r="29" spans="2:10">
      <c r="B29" s="5"/>
      <c r="C29" s="5"/>
      <c r="D29" s="5"/>
      <c r="E29" s="5"/>
      <c r="F29" s="5"/>
      <c r="G29" s="5"/>
      <c r="H29" s="5"/>
      <c r="I29" s="5"/>
      <c r="J29" s="5"/>
    </row>
  </sheetData>
  <mergeCells count="13">
    <mergeCell ref="B2:J3"/>
    <mergeCell ref="B4:J5"/>
    <mergeCell ref="B7:J7"/>
    <mergeCell ref="B9:D9"/>
    <mergeCell ref="B10:D14"/>
    <mergeCell ref="E9:G9"/>
    <mergeCell ref="E10:G14"/>
    <mergeCell ref="H9:J9"/>
    <mergeCell ref="H10:J14"/>
    <mergeCell ref="B16:J16"/>
    <mergeCell ref="B18:J22"/>
    <mergeCell ref="B24:J24"/>
    <mergeCell ref="B26:J29"/>
  </mergeCells>
  <pageMargins left="0.3" right="0.3" top="0.4" bottom="0.4"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13</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14</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29</v>
      </c>
      <c r="D7" s="8" t="s">
        <v>30</v>
      </c>
      <c r="E7" s="8" t="s">
        <v>31</v>
      </c>
      <c r="F7" s="8" t="s">
        <v>32</v>
      </c>
      <c r="G7" s="9">
        <v>78.02</v>
      </c>
      <c r="H7" s="9">
        <v>157.7350006103516</v>
      </c>
      <c r="I7" s="10">
        <f>H7/G7-1</f>
        <v>1.0217252064900229</v>
      </c>
      <c r="J7" s="11" t="s">
        <v>33</v>
      </c>
      <c r="K7" s="8" t="s">
        <v>34</v>
      </c>
      <c r="L7" s="8" t="s">
        <v>35</v>
      </c>
      <c r="M7" s="7" t="s">
        <v>36</v>
      </c>
    </row>
    <row r="8" spans="1:13" ht="46" customHeight="1">
      <c r="A8" s="7">
        <v>2</v>
      </c>
      <c r="B8" s="7" t="s">
        <v>28</v>
      </c>
      <c r="C8" s="8" t="s">
        <v>37</v>
      </c>
      <c r="D8" s="8" t="s">
        <v>38</v>
      </c>
      <c r="E8" s="8" t="s">
        <v>31</v>
      </c>
      <c r="F8" s="8" t="s">
        <v>39</v>
      </c>
      <c r="G8" s="9">
        <v>206.09</v>
      </c>
      <c r="H8" s="9">
        <v>255.5549926757812</v>
      </c>
      <c r="I8" s="10">
        <f>H8/G8-1</f>
        <v>0.24001646210772565</v>
      </c>
      <c r="J8" s="11" t="s">
        <v>33</v>
      </c>
      <c r="K8" s="8" t="s">
        <v>34</v>
      </c>
      <c r="L8" s="8" t="s">
        <v>35</v>
      </c>
      <c r="M8" s="7" t="s">
        <v>36</v>
      </c>
    </row>
    <row r="9" spans="1:13" ht="46" customHeight="1">
      <c r="A9" s="7">
        <v>3</v>
      </c>
      <c r="B9" s="7" t="s">
        <v>28</v>
      </c>
      <c r="C9" s="8" t="s">
        <v>40</v>
      </c>
      <c r="D9" s="8" t="s">
        <v>41</v>
      </c>
      <c r="E9" s="8" t="s">
        <v>42</v>
      </c>
      <c r="F9" s="8" t="s">
        <v>43</v>
      </c>
      <c r="G9" s="9">
        <v>580.63</v>
      </c>
      <c r="H9" s="9">
        <v>685.47998046875</v>
      </c>
      <c r="I9" s="10">
        <f>H9/G9-1</f>
        <v>0.1805796814989753</v>
      </c>
      <c r="J9" s="11" t="s">
        <v>33</v>
      </c>
      <c r="K9" s="8" t="s">
        <v>34</v>
      </c>
      <c r="L9" s="8" t="s">
        <v>44</v>
      </c>
      <c r="M9" s="7" t="s">
        <v>36</v>
      </c>
    </row>
    <row r="10" spans="1:13" ht="46" customHeight="1">
      <c r="A10" s="7">
        <v>4</v>
      </c>
      <c r="B10" s="7" t="s">
        <v>28</v>
      </c>
      <c r="C10" s="8" t="s">
        <v>45</v>
      </c>
      <c r="D10" s="8" t="s">
        <v>46</v>
      </c>
      <c r="E10" s="8" t="s">
        <v>47</v>
      </c>
      <c r="F10" s="8" t="s">
        <v>47</v>
      </c>
      <c r="G10" s="9">
        <v>22.23</v>
      </c>
      <c r="H10" s="9">
        <v>25.72500038146973</v>
      </c>
      <c r="I10" s="10">
        <f>H10/G10-1</f>
        <v>0.15721999016957855</v>
      </c>
      <c r="J10" s="11" t="s">
        <v>33</v>
      </c>
      <c r="K10" s="8" t="s">
        <v>34</v>
      </c>
      <c r="L10" s="8" t="s">
        <v>48</v>
      </c>
      <c r="M10" s="7" t="s">
        <v>36</v>
      </c>
    </row>
    <row r="11" spans="1:13" ht="46" customHeight="1">
      <c r="A11" s="7">
        <v>5</v>
      </c>
      <c r="B11" s="7" t="s">
        <v>28</v>
      </c>
      <c r="C11" s="8" t="s">
        <v>49</v>
      </c>
      <c r="D11" s="8" t="s">
        <v>50</v>
      </c>
      <c r="E11" s="8" t="s">
        <v>47</v>
      </c>
      <c r="F11" s="8" t="s">
        <v>47</v>
      </c>
      <c r="G11" s="9">
        <v>119.02</v>
      </c>
      <c r="H11" s="9">
        <v>137.6600036621094</v>
      </c>
      <c r="I11" s="10">
        <f>H11/G11-1</f>
        <v>0.15661236483035967</v>
      </c>
      <c r="J11" s="11" t="s">
        <v>33</v>
      </c>
      <c r="K11" s="8" t="s">
        <v>34</v>
      </c>
      <c r="L11" s="8" t="s">
        <v>48</v>
      </c>
      <c r="M11" s="7" t="s">
        <v>36</v>
      </c>
    </row>
    <row r="12" spans="1:13" ht="46" customHeight="1">
      <c r="A12" s="7">
        <v>6</v>
      </c>
      <c r="B12" s="7" t="s">
        <v>28</v>
      </c>
      <c r="C12" s="8" t="s">
        <v>51</v>
      </c>
      <c r="D12" s="8" t="s">
        <v>52</v>
      </c>
      <c r="E12" s="8" t="s">
        <v>47</v>
      </c>
      <c r="F12" s="8" t="s">
        <v>47</v>
      </c>
      <c r="G12" s="9">
        <v>78.56999999999999</v>
      </c>
      <c r="H12" s="9">
        <v>90.01999664306641</v>
      </c>
      <c r="I12" s="10">
        <f>H12/G12-1</f>
        <v>0.1457298796368387</v>
      </c>
      <c r="J12" s="11" t="s">
        <v>33</v>
      </c>
      <c r="K12" s="8" t="s">
        <v>34</v>
      </c>
      <c r="L12" s="8" t="s">
        <v>48</v>
      </c>
      <c r="M12" s="7" t="s">
        <v>36</v>
      </c>
    </row>
    <row r="13" spans="1:13" ht="46" customHeight="1">
      <c r="A13" s="7">
        <v>7</v>
      </c>
      <c r="B13" s="7" t="s">
        <v>28</v>
      </c>
      <c r="C13" s="8" t="s">
        <v>53</v>
      </c>
      <c r="D13" s="8" t="s">
        <v>54</v>
      </c>
      <c r="E13" s="8" t="s">
        <v>55</v>
      </c>
      <c r="F13" s="8" t="s">
        <v>56</v>
      </c>
      <c r="G13" s="9">
        <v>34.66</v>
      </c>
      <c r="H13" s="9">
        <v>38.70500183105469</v>
      </c>
      <c r="I13" s="10">
        <f>H13/G13-1</f>
        <v>0.11670518843204536</v>
      </c>
      <c r="J13" s="11" t="s">
        <v>33</v>
      </c>
      <c r="K13" s="8" t="s">
        <v>34</v>
      </c>
      <c r="L13" s="8" t="s">
        <v>57</v>
      </c>
      <c r="M13" s="7" t="s">
        <v>36</v>
      </c>
    </row>
    <row r="14" spans="1:13" ht="46" customHeight="1">
      <c r="A14" s="7">
        <v>8</v>
      </c>
      <c r="B14" s="7" t="s">
        <v>28</v>
      </c>
      <c r="C14" s="8" t="s">
        <v>58</v>
      </c>
      <c r="D14" s="8" t="s">
        <v>59</v>
      </c>
      <c r="E14" s="8" t="s">
        <v>60</v>
      </c>
      <c r="F14" s="8" t="s">
        <v>61</v>
      </c>
      <c r="G14" s="9">
        <v>251</v>
      </c>
      <c r="H14" s="9">
        <v>279.0700073242188</v>
      </c>
      <c r="I14" s="10">
        <f>H14/G14-1</f>
        <v>0.1118326985028637</v>
      </c>
      <c r="J14" s="11" t="s">
        <v>33</v>
      </c>
      <c r="K14" s="8" t="s">
        <v>34</v>
      </c>
      <c r="L14" s="8" t="s">
        <v>62</v>
      </c>
      <c r="M14" s="7" t="s">
        <v>36</v>
      </c>
    </row>
    <row r="15" spans="1:13" ht="46" customHeight="1">
      <c r="A15" s="7">
        <v>9</v>
      </c>
      <c r="B15" s="7" t="s">
        <v>28</v>
      </c>
      <c r="C15" s="8" t="s">
        <v>63</v>
      </c>
      <c r="D15" s="8" t="s">
        <v>64</v>
      </c>
      <c r="E15" s="8" t="s">
        <v>31</v>
      </c>
      <c r="F15" s="8" t="s">
        <v>39</v>
      </c>
      <c r="G15" s="9">
        <v>27.54</v>
      </c>
      <c r="H15" s="9">
        <v>30.51499938964844</v>
      </c>
      <c r="I15" s="10">
        <f>H15/G15-1</f>
        <v>0.10802466919565878</v>
      </c>
      <c r="J15" s="11" t="s">
        <v>33</v>
      </c>
      <c r="K15" s="8" t="s">
        <v>34</v>
      </c>
      <c r="L15" s="8" t="s">
        <v>35</v>
      </c>
      <c r="M15" s="7" t="s">
        <v>36</v>
      </c>
    </row>
    <row r="16" spans="1:13" ht="46" customHeight="1">
      <c r="A16" s="7">
        <v>10</v>
      </c>
      <c r="B16" s="7" t="s">
        <v>28</v>
      </c>
      <c r="C16" s="8" t="s">
        <v>65</v>
      </c>
      <c r="D16" s="8" t="s">
        <v>66</v>
      </c>
      <c r="E16" s="8" t="s">
        <v>31</v>
      </c>
      <c r="F16" s="8" t="s">
        <v>32</v>
      </c>
      <c r="G16" s="9">
        <v>137.2</v>
      </c>
      <c r="H16" s="9">
        <v>151.7599945068359</v>
      </c>
      <c r="I16" s="10">
        <f>H16/G16-1</f>
        <v>0.1061224089419528</v>
      </c>
      <c r="J16" s="11" t="s">
        <v>33</v>
      </c>
      <c r="K16" s="8" t="s">
        <v>34</v>
      </c>
      <c r="L16" s="8" t="s">
        <v>35</v>
      </c>
      <c r="M16" s="7" t="s">
        <v>36</v>
      </c>
    </row>
    <row r="17" spans="1:13" ht="46" customHeight="1">
      <c r="A17" s="7">
        <v>1</v>
      </c>
      <c r="B17" s="7" t="s">
        <v>67</v>
      </c>
      <c r="C17" s="8" t="s">
        <v>68</v>
      </c>
      <c r="D17" s="8" t="s">
        <v>69</v>
      </c>
      <c r="E17" s="8" t="s">
        <v>70</v>
      </c>
      <c r="F17" s="8" t="s">
        <v>70</v>
      </c>
      <c r="G17" s="9">
        <v>17.65</v>
      </c>
      <c r="H17" s="9">
        <v>12.91499996185303</v>
      </c>
      <c r="I17" s="10">
        <f>H17/G17-1</f>
        <v>-0.2682719568355224</v>
      </c>
      <c r="J17" s="11" t="s">
        <v>33</v>
      </c>
      <c r="K17" s="8" t="s">
        <v>71</v>
      </c>
      <c r="L17" s="8" t="s">
        <v>72</v>
      </c>
      <c r="M17" s="7" t="s">
        <v>36</v>
      </c>
    </row>
    <row r="18" spans="1:13" ht="46" customHeight="1">
      <c r="A18" s="7">
        <v>2</v>
      </c>
      <c r="B18" s="7" t="s">
        <v>67</v>
      </c>
      <c r="C18" s="8" t="s">
        <v>73</v>
      </c>
      <c r="D18" s="8" t="s">
        <v>74</v>
      </c>
      <c r="E18" s="8" t="s">
        <v>70</v>
      </c>
      <c r="F18" s="8" t="s">
        <v>70</v>
      </c>
      <c r="G18" s="9">
        <v>73.44</v>
      </c>
      <c r="H18" s="9">
        <v>54.9900016784668</v>
      </c>
      <c r="I18" s="10">
        <f>H18/G18-1</f>
        <v>-0.2512254673411384</v>
      </c>
      <c r="J18" s="11" t="s">
        <v>33</v>
      </c>
      <c r="K18" s="8" t="s">
        <v>71</v>
      </c>
      <c r="L18" s="8" t="s">
        <v>72</v>
      </c>
      <c r="M18" s="7" t="s">
        <v>36</v>
      </c>
    </row>
    <row r="19" spans="1:13" ht="46" customHeight="1">
      <c r="A19" s="7">
        <v>3</v>
      </c>
      <c r="B19" s="7" t="s">
        <v>67</v>
      </c>
      <c r="C19" s="8" t="s">
        <v>75</v>
      </c>
      <c r="D19" s="8" t="s">
        <v>76</v>
      </c>
      <c r="E19" s="8" t="s">
        <v>42</v>
      </c>
      <c r="F19" s="8" t="s">
        <v>43</v>
      </c>
      <c r="G19" s="9">
        <v>645.72</v>
      </c>
      <c r="H19" s="9">
        <v>507.5700073242188</v>
      </c>
      <c r="I19" s="10">
        <f>H19/G19-1</f>
        <v>-0.21394721036328623</v>
      </c>
      <c r="J19" s="11" t="s">
        <v>33</v>
      </c>
      <c r="K19" s="8" t="s">
        <v>71</v>
      </c>
      <c r="L19" s="8" t="s">
        <v>77</v>
      </c>
      <c r="M19" s="7" t="s">
        <v>36</v>
      </c>
    </row>
    <row r="20" spans="1:13" ht="46" customHeight="1">
      <c r="A20" s="7">
        <v>4</v>
      </c>
      <c r="B20" s="7" t="s">
        <v>67</v>
      </c>
      <c r="C20" s="8" t="s">
        <v>78</v>
      </c>
      <c r="D20" s="8" t="s">
        <v>79</v>
      </c>
      <c r="E20" s="8" t="s">
        <v>60</v>
      </c>
      <c r="F20" s="8" t="s">
        <v>80</v>
      </c>
      <c r="G20" s="9">
        <v>174.38</v>
      </c>
      <c r="H20" s="9">
        <v>148.4100036621094</v>
      </c>
      <c r="I20" s="10">
        <f>H20/G20-1</f>
        <v>-0.14892760831454632</v>
      </c>
      <c r="J20" s="11" t="s">
        <v>33</v>
      </c>
      <c r="K20" s="8" t="s">
        <v>71</v>
      </c>
      <c r="L20" s="8" t="s">
        <v>81</v>
      </c>
      <c r="M20" s="7" t="s">
        <v>36</v>
      </c>
    </row>
    <row r="21" spans="1:13" ht="46" customHeight="1">
      <c r="A21" s="7">
        <v>5</v>
      </c>
      <c r="B21" s="7" t="s">
        <v>67</v>
      </c>
      <c r="C21" s="8" t="s">
        <v>82</v>
      </c>
      <c r="D21" s="8" t="s">
        <v>83</v>
      </c>
      <c r="E21" s="8" t="s">
        <v>42</v>
      </c>
      <c r="F21" s="8" t="s">
        <v>43</v>
      </c>
      <c r="G21" s="9">
        <v>210.81</v>
      </c>
      <c r="H21" s="9">
        <v>181.7299957275391</v>
      </c>
      <c r="I21" s="10">
        <f>H21/G21-1</f>
        <v>-0.13794414056477833</v>
      </c>
      <c r="J21" s="11" t="s">
        <v>33</v>
      </c>
      <c r="K21" s="8" t="s">
        <v>71</v>
      </c>
      <c r="L21" s="8" t="s">
        <v>77</v>
      </c>
      <c r="M21" s="7" t="s">
        <v>36</v>
      </c>
    </row>
    <row r="22" spans="1:13" ht="46" customHeight="1">
      <c r="A22" s="7">
        <v>6</v>
      </c>
      <c r="B22" s="7" t="s">
        <v>67</v>
      </c>
      <c r="C22" s="8" t="s">
        <v>84</v>
      </c>
      <c r="D22" s="8" t="s">
        <v>85</v>
      </c>
      <c r="E22" s="8" t="s">
        <v>31</v>
      </c>
      <c r="F22" s="8" t="s">
        <v>86</v>
      </c>
      <c r="G22" s="9">
        <v>237.27</v>
      </c>
      <c r="H22" s="9">
        <v>204.9799957275391</v>
      </c>
      <c r="I22" s="10">
        <f>H22/G22-1</f>
        <v>-0.13608970486138539</v>
      </c>
      <c r="J22" s="11" t="s">
        <v>33</v>
      </c>
      <c r="K22" s="8" t="s">
        <v>71</v>
      </c>
      <c r="L22" s="8" t="s">
        <v>87</v>
      </c>
      <c r="M22" s="7" t="s">
        <v>36</v>
      </c>
    </row>
    <row r="23" spans="1:13" ht="46" customHeight="1">
      <c r="A23" s="7">
        <v>7</v>
      </c>
      <c r="B23" s="7" t="s">
        <v>67</v>
      </c>
      <c r="C23" s="8" t="s">
        <v>88</v>
      </c>
      <c r="D23" s="8" t="s">
        <v>89</v>
      </c>
      <c r="E23" s="8" t="s">
        <v>31</v>
      </c>
      <c r="F23" s="8" t="s">
        <v>32</v>
      </c>
      <c r="G23" s="9">
        <v>399.47</v>
      </c>
      <c r="H23" s="9">
        <v>351.0599975585938</v>
      </c>
      <c r="I23" s="10">
        <f>H23/G23-1</f>
        <v>-0.12118557699303134</v>
      </c>
      <c r="J23" s="11" t="s">
        <v>33</v>
      </c>
      <c r="K23" s="8" t="s">
        <v>71</v>
      </c>
      <c r="L23" s="8" t="s">
        <v>87</v>
      </c>
      <c r="M23" s="7" t="s">
        <v>36</v>
      </c>
    </row>
    <row r="24" spans="1:13" ht="46" customHeight="1">
      <c r="A24" s="7">
        <v>8</v>
      </c>
      <c r="B24" s="7" t="s">
        <v>67</v>
      </c>
      <c r="C24" s="8" t="s">
        <v>90</v>
      </c>
      <c r="D24" s="8" t="s">
        <v>91</v>
      </c>
      <c r="E24" s="8" t="s">
        <v>92</v>
      </c>
      <c r="F24" s="8" t="s">
        <v>93</v>
      </c>
      <c r="G24" s="9">
        <v>61.25</v>
      </c>
      <c r="H24" s="9">
        <v>53.90999984741211</v>
      </c>
      <c r="I24" s="10">
        <f>H24/G24-1</f>
        <v>-0.11983673718510846</v>
      </c>
      <c r="J24" s="11" t="s">
        <v>33</v>
      </c>
      <c r="K24" s="8" t="s">
        <v>71</v>
      </c>
      <c r="L24" s="8" t="s">
        <v>94</v>
      </c>
      <c r="M24" s="7" t="s">
        <v>36</v>
      </c>
    </row>
    <row r="25" spans="1:13" ht="46" customHeight="1">
      <c r="A25" s="7">
        <v>9</v>
      </c>
      <c r="B25" s="7" t="s">
        <v>67</v>
      </c>
      <c r="C25" s="8" t="s">
        <v>95</v>
      </c>
      <c r="D25" s="8" t="s">
        <v>96</v>
      </c>
      <c r="E25" s="8" t="s">
        <v>42</v>
      </c>
      <c r="F25" s="8" t="s">
        <v>43</v>
      </c>
      <c r="G25" s="9">
        <v>72.55</v>
      </c>
      <c r="H25" s="9">
        <v>63.93999862670898</v>
      </c>
      <c r="I25" s="10">
        <f>H25/G25-1</f>
        <v>-0.11867679356707128</v>
      </c>
      <c r="J25" s="11" t="s">
        <v>33</v>
      </c>
      <c r="K25" s="8" t="s">
        <v>71</v>
      </c>
      <c r="L25" s="8" t="s">
        <v>77</v>
      </c>
      <c r="M25" s="7" t="s">
        <v>36</v>
      </c>
    </row>
    <row r="26" spans="1:13" ht="46" customHeight="1">
      <c r="A26" s="7">
        <v>10</v>
      </c>
      <c r="B26" s="7" t="s">
        <v>67</v>
      </c>
      <c r="C26" s="8" t="s">
        <v>97</v>
      </c>
      <c r="D26" s="8" t="s">
        <v>98</v>
      </c>
      <c r="E26" s="8" t="s">
        <v>31</v>
      </c>
      <c r="F26" s="8" t="s">
        <v>86</v>
      </c>
      <c r="G26" s="9">
        <v>496.17</v>
      </c>
      <c r="H26" s="9">
        <v>437.3500061035156</v>
      </c>
      <c r="I26" s="10">
        <f>H26/G26-1</f>
        <v>-0.11854806597836309</v>
      </c>
      <c r="J26" s="11" t="s">
        <v>33</v>
      </c>
      <c r="K26" s="8" t="s">
        <v>71</v>
      </c>
      <c r="L26" s="8" t="s">
        <v>87</v>
      </c>
      <c r="M26" s="7" t="s">
        <v>36</v>
      </c>
    </row>
    <row r="28" spans="1:13">
      <c r="A28" s="3" t="s">
        <v>99</v>
      </c>
      <c r="B28" s="3" t="s">
        <v>100</v>
      </c>
      <c r="C28" s="3"/>
      <c r="D28" s="3"/>
      <c r="E28" s="3"/>
      <c r="F28" s="3"/>
      <c r="G28" s="3"/>
      <c r="H28" s="3"/>
      <c r="I28" s="3"/>
      <c r="J28" s="3"/>
      <c r="K28" s="3"/>
      <c r="L28" s="3"/>
      <c r="M28" s="3"/>
    </row>
    <row r="30" spans="1:13">
      <c r="A30" s="5" t="s">
        <v>4</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2" t="s">
        <v>101</v>
      </c>
      <c r="B35" s="12"/>
      <c r="C35" s="12"/>
      <c r="D35" s="12"/>
      <c r="E35" s="12"/>
      <c r="F35" s="12"/>
      <c r="G35" s="12"/>
      <c r="H35" s="12"/>
      <c r="I35" s="12"/>
      <c r="J35" s="12"/>
      <c r="K35" s="12"/>
      <c r="L35" s="12"/>
      <c r="M35" s="12"/>
    </row>
    <row r="36" spans="1:13">
      <c r="A36" s="12"/>
      <c r="B36" s="12"/>
      <c r="C36" s="12"/>
      <c r="D36" s="12"/>
      <c r="E36" s="12"/>
      <c r="F36" s="12"/>
      <c r="G36" s="12"/>
      <c r="H36" s="12"/>
      <c r="I36" s="12"/>
      <c r="J36" s="12"/>
      <c r="K36" s="12"/>
      <c r="L36" s="12"/>
      <c r="M36" s="12"/>
    </row>
    <row r="37" spans="1:13">
      <c r="A37" s="12"/>
      <c r="B37" s="12"/>
      <c r="C37" s="12"/>
      <c r="D37" s="12"/>
      <c r="E37" s="12"/>
      <c r="F37" s="12"/>
      <c r="G37" s="12"/>
      <c r="H37" s="12"/>
      <c r="I37" s="12"/>
      <c r="J37" s="12"/>
      <c r="K37" s="12"/>
      <c r="L37" s="12"/>
      <c r="M37" s="12"/>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pageMargins left="0.25" right="0.25" top="0.4" bottom="0.4" header="0.3" footer="0.3"/>
  <pageSetup orientation="landscape"/>
</worksheet>
</file>

<file path=xl/worksheets/sheet3.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102</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103</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104</v>
      </c>
      <c r="D7" s="8" t="s">
        <v>105</v>
      </c>
      <c r="E7" s="8" t="s">
        <v>106</v>
      </c>
      <c r="F7" s="8" t="s">
        <v>107</v>
      </c>
      <c r="G7" s="9">
        <v>15.15</v>
      </c>
      <c r="H7" s="9">
        <v>20.3799991607666</v>
      </c>
      <c r="I7" s="10">
        <f>H7/G7-1</f>
        <v>0.3452144660572014</v>
      </c>
      <c r="J7" s="13" t="s">
        <v>108</v>
      </c>
      <c r="K7" s="8" t="s">
        <v>109</v>
      </c>
      <c r="L7" s="8" t="s">
        <v>110</v>
      </c>
      <c r="M7" s="14" t="s">
        <v>111</v>
      </c>
    </row>
    <row r="8" spans="1:13" ht="46" customHeight="1">
      <c r="A8" s="7">
        <v>2</v>
      </c>
      <c r="B8" s="7" t="s">
        <v>28</v>
      </c>
      <c r="C8" s="8" t="s">
        <v>112</v>
      </c>
      <c r="D8" s="8" t="s">
        <v>113</v>
      </c>
      <c r="E8" s="8" t="s">
        <v>47</v>
      </c>
      <c r="F8" s="8" t="s">
        <v>47</v>
      </c>
      <c r="G8" s="9">
        <v>30.61</v>
      </c>
      <c r="H8" s="9">
        <v>36.88999938964844</v>
      </c>
      <c r="I8" s="10">
        <f>H8/G8-1</f>
        <v>0.20516169191925648</v>
      </c>
      <c r="J8" s="13" t="s">
        <v>108</v>
      </c>
      <c r="K8" s="8" t="s">
        <v>114</v>
      </c>
      <c r="L8" s="8" t="s">
        <v>115</v>
      </c>
      <c r="M8" s="14" t="s">
        <v>116</v>
      </c>
    </row>
    <row r="9" spans="1:13" ht="46" customHeight="1">
      <c r="A9" s="7">
        <v>3</v>
      </c>
      <c r="B9" s="7" t="s">
        <v>28</v>
      </c>
      <c r="C9" s="8" t="s">
        <v>117</v>
      </c>
      <c r="D9" s="8" t="s">
        <v>118</v>
      </c>
      <c r="E9" s="8" t="s">
        <v>92</v>
      </c>
      <c r="F9" s="8" t="s">
        <v>119</v>
      </c>
      <c r="G9" s="9">
        <v>6.91</v>
      </c>
      <c r="H9" s="9">
        <v>7.909999847412109</v>
      </c>
      <c r="I9" s="10">
        <f>H9/G9-1</f>
        <v>0.14471777820725173</v>
      </c>
      <c r="J9" s="11" t="s">
        <v>120</v>
      </c>
      <c r="K9" s="8" t="s">
        <v>121</v>
      </c>
      <c r="L9" s="8" t="s">
        <v>122</v>
      </c>
      <c r="M9" s="7" t="s">
        <v>36</v>
      </c>
    </row>
    <row r="10" spans="1:13" ht="46" customHeight="1">
      <c r="A10" s="7">
        <v>4</v>
      </c>
      <c r="B10" s="7" t="s">
        <v>28</v>
      </c>
      <c r="C10" s="8" t="s">
        <v>123</v>
      </c>
      <c r="D10" s="8" t="s">
        <v>124</v>
      </c>
      <c r="E10" s="8" t="s">
        <v>42</v>
      </c>
      <c r="F10" s="8" t="s">
        <v>43</v>
      </c>
      <c r="G10" s="9">
        <v>57.57</v>
      </c>
      <c r="H10" s="9">
        <v>65.90000152587891</v>
      </c>
      <c r="I10" s="10">
        <f>H10/G10-1</f>
        <v>0.1446934432148499</v>
      </c>
      <c r="J10" s="13" t="s">
        <v>108</v>
      </c>
      <c r="K10" s="8" t="s">
        <v>125</v>
      </c>
      <c r="L10" s="8" t="s">
        <v>126</v>
      </c>
      <c r="M10" s="14" t="s">
        <v>127</v>
      </c>
    </row>
    <row r="11" spans="1:13" ht="46" customHeight="1">
      <c r="A11" s="7">
        <v>5</v>
      </c>
      <c r="B11" s="7" t="s">
        <v>28</v>
      </c>
      <c r="C11" s="8" t="s">
        <v>128</v>
      </c>
      <c r="D11" s="8" t="s">
        <v>129</v>
      </c>
      <c r="E11" s="8" t="s">
        <v>47</v>
      </c>
      <c r="F11" s="8" t="s">
        <v>47</v>
      </c>
      <c r="G11" s="9">
        <v>12.87</v>
      </c>
      <c r="H11" s="9">
        <v>14.64000034332275</v>
      </c>
      <c r="I11" s="10">
        <f>H11/G11-1</f>
        <v>0.137529164205342</v>
      </c>
      <c r="J11" s="11" t="s">
        <v>120</v>
      </c>
      <c r="K11" s="8" t="s">
        <v>130</v>
      </c>
      <c r="L11" s="8" t="s">
        <v>131</v>
      </c>
      <c r="M11" s="7" t="s">
        <v>36</v>
      </c>
    </row>
    <row r="12" spans="1:13" ht="46" customHeight="1">
      <c r="A12" s="7">
        <v>6</v>
      </c>
      <c r="B12" s="7" t="s">
        <v>28</v>
      </c>
      <c r="C12" s="8" t="s">
        <v>132</v>
      </c>
      <c r="D12" s="8" t="s">
        <v>133</v>
      </c>
      <c r="E12" s="8" t="s">
        <v>42</v>
      </c>
      <c r="F12" s="8" t="s">
        <v>43</v>
      </c>
      <c r="G12" s="9">
        <v>8.44</v>
      </c>
      <c r="H12" s="9">
        <v>9.560000419616699</v>
      </c>
      <c r="I12" s="10">
        <f>H12/G12-1</f>
        <v>0.13270147151856637</v>
      </c>
      <c r="J12" s="11" t="s">
        <v>120</v>
      </c>
      <c r="K12" s="8" t="s">
        <v>134</v>
      </c>
      <c r="L12" s="8" t="s">
        <v>135</v>
      </c>
      <c r="M12" s="7" t="s">
        <v>36</v>
      </c>
    </row>
    <row r="13" spans="1:13" ht="46" customHeight="1">
      <c r="A13" s="7">
        <v>7</v>
      </c>
      <c r="B13" s="7" t="s">
        <v>28</v>
      </c>
      <c r="C13" s="8" t="s">
        <v>136</v>
      </c>
      <c r="D13" s="8" t="s">
        <v>137</v>
      </c>
      <c r="E13" s="8" t="s">
        <v>60</v>
      </c>
      <c r="F13" s="8" t="s">
        <v>80</v>
      </c>
      <c r="G13" s="9">
        <v>12.48</v>
      </c>
      <c r="H13" s="9">
        <v>14.11999988555908</v>
      </c>
      <c r="I13" s="10">
        <f>H13/G13-1</f>
        <v>0.13141024724031092</v>
      </c>
      <c r="J13" s="11" t="s">
        <v>120</v>
      </c>
      <c r="K13" s="8" t="s">
        <v>138</v>
      </c>
      <c r="L13" s="8" t="s">
        <v>139</v>
      </c>
      <c r="M13" s="7" t="s">
        <v>36</v>
      </c>
    </row>
    <row r="14" spans="1:13" ht="46" customHeight="1">
      <c r="A14" s="7">
        <v>8</v>
      </c>
      <c r="B14" s="7" t="s">
        <v>28</v>
      </c>
      <c r="C14" s="8" t="s">
        <v>140</v>
      </c>
      <c r="D14" s="8" t="s">
        <v>141</v>
      </c>
      <c r="E14" s="8" t="s">
        <v>92</v>
      </c>
      <c r="F14" s="8" t="s">
        <v>142</v>
      </c>
      <c r="G14" s="9">
        <v>7.81</v>
      </c>
      <c r="H14" s="9">
        <v>8.810000419616699</v>
      </c>
      <c r="I14" s="10">
        <f>H14/G14-1</f>
        <v>0.12804102683952623</v>
      </c>
      <c r="J14" s="11" t="s">
        <v>120</v>
      </c>
      <c r="K14" s="8" t="s">
        <v>143</v>
      </c>
      <c r="L14" s="8" t="s">
        <v>144</v>
      </c>
      <c r="M14" s="7" t="s">
        <v>36</v>
      </c>
    </row>
    <row r="15" spans="1:13" ht="46" customHeight="1">
      <c r="A15" s="7">
        <v>9</v>
      </c>
      <c r="B15" s="7" t="s">
        <v>28</v>
      </c>
      <c r="C15" s="8" t="s">
        <v>145</v>
      </c>
      <c r="D15" s="8" t="s">
        <v>146</v>
      </c>
      <c r="E15" s="8" t="s">
        <v>60</v>
      </c>
      <c r="F15" s="8" t="s">
        <v>61</v>
      </c>
      <c r="G15" s="9">
        <v>150.55</v>
      </c>
      <c r="H15" s="9">
        <v>169.0800018310547</v>
      </c>
      <c r="I15" s="10">
        <f>H15/G15-1</f>
        <v>0.12308204470976203</v>
      </c>
      <c r="J15" s="11" t="s">
        <v>120</v>
      </c>
      <c r="K15" s="8" t="s">
        <v>147</v>
      </c>
      <c r="L15" s="8" t="s">
        <v>148</v>
      </c>
      <c r="M15" s="7" t="s">
        <v>36</v>
      </c>
    </row>
    <row r="16" spans="1:13" ht="46" customHeight="1">
      <c r="A16" s="7">
        <v>10</v>
      </c>
      <c r="B16" s="7" t="s">
        <v>28</v>
      </c>
      <c r="C16" s="8" t="s">
        <v>149</v>
      </c>
      <c r="D16" s="8" t="s">
        <v>150</v>
      </c>
      <c r="E16" s="8" t="s">
        <v>55</v>
      </c>
      <c r="F16" s="8" t="s">
        <v>151</v>
      </c>
      <c r="G16" s="9">
        <v>13.89</v>
      </c>
      <c r="H16" s="9">
        <v>15.5</v>
      </c>
      <c r="I16" s="10">
        <f>H16/G16-1</f>
        <v>0.1159107271418287</v>
      </c>
      <c r="J16" s="11" t="s">
        <v>120</v>
      </c>
      <c r="K16" s="8" t="s">
        <v>152</v>
      </c>
      <c r="L16" s="8" t="s">
        <v>153</v>
      </c>
      <c r="M16" s="7" t="s">
        <v>36</v>
      </c>
    </row>
    <row r="17" spans="1:13" ht="46" customHeight="1">
      <c r="A17" s="7">
        <v>1</v>
      </c>
      <c r="B17" s="7" t="s">
        <v>67</v>
      </c>
      <c r="C17" s="8" t="s">
        <v>154</v>
      </c>
      <c r="D17" s="8" t="s">
        <v>155</v>
      </c>
      <c r="E17" s="8" t="s">
        <v>42</v>
      </c>
      <c r="F17" s="8" t="s">
        <v>43</v>
      </c>
      <c r="G17" s="9">
        <v>118.04</v>
      </c>
      <c r="H17" s="9">
        <v>89.33000183105469</v>
      </c>
      <c r="I17" s="10">
        <f>H17/G17-1</f>
        <v>-0.2432226208822883</v>
      </c>
      <c r="J17" s="11" t="s">
        <v>120</v>
      </c>
      <c r="K17" s="8" t="s">
        <v>156</v>
      </c>
      <c r="L17" s="8" t="s">
        <v>157</v>
      </c>
      <c r="M17" s="14" t="s">
        <v>158</v>
      </c>
    </row>
    <row r="18" spans="1:13" ht="46" customHeight="1">
      <c r="A18" s="7">
        <v>2</v>
      </c>
      <c r="B18" s="7" t="s">
        <v>67</v>
      </c>
      <c r="C18" s="8" t="s">
        <v>159</v>
      </c>
      <c r="D18" s="8" t="s">
        <v>160</v>
      </c>
      <c r="E18" s="8" t="s">
        <v>42</v>
      </c>
      <c r="F18" s="8" t="s">
        <v>43</v>
      </c>
      <c r="G18" s="9">
        <v>182.44</v>
      </c>
      <c r="H18" s="9">
        <v>140.3000030517578</v>
      </c>
      <c r="I18" s="10">
        <f>H18/G18-1</f>
        <v>-0.23098003150757607</v>
      </c>
      <c r="J18" s="11" t="s">
        <v>120</v>
      </c>
      <c r="K18" s="8" t="s">
        <v>161</v>
      </c>
      <c r="L18" s="8" t="s">
        <v>162</v>
      </c>
      <c r="M18" s="14" t="s">
        <v>158</v>
      </c>
    </row>
    <row r="19" spans="1:13" ht="46" customHeight="1">
      <c r="A19" s="7">
        <v>3</v>
      </c>
      <c r="B19" s="7" t="s">
        <v>67</v>
      </c>
      <c r="C19" s="8" t="s">
        <v>163</v>
      </c>
      <c r="D19" s="8" t="s">
        <v>164</v>
      </c>
      <c r="E19" s="8" t="s">
        <v>165</v>
      </c>
      <c r="F19" s="8" t="s">
        <v>165</v>
      </c>
      <c r="G19" s="9">
        <v>162.55</v>
      </c>
      <c r="H19" s="9">
        <v>127.5</v>
      </c>
      <c r="I19" s="10">
        <f>H19/G19-1</f>
        <v>-0.21562596124269462</v>
      </c>
      <c r="J19" s="11" t="s">
        <v>120</v>
      </c>
      <c r="K19" s="8" t="s">
        <v>166</v>
      </c>
      <c r="L19" s="8" t="s">
        <v>167</v>
      </c>
      <c r="M19" s="7" t="s">
        <v>36</v>
      </c>
    </row>
    <row r="20" spans="1:13" ht="46" customHeight="1">
      <c r="A20" s="7">
        <v>4</v>
      </c>
      <c r="B20" s="7" t="s">
        <v>67</v>
      </c>
      <c r="C20" s="8" t="s">
        <v>168</v>
      </c>
      <c r="D20" s="8" t="s">
        <v>169</v>
      </c>
      <c r="E20" s="8" t="s">
        <v>42</v>
      </c>
      <c r="F20" s="8" t="s">
        <v>43</v>
      </c>
      <c r="G20" s="9">
        <v>22.01</v>
      </c>
      <c r="H20" s="9">
        <v>18.19000053405762</v>
      </c>
      <c r="I20" s="10">
        <f>H20/G20-1</f>
        <v>-0.17355744961119401</v>
      </c>
      <c r="J20" s="11" t="s">
        <v>120</v>
      </c>
      <c r="K20" s="8" t="s">
        <v>170</v>
      </c>
      <c r="L20" s="8" t="s">
        <v>171</v>
      </c>
      <c r="M20" s="14" t="s">
        <v>158</v>
      </c>
    </row>
    <row r="21" spans="1:13" ht="46" customHeight="1">
      <c r="A21" s="7">
        <v>5</v>
      </c>
      <c r="B21" s="7" t="s">
        <v>67</v>
      </c>
      <c r="C21" s="8" t="s">
        <v>172</v>
      </c>
      <c r="D21" s="8" t="s">
        <v>173</v>
      </c>
      <c r="E21" s="8" t="s">
        <v>31</v>
      </c>
      <c r="F21" s="8" t="s">
        <v>86</v>
      </c>
      <c r="G21" s="9">
        <v>337.4</v>
      </c>
      <c r="H21" s="9">
        <v>284.8099975585938</v>
      </c>
      <c r="I21" s="10">
        <f>H21/G21-1</f>
        <v>-0.15586841268940776</v>
      </c>
      <c r="J21" s="11" t="s">
        <v>120</v>
      </c>
      <c r="K21" s="8" t="s">
        <v>174</v>
      </c>
      <c r="L21" s="8" t="s">
        <v>175</v>
      </c>
      <c r="M21" s="14" t="s">
        <v>158</v>
      </c>
    </row>
    <row r="22" spans="1:13" ht="46" customHeight="1">
      <c r="A22" s="7">
        <v>6</v>
      </c>
      <c r="B22" s="7" t="s">
        <v>67</v>
      </c>
      <c r="C22" s="8" t="s">
        <v>176</v>
      </c>
      <c r="D22" s="8" t="s">
        <v>177</v>
      </c>
      <c r="E22" s="8" t="s">
        <v>31</v>
      </c>
      <c r="F22" s="8" t="s">
        <v>86</v>
      </c>
      <c r="G22" s="9">
        <v>10.48</v>
      </c>
      <c r="H22" s="9">
        <v>8.949999809265137</v>
      </c>
      <c r="I22" s="10">
        <f>H22/G22-1</f>
        <v>-0.14599238461210529</v>
      </c>
      <c r="J22" s="11" t="s">
        <v>120</v>
      </c>
      <c r="K22" s="8" t="s">
        <v>178</v>
      </c>
      <c r="L22" s="8" t="s">
        <v>179</v>
      </c>
      <c r="M22" s="14" t="s">
        <v>158</v>
      </c>
    </row>
    <row r="23" spans="1:13" ht="46" customHeight="1">
      <c r="A23" s="7">
        <v>7</v>
      </c>
      <c r="B23" s="7" t="s">
        <v>67</v>
      </c>
      <c r="C23" s="8" t="s">
        <v>180</v>
      </c>
      <c r="D23" s="8" t="s">
        <v>181</v>
      </c>
      <c r="E23" s="8" t="s">
        <v>47</v>
      </c>
      <c r="F23" s="8" t="s">
        <v>47</v>
      </c>
      <c r="G23" s="9">
        <v>72.94</v>
      </c>
      <c r="H23" s="9">
        <v>62.33000183105469</v>
      </c>
      <c r="I23" s="10">
        <f>H23/G23-1</f>
        <v>-0.14546199847745145</v>
      </c>
      <c r="J23" s="11" t="s">
        <v>120</v>
      </c>
      <c r="K23" s="8" t="s">
        <v>182</v>
      </c>
      <c r="L23" s="8" t="s">
        <v>183</v>
      </c>
      <c r="M23" s="7" t="s">
        <v>36</v>
      </c>
    </row>
    <row r="24" spans="1:13" ht="46" customHeight="1">
      <c r="A24" s="7">
        <v>8</v>
      </c>
      <c r="B24" s="7" t="s">
        <v>67</v>
      </c>
      <c r="C24" s="8" t="s">
        <v>184</v>
      </c>
      <c r="D24" s="8" t="s">
        <v>185</v>
      </c>
      <c r="E24" s="8" t="s">
        <v>31</v>
      </c>
      <c r="F24" s="8" t="s">
        <v>86</v>
      </c>
      <c r="G24" s="9">
        <v>85.42</v>
      </c>
      <c r="H24" s="9">
        <v>73.29000091552734</v>
      </c>
      <c r="I24" s="10">
        <f>H24/G24-1</f>
        <v>-0.14200420375172862</v>
      </c>
      <c r="J24" s="11" t="s">
        <v>120</v>
      </c>
      <c r="K24" s="8" t="s">
        <v>186</v>
      </c>
      <c r="L24" s="8" t="s">
        <v>187</v>
      </c>
      <c r="M24" s="14" t="s">
        <v>158</v>
      </c>
    </row>
    <row r="25" spans="1:13" ht="46" customHeight="1">
      <c r="A25" s="7">
        <v>9</v>
      </c>
      <c r="B25" s="7" t="s">
        <v>67</v>
      </c>
      <c r="C25" s="8" t="s">
        <v>188</v>
      </c>
      <c r="D25" s="8" t="s">
        <v>189</v>
      </c>
      <c r="E25" s="8" t="s">
        <v>31</v>
      </c>
      <c r="F25" s="8" t="s">
        <v>86</v>
      </c>
      <c r="G25" s="9">
        <v>777</v>
      </c>
      <c r="H25" s="9">
        <v>667.7000122070312</v>
      </c>
      <c r="I25" s="10">
        <f>H25/G25-1</f>
        <v>-0.14066922495877576</v>
      </c>
      <c r="J25" s="11" t="s">
        <v>120</v>
      </c>
      <c r="K25" s="8" t="s">
        <v>190</v>
      </c>
      <c r="L25" s="8" t="s">
        <v>191</v>
      </c>
      <c r="M25" s="14" t="s">
        <v>158</v>
      </c>
    </row>
    <row r="26" spans="1:13" ht="46" customHeight="1">
      <c r="A26" s="7">
        <v>10</v>
      </c>
      <c r="B26" s="7" t="s">
        <v>67</v>
      </c>
      <c r="C26" s="8" t="s">
        <v>192</v>
      </c>
      <c r="D26" s="8" t="s">
        <v>193</v>
      </c>
      <c r="E26" s="8" t="s">
        <v>31</v>
      </c>
      <c r="F26" s="8" t="s">
        <v>86</v>
      </c>
      <c r="G26" s="9">
        <v>755.46</v>
      </c>
      <c r="H26" s="9">
        <v>650.510009765625</v>
      </c>
      <c r="I26" s="10">
        <f>H26/G26-1</f>
        <v>-0.13892196838267412</v>
      </c>
      <c r="J26" s="11" t="s">
        <v>120</v>
      </c>
      <c r="K26" s="8" t="s">
        <v>194</v>
      </c>
      <c r="L26" s="8" t="s">
        <v>175</v>
      </c>
      <c r="M26" s="14" t="s">
        <v>158</v>
      </c>
    </row>
    <row r="28" spans="1:13">
      <c r="A28" s="3" t="s">
        <v>99</v>
      </c>
      <c r="B28" s="3" t="s">
        <v>195</v>
      </c>
      <c r="C28" s="3"/>
      <c r="D28" s="3"/>
      <c r="E28" s="3"/>
      <c r="F28" s="3"/>
      <c r="G28" s="3"/>
      <c r="H28" s="3"/>
      <c r="I28" s="3"/>
      <c r="J28" s="3"/>
      <c r="K28" s="3"/>
      <c r="L28" s="3"/>
      <c r="M28" s="3"/>
    </row>
    <row r="30" spans="1:13">
      <c r="A30" s="5" t="s">
        <v>6</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2" t="s">
        <v>101</v>
      </c>
      <c r="B35" s="12"/>
      <c r="C35" s="12"/>
      <c r="D35" s="12"/>
      <c r="E35" s="12"/>
      <c r="F35" s="12"/>
      <c r="G35" s="12"/>
      <c r="H35" s="12"/>
      <c r="I35" s="12"/>
      <c r="J35" s="12"/>
      <c r="K35" s="12"/>
      <c r="L35" s="12"/>
      <c r="M35" s="12"/>
    </row>
    <row r="36" spans="1:13">
      <c r="A36" s="12"/>
      <c r="B36" s="12"/>
      <c r="C36" s="12"/>
      <c r="D36" s="12"/>
      <c r="E36" s="12"/>
      <c r="F36" s="12"/>
      <c r="G36" s="12"/>
      <c r="H36" s="12"/>
      <c r="I36" s="12"/>
      <c r="J36" s="12"/>
      <c r="K36" s="12"/>
      <c r="L36" s="12"/>
      <c r="M36" s="12"/>
    </row>
    <row r="37" spans="1:13">
      <c r="A37" s="12"/>
      <c r="B37" s="12"/>
      <c r="C37" s="12"/>
      <c r="D37" s="12"/>
      <c r="E37" s="12"/>
      <c r="F37" s="12"/>
      <c r="G37" s="12"/>
      <c r="H37" s="12"/>
      <c r="I37" s="12"/>
      <c r="J37" s="12"/>
      <c r="K37" s="12"/>
      <c r="L37" s="12"/>
      <c r="M37" s="12"/>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hyperlinks>
    <hyperlink ref="M7" r:id="rId1"/>
    <hyperlink ref="M8" r:id="rId2"/>
    <hyperlink ref="M10" r:id="rId3"/>
    <hyperlink ref="M17" r:id="rId4"/>
    <hyperlink ref="M18" r:id="rId5"/>
    <hyperlink ref="M20" r:id="rId6"/>
    <hyperlink ref="M21" r:id="rId7"/>
    <hyperlink ref="M22" r:id="rId8"/>
    <hyperlink ref="M24" r:id="rId9"/>
    <hyperlink ref="M25" r:id="rId10"/>
    <hyperlink ref="M26" r:id="rId11"/>
  </hyperlinks>
  <pageMargins left="0.25" right="0.25" top="0.4" bottom="0.4" header="0.3" footer="0.3"/>
  <pageSetup orientation="landscape"/>
</worksheet>
</file>

<file path=xl/worksheets/sheet4.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196</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197</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198</v>
      </c>
      <c r="D7" s="8" t="s">
        <v>199</v>
      </c>
      <c r="E7" s="8" t="s">
        <v>47</v>
      </c>
      <c r="F7" s="8" t="s">
        <v>47</v>
      </c>
      <c r="G7" s="9">
        <v>5.998733160621763</v>
      </c>
      <c r="H7" s="9">
        <v>7.243984361306201</v>
      </c>
      <c r="I7" s="10">
        <f>H7/G7-1</f>
        <v>0.20758569640316682</v>
      </c>
      <c r="J7" s="13" t="s">
        <v>108</v>
      </c>
      <c r="K7" s="8" t="s">
        <v>200</v>
      </c>
      <c r="L7" s="8" t="s">
        <v>201</v>
      </c>
      <c r="M7" s="14" t="s">
        <v>202</v>
      </c>
    </row>
    <row r="8" spans="1:13" ht="46" customHeight="1">
      <c r="A8" s="7">
        <v>2</v>
      </c>
      <c r="B8" s="7" t="s">
        <v>28</v>
      </c>
      <c r="C8" s="8" t="s">
        <v>203</v>
      </c>
      <c r="D8" s="8" t="s">
        <v>204</v>
      </c>
      <c r="E8" s="8" t="s">
        <v>42</v>
      </c>
      <c r="F8" s="8" t="s">
        <v>43</v>
      </c>
      <c r="G8" s="9">
        <v>66.63742217452649</v>
      </c>
      <c r="H8" s="9">
        <v>77.12509676523037</v>
      </c>
      <c r="I8" s="10">
        <f>H8/G8-1</f>
        <v>0.1573841581572013</v>
      </c>
      <c r="J8" s="13" t="s">
        <v>108</v>
      </c>
      <c r="K8" s="8" t="s">
        <v>205</v>
      </c>
      <c r="L8" s="8" t="s">
        <v>206</v>
      </c>
      <c r="M8" s="14" t="s">
        <v>207</v>
      </c>
    </row>
    <row r="9" spans="1:13" ht="46" customHeight="1">
      <c r="A9" s="7">
        <v>3</v>
      </c>
      <c r="B9" s="7" t="s">
        <v>28</v>
      </c>
      <c r="C9" s="8" t="s">
        <v>208</v>
      </c>
      <c r="D9" s="8" t="s">
        <v>209</v>
      </c>
      <c r="E9" s="8" t="s">
        <v>47</v>
      </c>
      <c r="F9" s="8" t="s">
        <v>47</v>
      </c>
      <c r="G9" s="9">
        <v>1.286278065630397</v>
      </c>
      <c r="H9" s="9">
        <v>1.488489937254699</v>
      </c>
      <c r="I9" s="10">
        <f>H9/G9-1</f>
        <v>0.15720696560677117</v>
      </c>
      <c r="J9" s="11" t="s">
        <v>120</v>
      </c>
      <c r="K9" s="8" t="s">
        <v>210</v>
      </c>
      <c r="L9" s="8" t="s">
        <v>211</v>
      </c>
      <c r="M9" s="14" t="s">
        <v>212</v>
      </c>
    </row>
    <row r="10" spans="1:13" ht="46" customHeight="1">
      <c r="A10" s="7">
        <v>4</v>
      </c>
      <c r="B10" s="7" t="s">
        <v>28</v>
      </c>
      <c r="C10" s="8" t="s">
        <v>213</v>
      </c>
      <c r="D10" s="8" t="s">
        <v>214</v>
      </c>
      <c r="E10" s="8" t="s">
        <v>47</v>
      </c>
      <c r="F10" s="8" t="s">
        <v>47</v>
      </c>
      <c r="G10" s="9">
        <v>14.69</v>
      </c>
      <c r="H10" s="9">
        <v>16.6200008392334</v>
      </c>
      <c r="I10" s="10">
        <f>H10/G10-1</f>
        <v>0.13138194957341032</v>
      </c>
      <c r="J10" s="11" t="s">
        <v>120</v>
      </c>
      <c r="K10" s="8" t="s">
        <v>215</v>
      </c>
      <c r="L10" s="8" t="s">
        <v>216</v>
      </c>
      <c r="M10" s="14" t="s">
        <v>217</v>
      </c>
    </row>
    <row r="11" spans="1:13" ht="46" customHeight="1">
      <c r="A11" s="7">
        <v>5</v>
      </c>
      <c r="B11" s="7" t="s">
        <v>28</v>
      </c>
      <c r="C11" s="8" t="s">
        <v>218</v>
      </c>
      <c r="D11" s="8" t="s">
        <v>219</v>
      </c>
      <c r="E11" s="8" t="s">
        <v>220</v>
      </c>
      <c r="F11" s="8" t="s">
        <v>221</v>
      </c>
      <c r="G11" s="9">
        <v>46.82282762991854</v>
      </c>
      <c r="H11" s="9">
        <v>52.45772871691801</v>
      </c>
      <c r="I11" s="10">
        <f>H11/G11-1</f>
        <v>0.12034516863306477</v>
      </c>
      <c r="J11" s="13" t="s">
        <v>108</v>
      </c>
      <c r="K11" s="8" t="s">
        <v>222</v>
      </c>
      <c r="L11" s="8" t="s">
        <v>223</v>
      </c>
      <c r="M11" s="14" t="s">
        <v>224</v>
      </c>
    </row>
    <row r="12" spans="1:13" ht="46" customHeight="1">
      <c r="A12" s="7">
        <v>6</v>
      </c>
      <c r="B12" s="7" t="s">
        <v>28</v>
      </c>
      <c r="C12" s="8" t="s">
        <v>225</v>
      </c>
      <c r="D12" s="8" t="s">
        <v>226</v>
      </c>
      <c r="E12" s="8" t="s">
        <v>220</v>
      </c>
      <c r="F12" s="8" t="s">
        <v>227</v>
      </c>
      <c r="G12" s="9">
        <v>7.507087805275714</v>
      </c>
      <c r="H12" s="9">
        <v>8.375176415253502</v>
      </c>
      <c r="I12" s="10">
        <f>H12/G12-1</f>
        <v>0.1156358673955733</v>
      </c>
      <c r="J12" s="13" t="s">
        <v>108</v>
      </c>
      <c r="K12" s="8" t="s">
        <v>228</v>
      </c>
      <c r="L12" s="8" t="s">
        <v>229</v>
      </c>
      <c r="M12" s="14" t="s">
        <v>230</v>
      </c>
    </row>
    <row r="13" spans="1:13" ht="46" customHeight="1">
      <c r="A13" s="7">
        <v>7</v>
      </c>
      <c r="B13" s="7" t="s">
        <v>28</v>
      </c>
      <c r="C13" s="8" t="s">
        <v>231</v>
      </c>
      <c r="D13" s="8" t="s">
        <v>232</v>
      </c>
      <c r="E13" s="8" t="s">
        <v>92</v>
      </c>
      <c r="F13" s="8" t="s">
        <v>93</v>
      </c>
      <c r="G13" s="9">
        <v>40.29014863320884</v>
      </c>
      <c r="H13" s="9">
        <v>44.94837996790758</v>
      </c>
      <c r="I13" s="10">
        <f>H13/G13-1</f>
        <v>0.11561712956450187</v>
      </c>
      <c r="J13" s="11" t="s">
        <v>120</v>
      </c>
      <c r="K13" s="8" t="s">
        <v>233</v>
      </c>
      <c r="L13" s="8" t="s">
        <v>234</v>
      </c>
      <c r="M13" s="14" t="s">
        <v>235</v>
      </c>
    </row>
    <row r="14" spans="1:13" ht="46" customHeight="1">
      <c r="A14" s="7">
        <v>8</v>
      </c>
      <c r="B14" s="7" t="s">
        <v>28</v>
      </c>
      <c r="C14" s="8" t="s">
        <v>236</v>
      </c>
      <c r="D14" s="8" t="s">
        <v>237</v>
      </c>
      <c r="E14" s="8" t="s">
        <v>47</v>
      </c>
      <c r="F14" s="8" t="s">
        <v>47</v>
      </c>
      <c r="G14" s="9">
        <v>55.54901932774157</v>
      </c>
      <c r="H14" s="9">
        <v>61.33886707174002</v>
      </c>
      <c r="I14" s="10">
        <f>H14/G14-1</f>
        <v>0.10422952221421045</v>
      </c>
      <c r="J14" s="13" t="s">
        <v>108</v>
      </c>
      <c r="K14" s="8" t="s">
        <v>238</v>
      </c>
      <c r="L14" s="8" t="s">
        <v>239</v>
      </c>
      <c r="M14" s="14" t="s">
        <v>240</v>
      </c>
    </row>
    <row r="15" spans="1:13" ht="46" customHeight="1">
      <c r="A15" s="7">
        <v>9</v>
      </c>
      <c r="B15" s="7" t="s">
        <v>28</v>
      </c>
      <c r="C15" s="8" t="s">
        <v>241</v>
      </c>
      <c r="D15" s="8" t="s">
        <v>242</v>
      </c>
      <c r="E15" s="8" t="s">
        <v>70</v>
      </c>
      <c r="F15" s="8" t="s">
        <v>70</v>
      </c>
      <c r="G15" s="9">
        <v>8.553749136442143</v>
      </c>
      <c r="H15" s="9">
        <v>9.397916858745354</v>
      </c>
      <c r="I15" s="10">
        <f>H15/G15-1</f>
        <v>0.09868979190735727</v>
      </c>
      <c r="J15" s="11" t="s">
        <v>120</v>
      </c>
      <c r="K15" s="8" t="s">
        <v>243</v>
      </c>
      <c r="L15" s="8" t="s">
        <v>244</v>
      </c>
      <c r="M15" s="14" t="s">
        <v>245</v>
      </c>
    </row>
    <row r="16" spans="1:13" ht="46" customHeight="1">
      <c r="A16" s="7">
        <v>10</v>
      </c>
      <c r="B16" s="7" t="s">
        <v>28</v>
      </c>
      <c r="C16" s="8" t="s">
        <v>246</v>
      </c>
      <c r="D16" s="8" t="s">
        <v>247</v>
      </c>
      <c r="E16" s="8" t="s">
        <v>60</v>
      </c>
      <c r="F16" s="8" t="s">
        <v>80</v>
      </c>
      <c r="G16" s="9">
        <v>180.5</v>
      </c>
      <c r="H16" s="9">
        <v>197.3999938964844</v>
      </c>
      <c r="I16" s="10">
        <f>H16/G16-1</f>
        <v>0.09362877504977507</v>
      </c>
      <c r="J16" s="11" t="s">
        <v>120</v>
      </c>
      <c r="K16" s="8" t="s">
        <v>248</v>
      </c>
      <c r="L16" s="8" t="s">
        <v>249</v>
      </c>
      <c r="M16" s="14" t="s">
        <v>250</v>
      </c>
    </row>
    <row r="17" spans="1:13" ht="46" customHeight="1">
      <c r="A17" s="7">
        <v>1</v>
      </c>
      <c r="B17" s="7" t="s">
        <v>67</v>
      </c>
      <c r="C17" s="8" t="s">
        <v>251</v>
      </c>
      <c r="D17" s="8" t="s">
        <v>252</v>
      </c>
      <c r="E17" s="8" t="s">
        <v>42</v>
      </c>
      <c r="F17" s="8" t="s">
        <v>43</v>
      </c>
      <c r="G17" s="9">
        <v>59.16</v>
      </c>
      <c r="H17" s="9">
        <v>50.79000091552734</v>
      </c>
      <c r="I17" s="10">
        <f>H17/G17-1</f>
        <v>-0.14148071474767854</v>
      </c>
      <c r="J17" s="11" t="s">
        <v>120</v>
      </c>
      <c r="K17" s="8" t="s">
        <v>253</v>
      </c>
      <c r="L17" s="8" t="s">
        <v>254</v>
      </c>
      <c r="M17" s="14" t="s">
        <v>255</v>
      </c>
    </row>
    <row r="18" spans="1:13" ht="46" customHeight="1">
      <c r="A18" s="7">
        <v>2</v>
      </c>
      <c r="B18" s="7" t="s">
        <v>67</v>
      </c>
      <c r="C18" s="8" t="s">
        <v>256</v>
      </c>
      <c r="D18" s="8" t="s">
        <v>257</v>
      </c>
      <c r="E18" s="8" t="s">
        <v>31</v>
      </c>
      <c r="F18" s="8" t="s">
        <v>86</v>
      </c>
      <c r="G18" s="9">
        <v>222.3</v>
      </c>
      <c r="H18" s="9">
        <v>192.1000061035156</v>
      </c>
      <c r="I18" s="10">
        <f>H18/G18-1</f>
        <v>-0.13585242418571486</v>
      </c>
      <c r="J18" s="11" t="s">
        <v>120</v>
      </c>
      <c r="K18" s="8" t="s">
        <v>258</v>
      </c>
      <c r="L18" s="8" t="s">
        <v>259</v>
      </c>
      <c r="M18" s="14" t="s">
        <v>260</v>
      </c>
    </row>
    <row r="19" spans="1:13" ht="46" customHeight="1">
      <c r="A19" s="7">
        <v>3</v>
      </c>
      <c r="B19" s="7" t="s">
        <v>67</v>
      </c>
      <c r="C19" s="8" t="s">
        <v>261</v>
      </c>
      <c r="D19" s="8" t="s">
        <v>262</v>
      </c>
      <c r="E19" s="8" t="s">
        <v>42</v>
      </c>
      <c r="F19" s="8" t="s">
        <v>43</v>
      </c>
      <c r="G19" s="9">
        <v>94.14</v>
      </c>
      <c r="H19" s="9">
        <v>82.31999969482422</v>
      </c>
      <c r="I19" s="10">
        <f>H19/G19-1</f>
        <v>-0.12555768329271066</v>
      </c>
      <c r="J19" s="11" t="s">
        <v>120</v>
      </c>
      <c r="K19" s="8" t="s">
        <v>263</v>
      </c>
      <c r="L19" s="8" t="s">
        <v>254</v>
      </c>
      <c r="M19" s="14" t="s">
        <v>255</v>
      </c>
    </row>
    <row r="20" spans="1:13" ht="46" customHeight="1">
      <c r="A20" s="7">
        <v>4</v>
      </c>
      <c r="B20" s="7" t="s">
        <v>67</v>
      </c>
      <c r="C20" s="8" t="s">
        <v>264</v>
      </c>
      <c r="D20" s="8" t="s">
        <v>265</v>
      </c>
      <c r="E20" s="8" t="s">
        <v>42</v>
      </c>
      <c r="F20" s="8" t="s">
        <v>43</v>
      </c>
      <c r="G20" s="9">
        <v>62.30040440025583</v>
      </c>
      <c r="H20" s="9">
        <v>54.89246148552733</v>
      </c>
      <c r="I20" s="10">
        <f>H20/G20-1</f>
        <v>-0.1189068190815481</v>
      </c>
      <c r="J20" s="11" t="s">
        <v>120</v>
      </c>
      <c r="K20" s="8" t="s">
        <v>266</v>
      </c>
      <c r="L20" s="8" t="s">
        <v>254</v>
      </c>
      <c r="M20" s="14" t="s">
        <v>255</v>
      </c>
    </row>
    <row r="21" spans="1:13" ht="46" customHeight="1">
      <c r="A21" s="7">
        <v>5</v>
      </c>
      <c r="B21" s="7" t="s">
        <v>67</v>
      </c>
      <c r="C21" s="8" t="s">
        <v>267</v>
      </c>
      <c r="D21" s="8" t="s">
        <v>268</v>
      </c>
      <c r="E21" s="8" t="s">
        <v>31</v>
      </c>
      <c r="F21" s="8" t="s">
        <v>32</v>
      </c>
      <c r="G21" s="9">
        <v>393.116128163516</v>
      </c>
      <c r="H21" s="9">
        <v>346.8541265147346</v>
      </c>
      <c r="I21" s="10">
        <f>H21/G21-1</f>
        <v>-0.11768024340517214</v>
      </c>
      <c r="J21" s="11" t="s">
        <v>120</v>
      </c>
      <c r="K21" s="8" t="s">
        <v>269</v>
      </c>
      <c r="L21" s="8" t="s">
        <v>270</v>
      </c>
      <c r="M21" s="14" t="s">
        <v>271</v>
      </c>
    </row>
    <row r="22" spans="1:13" ht="46" customHeight="1">
      <c r="A22" s="7">
        <v>6</v>
      </c>
      <c r="B22" s="7" t="s">
        <v>67</v>
      </c>
      <c r="C22" s="8" t="s">
        <v>272</v>
      </c>
      <c r="D22" s="8" t="s">
        <v>273</v>
      </c>
      <c r="E22" s="8" t="s">
        <v>42</v>
      </c>
      <c r="F22" s="8" t="s">
        <v>43</v>
      </c>
      <c r="G22" s="9">
        <v>1213.8</v>
      </c>
      <c r="H22" s="9">
        <v>1075.800048828125</v>
      </c>
      <c r="I22" s="10">
        <f>H22/G22-1</f>
        <v>-0.11369249561037642</v>
      </c>
      <c r="J22" s="11" t="s">
        <v>120</v>
      </c>
      <c r="K22" s="8" t="s">
        <v>274</v>
      </c>
      <c r="L22" s="8" t="s">
        <v>254</v>
      </c>
      <c r="M22" s="14" t="s">
        <v>255</v>
      </c>
    </row>
    <row r="23" spans="1:13" ht="46" customHeight="1">
      <c r="A23" s="7">
        <v>7</v>
      </c>
      <c r="B23" s="7" t="s">
        <v>67</v>
      </c>
      <c r="C23" s="8" t="s">
        <v>275</v>
      </c>
      <c r="D23" s="8" t="s">
        <v>276</v>
      </c>
      <c r="E23" s="8" t="s">
        <v>42</v>
      </c>
      <c r="F23" s="8" t="s">
        <v>43</v>
      </c>
      <c r="G23" s="9">
        <v>6.431390328151986</v>
      </c>
      <c r="H23" s="9">
        <v>5.708796700529787</v>
      </c>
      <c r="I23" s="10">
        <f>H23/G23-1</f>
        <v>-0.11235418638162975</v>
      </c>
      <c r="J23" s="11" t="s">
        <v>120</v>
      </c>
      <c r="K23" s="8" t="s">
        <v>277</v>
      </c>
      <c r="L23" s="8" t="s">
        <v>254</v>
      </c>
      <c r="M23" s="14" t="s">
        <v>255</v>
      </c>
    </row>
    <row r="24" spans="1:13" ht="46" customHeight="1">
      <c r="A24" s="7">
        <v>8</v>
      </c>
      <c r="B24" s="7" t="s">
        <v>67</v>
      </c>
      <c r="C24" s="8" t="s">
        <v>278</v>
      </c>
      <c r="D24" s="8" t="s">
        <v>279</v>
      </c>
      <c r="E24" s="8" t="s">
        <v>106</v>
      </c>
      <c r="F24" s="8" t="s">
        <v>107</v>
      </c>
      <c r="G24" s="9">
        <v>5.295</v>
      </c>
      <c r="H24" s="9">
        <v>4.703999996185303</v>
      </c>
      <c r="I24" s="10">
        <f>H24/G24-1</f>
        <v>-0.11161473159862079</v>
      </c>
      <c r="J24" s="11" t="s">
        <v>120</v>
      </c>
      <c r="K24" s="8" t="s">
        <v>280</v>
      </c>
      <c r="L24" s="8" t="s">
        <v>281</v>
      </c>
      <c r="M24" s="14" t="s">
        <v>282</v>
      </c>
    </row>
    <row r="25" spans="1:13" ht="46" customHeight="1">
      <c r="A25" s="7">
        <v>9</v>
      </c>
      <c r="B25" s="7" t="s">
        <v>67</v>
      </c>
      <c r="C25" s="8" t="s">
        <v>283</v>
      </c>
      <c r="D25" s="8" t="s">
        <v>284</v>
      </c>
      <c r="E25" s="8" t="s">
        <v>42</v>
      </c>
      <c r="F25" s="8" t="s">
        <v>43</v>
      </c>
      <c r="G25" s="9">
        <v>266</v>
      </c>
      <c r="H25" s="9">
        <v>237.6999969482422</v>
      </c>
      <c r="I25" s="10">
        <f>H25/G25-1</f>
        <v>-0.10639098891638277</v>
      </c>
      <c r="J25" s="11" t="s">
        <v>120</v>
      </c>
      <c r="K25" s="8" t="s">
        <v>285</v>
      </c>
      <c r="L25" s="8" t="s">
        <v>254</v>
      </c>
      <c r="M25" s="14" t="s">
        <v>255</v>
      </c>
    </row>
    <row r="26" spans="1:13" ht="46" customHeight="1">
      <c r="A26" s="7">
        <v>10</v>
      </c>
      <c r="B26" s="7" t="s">
        <v>67</v>
      </c>
      <c r="C26" s="8" t="s">
        <v>286</v>
      </c>
      <c r="D26" s="8" t="s">
        <v>287</v>
      </c>
      <c r="E26" s="8" t="s">
        <v>42</v>
      </c>
      <c r="F26" s="8" t="s">
        <v>43</v>
      </c>
      <c r="G26" s="9">
        <v>29.90792372184689</v>
      </c>
      <c r="H26" s="9">
        <v>26.83659129547172</v>
      </c>
      <c r="I26" s="10">
        <f>H26/G26-1</f>
        <v>-0.10269293364994259</v>
      </c>
      <c r="J26" s="11" t="s">
        <v>120</v>
      </c>
      <c r="K26" s="8" t="s">
        <v>288</v>
      </c>
      <c r="L26" s="8" t="s">
        <v>289</v>
      </c>
      <c r="M26" s="14" t="s">
        <v>290</v>
      </c>
    </row>
    <row r="28" spans="1:13">
      <c r="A28" s="3" t="s">
        <v>99</v>
      </c>
      <c r="B28" s="3" t="s">
        <v>291</v>
      </c>
      <c r="C28" s="3"/>
      <c r="D28" s="3"/>
      <c r="E28" s="3"/>
      <c r="F28" s="3"/>
      <c r="G28" s="3"/>
      <c r="H28" s="3"/>
      <c r="I28" s="3"/>
      <c r="J28" s="3"/>
      <c r="K28" s="3"/>
      <c r="L28" s="3"/>
      <c r="M28" s="3"/>
    </row>
    <row r="30" spans="1:13">
      <c r="A30" s="5" t="s">
        <v>8</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2" t="s">
        <v>101</v>
      </c>
      <c r="B35" s="12"/>
      <c r="C35" s="12"/>
      <c r="D35" s="12"/>
      <c r="E35" s="12"/>
      <c r="F35" s="12"/>
      <c r="G35" s="12"/>
      <c r="H35" s="12"/>
      <c r="I35" s="12"/>
      <c r="J35" s="12"/>
      <c r="K35" s="12"/>
      <c r="L35" s="12"/>
      <c r="M35" s="12"/>
    </row>
    <row r="36" spans="1:13">
      <c r="A36" s="12"/>
      <c r="B36" s="12"/>
      <c r="C36" s="12"/>
      <c r="D36" s="12"/>
      <c r="E36" s="12"/>
      <c r="F36" s="12"/>
      <c r="G36" s="12"/>
      <c r="H36" s="12"/>
      <c r="I36" s="12"/>
      <c r="J36" s="12"/>
      <c r="K36" s="12"/>
      <c r="L36" s="12"/>
      <c r="M36" s="12"/>
    </row>
    <row r="37" spans="1:13">
      <c r="A37" s="12"/>
      <c r="B37" s="12"/>
      <c r="C37" s="12"/>
      <c r="D37" s="12"/>
      <c r="E37" s="12"/>
      <c r="F37" s="12"/>
      <c r="G37" s="12"/>
      <c r="H37" s="12"/>
      <c r="I37" s="12"/>
      <c r="J37" s="12"/>
      <c r="K37" s="12"/>
      <c r="L37" s="12"/>
      <c r="M37" s="12"/>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hyperlinks>
    <hyperlink ref="M7" r:id="rId1"/>
    <hyperlink ref="M8" r:id="rId2"/>
    <hyperlink ref="M9" r:id="rId3"/>
    <hyperlink ref="M10" r:id="rId4"/>
    <hyperlink ref="M11" r:id="rId5"/>
    <hyperlink ref="M12" r:id="rId6"/>
    <hyperlink ref="M13" r:id="rId7"/>
    <hyperlink ref="M14" r:id="rId8"/>
    <hyperlink ref="M15" r:id="rId9"/>
    <hyperlink ref="M16" r:id="rId10"/>
    <hyperlink ref="M17" r:id="rId11"/>
    <hyperlink ref="M18" r:id="rId12"/>
    <hyperlink ref="M19" r:id="rId13"/>
    <hyperlink ref="M20" r:id="rId14"/>
    <hyperlink ref="M21" r:id="rId15"/>
    <hyperlink ref="M22" r:id="rId16"/>
    <hyperlink ref="M23" r:id="rId17"/>
    <hyperlink ref="M24" r:id="rId18"/>
    <hyperlink ref="M25" r:id="rId19"/>
    <hyperlink ref="M26" r:id="rId20"/>
  </hyperlinks>
  <pageMargins left="0.25" right="0.25" top="0.4" bottom="0.4" header="0.3" footer="0.3"/>
  <pageSetup orientation="landscape"/>
</worksheet>
</file>

<file path=xl/worksheets/sheet5.xml><?xml version="1.0" encoding="utf-8"?>
<worksheet xmlns="http://schemas.openxmlformats.org/spreadsheetml/2006/main" xmlns:r="http://schemas.openxmlformats.org/officeDocument/2006/relationships">
  <sheetPr>
    <pageSetUpPr fitToPage="1"/>
  </sheetPr>
  <dimension ref="B2:C34"/>
  <sheetViews>
    <sheetView showGridLines="0" workbookViewId="0"/>
  </sheetViews>
  <sheetFormatPr defaultRowHeight="15"/>
  <cols>
    <col min="1" max="1" width="3.7109375" customWidth="1"/>
    <col min="2" max="2" width="25.7109375" customWidth="1"/>
    <col min="3" max="3" width="100.7109375" customWidth="1"/>
  </cols>
  <sheetData>
    <row r="2" spans="2:3">
      <c r="B2" s="1" t="s">
        <v>292</v>
      </c>
      <c r="C2" s="1"/>
    </row>
    <row r="3" spans="2:3">
      <c r="B3" s="1"/>
      <c r="C3" s="1"/>
    </row>
    <row r="5" spans="2:3">
      <c r="B5" s="6" t="s">
        <v>293</v>
      </c>
      <c r="C5" s="6" t="s">
        <v>294</v>
      </c>
    </row>
    <row r="6" spans="2:3" ht="48" customHeight="1">
      <c r="B6" s="8" t="s">
        <v>295</v>
      </c>
      <c r="C6" s="8" t="s">
        <v>296</v>
      </c>
    </row>
    <row r="7" spans="2:3" ht="48" customHeight="1">
      <c r="B7" s="8" t="s">
        <v>297</v>
      </c>
      <c r="C7" s="8" t="s">
        <v>298</v>
      </c>
    </row>
    <row r="8" spans="2:3" ht="48" customHeight="1">
      <c r="B8" s="8" t="s">
        <v>299</v>
      </c>
      <c r="C8" s="8" t="s">
        <v>300</v>
      </c>
    </row>
    <row r="9" spans="2:3" ht="48" customHeight="1">
      <c r="B9" s="8" t="s">
        <v>301</v>
      </c>
      <c r="C9" s="8" t="s">
        <v>302</v>
      </c>
    </row>
    <row r="10" spans="2:3" ht="48" customHeight="1">
      <c r="B10" s="8" t="s">
        <v>303</v>
      </c>
      <c r="C10" s="8" t="s">
        <v>304</v>
      </c>
    </row>
    <row r="11" spans="2:3" ht="48" customHeight="1">
      <c r="B11" s="8" t="s">
        <v>305</v>
      </c>
      <c r="C11" s="8" t="s">
        <v>306</v>
      </c>
    </row>
    <row r="12" spans="2:3" ht="48" customHeight="1">
      <c r="B12" s="8" t="s">
        <v>307</v>
      </c>
      <c r="C12" s="8" t="s">
        <v>308</v>
      </c>
    </row>
    <row r="14" spans="2:3">
      <c r="B14" s="6" t="s">
        <v>27</v>
      </c>
      <c r="C14" s="6" t="s">
        <v>309</v>
      </c>
    </row>
    <row r="15" spans="2:3" ht="32" customHeight="1">
      <c r="B15" s="8" t="s">
        <v>310</v>
      </c>
      <c r="C15" s="14" t="s">
        <v>311</v>
      </c>
    </row>
    <row r="16" spans="2:3" ht="32" customHeight="1">
      <c r="B16" s="8" t="s">
        <v>312</v>
      </c>
      <c r="C16" s="14" t="s">
        <v>313</v>
      </c>
    </row>
    <row r="17" spans="2:3" ht="32" customHeight="1">
      <c r="B17" s="8" t="s">
        <v>314</v>
      </c>
      <c r="C17" s="14" t="s">
        <v>315</v>
      </c>
    </row>
    <row r="18" spans="2:3" ht="32" customHeight="1">
      <c r="B18" s="8" t="s">
        <v>316</v>
      </c>
      <c r="C18" s="14" t="s">
        <v>317</v>
      </c>
    </row>
    <row r="19" spans="2:3" ht="32" customHeight="1">
      <c r="B19" s="8" t="s">
        <v>318</v>
      </c>
      <c r="C19" s="14" t="s">
        <v>319</v>
      </c>
    </row>
    <row r="20" spans="2:3" ht="32" customHeight="1">
      <c r="B20" s="8" t="s">
        <v>320</v>
      </c>
      <c r="C20" s="14" t="s">
        <v>321</v>
      </c>
    </row>
    <row r="21" spans="2:3" ht="32" customHeight="1">
      <c r="B21" s="8" t="s">
        <v>322</v>
      </c>
      <c r="C21" s="14" t="s">
        <v>323</v>
      </c>
    </row>
    <row r="22" spans="2:3" ht="32" customHeight="1">
      <c r="B22" s="8" t="s">
        <v>324</v>
      </c>
      <c r="C22" s="14" t="s">
        <v>325</v>
      </c>
    </row>
    <row r="23" spans="2:3" ht="32" customHeight="1">
      <c r="B23" s="8" t="s">
        <v>326</v>
      </c>
      <c r="C23" s="14" t="s">
        <v>327</v>
      </c>
    </row>
    <row r="24" spans="2:3" ht="32" customHeight="1">
      <c r="B24" s="8" t="s">
        <v>328</v>
      </c>
      <c r="C24" s="14" t="s">
        <v>329</v>
      </c>
    </row>
    <row r="25" spans="2:3" ht="32" customHeight="1">
      <c r="B25" s="8" t="s">
        <v>330</v>
      </c>
      <c r="C25" s="14" t="s">
        <v>331</v>
      </c>
    </row>
    <row r="26" spans="2:3" ht="32" customHeight="1">
      <c r="B26" s="8" t="s">
        <v>332</v>
      </c>
      <c r="C26" s="14" t="s">
        <v>333</v>
      </c>
    </row>
    <row r="27" spans="2:3" ht="32" customHeight="1">
      <c r="B27" s="8" t="s">
        <v>334</v>
      </c>
      <c r="C27" s="14" t="s">
        <v>335</v>
      </c>
    </row>
    <row r="28" spans="2:3" ht="32" customHeight="1">
      <c r="B28" s="8" t="s">
        <v>336</v>
      </c>
      <c r="C28" s="14" t="s">
        <v>337</v>
      </c>
    </row>
    <row r="29" spans="2:3" ht="32" customHeight="1">
      <c r="B29" s="8" t="s">
        <v>338</v>
      </c>
      <c r="C29" s="14" t="s">
        <v>339</v>
      </c>
    </row>
    <row r="30" spans="2:3" ht="32" customHeight="1">
      <c r="B30" s="8" t="s">
        <v>340</v>
      </c>
      <c r="C30" s="14" t="s">
        <v>341</v>
      </c>
    </row>
    <row r="31" spans="2:3" ht="32" customHeight="1">
      <c r="B31" s="8" t="s">
        <v>342</v>
      </c>
      <c r="C31" s="14" t="s">
        <v>343</v>
      </c>
    </row>
    <row r="32" spans="2:3" ht="32" customHeight="1">
      <c r="B32" s="8" t="s">
        <v>344</v>
      </c>
      <c r="C32" s="14" t="s">
        <v>345</v>
      </c>
    </row>
    <row r="33" spans="2:3" ht="32" customHeight="1">
      <c r="B33" s="8" t="s">
        <v>346</v>
      </c>
      <c r="C33" s="14" t="s">
        <v>347</v>
      </c>
    </row>
    <row r="34" spans="2:3" ht="32" customHeight="1">
      <c r="B34" s="8" t="s">
        <v>348</v>
      </c>
      <c r="C34" s="14" t="s">
        <v>349</v>
      </c>
    </row>
  </sheetData>
  <mergeCells count="1">
    <mergeCell ref="B2:C3"/>
  </mergeCells>
  <hyperlinks>
    <hyperlink ref="C15" r:id="rId1"/>
    <hyperlink ref="C16" r:id="rId2"/>
    <hyperlink ref="C17" r:id="rId3"/>
    <hyperlink ref="C18" r:id="rId4"/>
    <hyperlink ref="C19" r:id="rId5"/>
    <hyperlink ref="C20" r:id="rId6"/>
    <hyperlink ref="C21" r:id="rId7"/>
    <hyperlink ref="C22" r:id="rId8"/>
    <hyperlink ref="C23" r:id="rId9"/>
    <hyperlink ref="C24" r:id="rId10"/>
    <hyperlink ref="C25" r:id="rId11"/>
    <hyperlink ref="C26" r:id="rId12"/>
    <hyperlink ref="C27" r:id="rId13"/>
    <hyperlink ref="C28" r:id="rId14"/>
    <hyperlink ref="C29" r:id="rId15"/>
    <hyperlink ref="C30" r:id="rId16"/>
    <hyperlink ref="C31" r:id="rId17"/>
    <hyperlink ref="C32" r:id="rId18"/>
    <hyperlink ref="C33" r:id="rId19"/>
    <hyperlink ref="C34" r:id="rId20"/>
  </hyperlinks>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Summary</vt:lpstr>
      <vt:lpstr>US_SPX</vt:lpstr>
      <vt:lpstr>China_CSI300</vt:lpstr>
      <vt:lpstr>Europe_STOXX600</vt:lpstr>
      <vt:lpstr>Methodology</vt:lpstr>
      <vt:lpstr>China_CSI300!Print_Area</vt:lpstr>
      <vt:lpstr>Europe_STOXX600!Print_Area</vt:lpstr>
      <vt:lpstr>Methodology!Print_Area</vt:lpstr>
      <vt:lpstr>Summary!Print_Area</vt:lpstr>
      <vt:lpstr>US_SPX!Print_Area</vt:lpstr>
      <vt:lpstr>China_CSI300!Print_Titles</vt:lpstr>
      <vt:lpstr>Europe_STOXX600!Print_Titles</vt:lpstr>
      <vt:lpstr>US_SPX!Print_Titles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S&amp;P 500·CSI 300·STOXX Europe 600 최근 10거래일 상·하위 종목</dc:title>
  <dc:subject>BQuant 주가수익률 및 촉매·테마 분석</dc:subject>
  <dc:creator>OpenAI Codex</dc:creator>
  <dc:description>Returns are simple local-currency price returns, excluding dividends.</dc:description>
  <cp:lastModifiedBy>OpenAI Codex</cp:lastModifiedBy>
  <dcterms:created xsi:type="dcterms:W3CDTF">2026-09-02T23:56:49Z</dcterms:created>
  <dcterms:modified xsi:type="dcterms:W3CDTF">2026-09-02T23:56:49Z</dcterms:modified>
</cp:coreProperties>
</file>