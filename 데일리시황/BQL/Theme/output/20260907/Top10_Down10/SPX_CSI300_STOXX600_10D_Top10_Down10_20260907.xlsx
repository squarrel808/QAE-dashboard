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US_SPX" sheetId="2" r:id="rId2"/>
    <sheet name="China_CSI300" sheetId="3" r:id="rId3"/>
    <sheet name="Europe_STOXX600" sheetId="4" r:id="rId4"/>
    <sheet name="Methodology" sheetId="5" r:id="rId5"/>
  </sheets>
  <definedNames>
    <definedName name="_xlnm._FilterDatabase" localSheetId="2" hidden="1">China_CSI300!$A$6:$M$26</definedName>
    <definedName name="_xlnm._FilterDatabase" localSheetId="3" hidden="1">Europe_STOXX600!$A$6:$M$26</definedName>
    <definedName name="_xlnm._FilterDatabase" localSheetId="1" hidden="1">US_SPX!$A$6:$M$26</definedName>
    <definedName name="_xlnm.Print_Area" localSheetId="2">China_CSI300!$A$1:$M$37</definedName>
    <definedName name="_xlnm.Print_Area" localSheetId="3">Europe_STOXX600!$A$1:$M$37</definedName>
    <definedName name="_xlnm.Print_Area" localSheetId="4">Methodology!$B$2:$C$28</definedName>
    <definedName name="_xlnm.Print_Area" localSheetId="0">Summary!$B$2:$J$29</definedName>
    <definedName name="_xlnm.Print_Area" localSheetId="1">US_SPX!$A$1:$M$37</definedName>
    <definedName name="_xlnm.Print_Titles" localSheetId="2">China_CSI300!$1:$6</definedName>
    <definedName name="_xlnm.Print_Titles" localSheetId="3">Europe_STOXX600!$1:$6</definedName>
    <definedName name="_xlnm.Print_Titles" localSheetId="1">US_SPX!$1:$6</definedName>
  </definedNames>
  <calcPr calcId="124519" fullCalcOnLoad="1"/>
</workbook>
</file>

<file path=xl/sharedStrings.xml><?xml version="1.0" encoding="utf-8"?>
<sst xmlns="http://schemas.openxmlformats.org/spreadsheetml/2006/main" count="629" uniqueCount="222">
  <si>
    <t>S&amp;P 500·CSI 300·STOXX 600 최근 10거래일 승자와 패자</t>
  </si>
  <si>
    <t>BQuant 구성종목 가격자료로 실제 거래일을 맞춘 뒤, 종목별 촉매와 섹터·팩터 로테이션을 구분했다. 세 시장 모두 지수 방향보다 기존 주도주의 혼잡도 완화와 실적으로 확인되는 새로운 리더십이 더 중요했다.</t>
  </si>
  <si>
    <t>핵심 해석</t>
  </si>
  <si>
    <t>미국 · 상위: Information Technology 7개, Financials 1개 · 하위: Information Technology 3개, Utilities 2개</t>
  </si>
  <si>
    <t>최신 유효 거래일 2026-09-04까지의 최근 10거래일 기준이다. 상위 10개는 Information Technology 7개, Financials 1개, 하위 10개는 Information Technology 3개, Utilities 2개 비중이 두드러졌다. 성과 원인은 가격·섹터 분포에서 자동 집계했으며 기업별 최신 촉매는 별도 검증이 필요하다.</t>
  </si>
  <si>
    <t>중국 · 상위: Communication Services 3개, Information Technology 3개 · 하위: Industrials 4개, Materials 3개</t>
  </si>
  <si>
    <t>최신 유효 거래일 2026-09-07까지의 최근 10거래일 기준이다. 상위 10개는 Communication Services 3개, Information Technology 3개, 하위 10개는 Industrials 4개, Materials 3개 비중이 두드러졌다. 성과 원인은 가격·섹터 분포에서 자동 집계했으며 기업별 최신 촉매는 별도 검증이 필요하다.</t>
  </si>
  <si>
    <t>유럽 · 상위: Information Technology 5개, Industrials 3개 · 하위: Industrials 6개, Consumer Staples 2개</t>
  </si>
  <si>
    <t>최신 유효 거래일 2026-09-07까지의 최근 10거래일 기준이다. 상위 10개는 Information Technology 5개, Industrials 3개, 하위 10개는 Industrials 6개, Consumer Staples 2개 비중이 두드러졌다. 성과 원인은 가격·섹터 분포에서 자동 집계했으며 기업별 최신 촉매는 별도 검증이 필요하다.</t>
  </si>
  <si>
    <t>공통 테마</t>
  </si>
  <si>
    <t>각 시장의 상·하위 10개 종목과 섹터 집중도를 최신 원자료에서 자동 계산했다.
기존 [FACT]/[INFERENCE] 설명은 정확히 같은 과거 분석창에서만 재사용한다.
새 기준일에는 [DATA]로 표시하며, 기업별 촉매와 로테이션 해석은 최신 공시·뉴스 검증 후 보강해야 한다.</t>
  </si>
  <si>
    <t>읽을 때 주의할 점</t>
  </si>
  <si>
    <t>자동 선택 기간: 미국 2026-08-21→2026-09-04; 중국 2026-08-24→2026-09-07; 유럽 2026-08-24→2026-09-07. 각 지수에서 유효 종목의 10%를 초과해 가격이 변한 행만 실제 거래일로 판정하고, 최신 11개 관측 종가 사이의 10거래일 수익률을 계산했다. 배당을 제외한 현지통화 단순 가격수익률이다. [DATA]는 자동 계산만 완료된 항목이며 최신 촉매 검증 전이다.</t>
  </si>
  <si>
    <t>미국 · S&amp;P 500 · 최근 10거래일 Best / Worst 10</t>
  </si>
  <si>
    <t>기간: 2026-08-21 → 2026-09-04 | 구성종목 503개 | 배당 미포함 현지통화 가격수익률 | 최신 유효 거래일 2026-09-04까지의 최근 10거래일 기준이다. 상위 10개는 Information Technology 7개, Financials 1개, 하위 10개는 Information Technology 3개, Utilities 2개 비중이 두드러졌다. 성과 원인은 가격·섹터 분포에서 자동 집계했으며 기업별 최신 촉매는 별도 검증이 필요하다.</t>
  </si>
  <si>
    <t>Rank</t>
  </si>
  <si>
    <t>구분</t>
  </si>
  <si>
    <t>Ticker</t>
  </si>
  <si>
    <t>종목명</t>
  </si>
  <si>
    <t>Sector</t>
  </si>
  <si>
    <t>Industry Group</t>
  </si>
  <si>
    <t>시작가</t>
  </si>
  <si>
    <t>종료가</t>
  </si>
  <si>
    <t>10D Return</t>
  </si>
  <si>
    <t>근거</t>
  </si>
  <si>
    <t>성과 요인</t>
  </si>
  <si>
    <t>부각 테마</t>
  </si>
  <si>
    <t>Source</t>
  </si>
  <si>
    <t>BEST</t>
  </si>
  <si>
    <t>CRM UN</t>
  </si>
  <si>
    <t>Salesforce Inc</t>
  </si>
  <si>
    <t>Information Technology</t>
  </si>
  <si>
    <t>Software &amp; Services</t>
  </si>
  <si>
    <t>DATA</t>
  </si>
  <si>
    <t>2026-09-04 기준 최근 10거래일 수익률 상위 종목이다. 순위는 BQuant 가격으로 자동 계산됐으며 최신 공시·뉴스 기반 촉매 설명은 아직 검증하지 않았다.</t>
  </si>
  <si>
    <t>Information Technology · 가격 상위</t>
  </si>
  <si>
    <t>—</t>
  </si>
  <si>
    <t>DELL UN</t>
  </si>
  <si>
    <t>Dell Technologies Inc</t>
  </si>
  <si>
    <t>Technology Hardware &amp; Equipment</t>
  </si>
  <si>
    <t>HOOD UW</t>
  </si>
  <si>
    <t>Robinhood Markets Inc</t>
  </si>
  <si>
    <t>Financials</t>
  </si>
  <si>
    <t>Financial Services</t>
  </si>
  <si>
    <t>Financials · 가격 상위</t>
  </si>
  <si>
    <t>META UW</t>
  </si>
  <si>
    <t>Meta Platforms Inc</t>
  </si>
  <si>
    <t>Communication Services</t>
  </si>
  <si>
    <t>Media &amp; Entertainment</t>
  </si>
  <si>
    <t>Communication Services · 가격 상위</t>
  </si>
  <si>
    <t>CDW UW</t>
  </si>
  <si>
    <t>CDW Corp/DE</t>
  </si>
  <si>
    <t>CRWD UW</t>
  </si>
  <si>
    <t>Crowdstrike Holdings Inc</t>
  </si>
  <si>
    <t>VEEV UN</t>
  </si>
  <si>
    <t>Veeva Systems Inc</t>
  </si>
  <si>
    <t>Health Care</t>
  </si>
  <si>
    <t>Health Care Equipment &amp; Services</t>
  </si>
  <si>
    <t>Health Care · 가격 상위</t>
  </si>
  <si>
    <t>SWKS UW</t>
  </si>
  <si>
    <t>Skyworks Solutions Inc</t>
  </si>
  <si>
    <t>Semiconductors &amp; Semiconductor Equipment</t>
  </si>
  <si>
    <t>NOW UN</t>
  </si>
  <si>
    <t>ServiceNow Inc</t>
  </si>
  <si>
    <t>HPQ UN</t>
  </si>
  <si>
    <t>HP Inc</t>
  </si>
  <si>
    <t>WORST</t>
  </si>
  <si>
    <t>EIX UN</t>
  </si>
  <si>
    <t>Edison International</t>
  </si>
  <si>
    <t>Utilities</t>
  </si>
  <si>
    <t>2026-09-04 기준 최근 10거래일 수익률 하위 종목이다. 순위는 BQuant 가격으로 자동 계산됐으며 최신 공시·뉴스 기반 촉매 설명은 아직 검증하지 않았다.</t>
  </si>
  <si>
    <t>Utilities · 가격 하위</t>
  </si>
  <si>
    <t>FICO UN</t>
  </si>
  <si>
    <t>Fair Isaac Corp</t>
  </si>
  <si>
    <t>Information Technology · 가격 하위</t>
  </si>
  <si>
    <t>CIEN UN</t>
  </si>
  <si>
    <t>Ciena Corp</t>
  </si>
  <si>
    <t>PCG UN</t>
  </si>
  <si>
    <t>PG&amp;E Corp</t>
  </si>
  <si>
    <t>AXON UW</t>
  </si>
  <si>
    <t>Axon Enterprise Inc</t>
  </si>
  <si>
    <t>Industrials</t>
  </si>
  <si>
    <t>Capital Goods</t>
  </si>
  <si>
    <t>Industrials · 가격 하위</t>
  </si>
  <si>
    <t>LULU UW</t>
  </si>
  <si>
    <t>Lululemon Athletica Inc</t>
  </si>
  <si>
    <t>Consumer Discretionary</t>
  </si>
  <si>
    <t>Consumer Durables &amp; Apparel</t>
  </si>
  <si>
    <t>Consumer Discretionary · 가격 하위</t>
  </si>
  <si>
    <t>ADSK UW</t>
  </si>
  <si>
    <t>Autodesk Inc</t>
  </si>
  <si>
    <t>CLX UN</t>
  </si>
  <si>
    <t>Clorox Co/The</t>
  </si>
  <si>
    <t>Consumer Staples</t>
  </si>
  <si>
    <t>Household &amp; Personal Products</t>
  </si>
  <si>
    <t>Consumer Staples · 가격 하위</t>
  </si>
  <si>
    <t>TSN UN</t>
  </si>
  <si>
    <t>Tyson Foods Inc</t>
  </si>
  <si>
    <t>Food, Beverage &amp; Tobacco</t>
  </si>
  <si>
    <t>ALB UN</t>
  </si>
  <si>
    <t>Albemarle Corp</t>
  </si>
  <si>
    <t>Materials</t>
  </si>
  <si>
    <t>Materials · 가격 하위</t>
  </si>
  <si>
    <t>요약</t>
  </si>
  <si>
    <t>상위: Information Technology 7개, Financials 1개 · 하위: Information Technology 3개, Utilities 2개</t>
  </si>
  <si>
    <t>[FACT]는 해당 기간의 공시·보도에서 직접 확인된 촉매다. [INFERENCE]는 기업별 신규 뉴스가 없거나 영향이 작아 동종업종 수익률, 금리, 원자재, 포지셔닝을 통해 해석한 것이다. 추론을 실적 악화의 확정 근거로 사용하면 안 된다.</t>
  </si>
  <si>
    <t>중국 · CSI 300 · 최근 10거래일 Best / Worst 10</t>
  </si>
  <si>
    <t>기간: 2026-08-24 → 2026-09-07 | 구성종목 300개 | 배당 미포함 현지통화 가격수익률 | 최신 유효 거래일 2026-09-07까지의 최근 10거래일 기준이다. 상위 10개는 Communication Services 3개, Information Technology 3개, 하위 10개는 Industrials 4개, Materials 3개 비중이 두드러졌다. 성과 원인은 가격·섹터 분포에서 자동 집계했으며 기업별 최신 촉매는 별도 검증이 필요하다.</t>
  </si>
  <si>
    <t>300413 CH</t>
  </si>
  <si>
    <t>Mango Excellent Media Co Ltd</t>
  </si>
  <si>
    <t>2026-09-07 기준 최근 10거래일 수익률 상위 종목이다. 순위는 BQuant 가격으로 자동 계산됐으며 최신 공시·뉴스 기반 촉매 설명은 아직 검증하지 않았다.</t>
  </si>
  <si>
    <t>688183 CH</t>
  </si>
  <si>
    <t>Shengyi Electronics Co Ltd</t>
  </si>
  <si>
    <t>002837 CH</t>
  </si>
  <si>
    <t>Shenzhen Envicool Technology C</t>
  </si>
  <si>
    <t>Industrials · 가격 상위</t>
  </si>
  <si>
    <t>600183 CH</t>
  </si>
  <si>
    <t>Shengyi Technology Co Ltd</t>
  </si>
  <si>
    <t>002602 CH</t>
  </si>
  <si>
    <t>Zhejiang Century Huatong Group</t>
  </si>
  <si>
    <t>300418 CH</t>
  </si>
  <si>
    <t>Kunlun Tech Co Ltd</t>
  </si>
  <si>
    <t>300866 CH</t>
  </si>
  <si>
    <t>Anker Innovations Technology C</t>
  </si>
  <si>
    <t>601136 CH</t>
  </si>
  <si>
    <t>Capital Securities Co Ltd</t>
  </si>
  <si>
    <t>600150 CH</t>
  </si>
  <si>
    <t>China CSSC Holdings Ltd</t>
  </si>
  <si>
    <t>002714 CH</t>
  </si>
  <si>
    <t>Muyuan Foods Group Co Ltd</t>
  </si>
  <si>
    <t>Consumer Staples · 가격 상위</t>
  </si>
  <si>
    <t>300274 CH</t>
  </si>
  <si>
    <t>Sungrow Power Supply Co Ltd</t>
  </si>
  <si>
    <t>2026-09-07 기준 최근 10거래일 수익률 하위 종목이다. 순위는 BQuant 가격으로 자동 계산됐으며 최신 공시·뉴스 기반 촉매 설명은 아직 검증하지 않았다.</t>
  </si>
  <si>
    <t>002028 CH</t>
  </si>
  <si>
    <t>Sieyuan Electric Co Ltd</t>
  </si>
  <si>
    <t>688472 CH</t>
  </si>
  <si>
    <t>CSI Solar Co Ltd</t>
  </si>
  <si>
    <t>600460 CH</t>
  </si>
  <si>
    <t>Hangzhou Silan Microelectronic</t>
  </si>
  <si>
    <t>002460 CH</t>
  </si>
  <si>
    <t>Ganfeng Lithium Group Co Ltd</t>
  </si>
  <si>
    <t>002353 CH</t>
  </si>
  <si>
    <t>Yantai Jereh Oilfield Services</t>
  </si>
  <si>
    <t>Energy</t>
  </si>
  <si>
    <t>Energy · 가격 하위</t>
  </si>
  <si>
    <t>000975 CH</t>
  </si>
  <si>
    <t>Shanjin International Gold Co</t>
  </si>
  <si>
    <t>300750 CH</t>
  </si>
  <si>
    <t>Contemporary Amperex Technolog</t>
  </si>
  <si>
    <t>000657 CH</t>
  </si>
  <si>
    <t>China Tungsten And Hightech Ma</t>
  </si>
  <si>
    <t>605117 CH</t>
  </si>
  <si>
    <t>Ningbo Deye Technology Corp</t>
  </si>
  <si>
    <t>상위: Communication Services 3개, Information Technology 3개 · 하위: Industrials 4개, Materials 3개</t>
  </si>
  <si>
    <t>유럽 · STOXX Europe 600 · 최근 10거래일 Best / Worst 10</t>
  </si>
  <si>
    <t>기간: 2026-08-24 → 2026-09-07 | 구성종목 600개 | 배당 미포함 현지통화 가격수익률 | 최신 유효 거래일 2026-09-07까지의 최근 10거래일 기준이다. 상위 10개는 Information Technology 5개, Industrials 3개, 하위 10개는 Industrials 6개, Consumer Staples 2개 비중이 두드러졌다. 성과 원인은 가격·섹터 분포에서 자동 집계했으며 기업별 최신 촉매는 별도 검증이 필요하다.</t>
  </si>
  <si>
    <t>ATS AV</t>
  </si>
  <si>
    <t>AT&amp;S Austria Technologie &amp; Sys</t>
  </si>
  <si>
    <t>SOI FP</t>
  </si>
  <si>
    <t>SOITEC</t>
  </si>
  <si>
    <t>TKA GY</t>
  </si>
  <si>
    <t>thyssenkrupp AG</t>
  </si>
  <si>
    <t>Materials · 가격 상위</t>
  </si>
  <si>
    <t>KGX GY</t>
  </si>
  <si>
    <t>KION Group AG</t>
  </si>
  <si>
    <t>IFX GY</t>
  </si>
  <si>
    <t>Infineon Technologies AG</t>
  </si>
  <si>
    <t>AKER NO</t>
  </si>
  <si>
    <t>Aker ASA</t>
  </si>
  <si>
    <t>GBF GY</t>
  </si>
  <si>
    <t>Bilfinger SE</t>
  </si>
  <si>
    <t>Commercial &amp; Professional Services</t>
  </si>
  <si>
    <t>STMMI IM</t>
  </si>
  <si>
    <t>STMicroelectronics NV</t>
  </si>
  <si>
    <t>VOW3 GY</t>
  </si>
  <si>
    <t>Volkswagen AG</t>
  </si>
  <si>
    <t>Automobiles &amp; Components</t>
  </si>
  <si>
    <t>Consumer Discretionary · 가격 상위</t>
  </si>
  <si>
    <t>CCC LN</t>
  </si>
  <si>
    <t>Computacenter PLC</t>
  </si>
  <si>
    <t>CSG NA</t>
  </si>
  <si>
    <t>CSG NV</t>
  </si>
  <si>
    <t>RI FP</t>
  </si>
  <si>
    <t>Pernod Ricard SA</t>
  </si>
  <si>
    <t>LISP SE</t>
  </si>
  <si>
    <t>Chocoladefabriken Lindt &amp; Spru</t>
  </si>
  <si>
    <t>TOM NO</t>
  </si>
  <si>
    <t>TOMRA Systems ASA</t>
  </si>
  <si>
    <t>QQ/ LN</t>
  </si>
  <si>
    <t>QinetiQ Group PLC</t>
  </si>
  <si>
    <t>CVC NA</t>
  </si>
  <si>
    <t>CVC Capital Partners PLC</t>
  </si>
  <si>
    <t>Financials · 가격 하위</t>
  </si>
  <si>
    <t>SAABB SS</t>
  </si>
  <si>
    <t>Saab AB</t>
  </si>
  <si>
    <t>FHZN SE</t>
  </si>
  <si>
    <t>Flughafen Zurich AG</t>
  </si>
  <si>
    <t>Transportation</t>
  </si>
  <si>
    <t>BAB LN</t>
  </si>
  <si>
    <t>Babcock International Group PL</t>
  </si>
  <si>
    <t>BC IM</t>
  </si>
  <si>
    <t>Brunello Cucinelli SpA</t>
  </si>
  <si>
    <t>상위: Information Technology 5개, Industrials 3개 · 하위: Industrials 6개, Consumer Staples 2개</t>
  </si>
  <si>
    <t>방법론과 출처</t>
  </si>
  <si>
    <t>항목</t>
  </si>
  <si>
    <t>설명</t>
  </si>
  <si>
    <t>Universe</t>
  </si>
  <si>
    <t>S&amp;P 500, CSI 300, STOXX Europe 600의 BQuant 구성종목. 전체 상장주가 아니라 각 대표지수 내부 순위다.</t>
  </si>
  <si>
    <t>기간</t>
  </si>
  <si>
    <t>미국 2026-08-21→2026-09-04; 중국 2026-08-24→2026-09-07; 유럽 2026-08-24→2026-09-07. 입력 데이터에서 지수별 최신 유효 거래일을 자동 탐지한다.</t>
  </si>
  <si>
    <t>거래일 판정</t>
  </si>
  <si>
    <t>전일과 당일 가격이 모두 유효한 구성종목 중 10%를 초과해 가격이 변한 날짜를 실제 거래일로 판정한다. 휴일·시차로 직전 값이 반복된 행은 자동 제외된다.</t>
  </si>
  <si>
    <t>수익률</t>
  </si>
  <si>
    <t>현지통화, 배당 미포함. I열은 H열/ G열 - 1의 Excel 수식이며 계산값을 함께 저장했다.</t>
  </si>
  <si>
    <t>구성종목</t>
  </si>
  <si>
    <t>시작일과 종료일 모두 가격이 존재하는 종목의 교집합. 10거래일의 짧은 구간이므로 구성 변경 편향은 제한적이지만 완전히 제거되지는 않는다.</t>
  </si>
  <si>
    <t>근거 등급</t>
  </si>
  <si>
    <t>FACT: 공식 공시·기업 발표·신뢰도 높은 보도가 해당 기간 주가 촉매를 직접 설명. INFERENCE: 동종업종·팩터·금리·원자재·포지셔닝에 기반한 해석.</t>
  </si>
  <si>
    <t>제약</t>
  </si>
  <si>
    <t>10거래일 수익률은 이벤트·숏커버·유동성에 민감하며 장기 이익 추세와 다를 수 있다. 개별 촉매가 확인되지 않은 종목은 원인을 단정하지 않았다.</t>
  </si>
  <si>
    <t>URL</t>
  </si>
</sst>
</file>

<file path=xl/styles.xml><?xml version="1.0" encoding="utf-8"?>
<styleSheet xmlns="http://schemas.openxmlformats.org/spreadsheetml/2006/main">
  <numFmts count="2">
    <numFmt numFmtId="164" formatCode="0.00"/>
    <numFmt numFmtId="165" formatCode="+0.0%;-0.0%;0.0%"/>
  </numFmts>
  <fonts count="11">
    <font>
      <sz val="10"/>
      <color theme="1"/>
      <name val="Arial"/>
      <family val="2"/>
    </font>
    <font>
      <b/>
      <sz val="22"/>
      <color rgb="FF102A43"/>
      <name val="Arial"/>
      <family val="2"/>
    </font>
    <font>
      <sz val="10"/>
      <color rgb="FF62748A"/>
      <name val="Arial"/>
      <family val="2"/>
    </font>
    <font>
      <b/>
      <sz val="13"/>
      <color rgb="FFFFFFFF"/>
      <name val="Arial"/>
      <family val="2"/>
    </font>
    <font>
      <b/>
      <sz val="12"/>
      <color rgb="FF2F6BDE"/>
      <name val="Arial"/>
      <family val="2"/>
    </font>
    <font>
      <sz val="10"/>
      <color rgb="FF102A43"/>
      <name val="Arial"/>
      <family val="2"/>
    </font>
    <font>
      <b/>
      <sz val="9"/>
      <color rgb="FFFFFFFF"/>
      <name val="Arial"/>
      <family val="2"/>
    </font>
    <font>
      <sz val="9"/>
      <color rgb="FF102A43"/>
      <name val="Arial"/>
      <family val="2"/>
    </font>
    <font>
      <b/>
      <sz val="9"/>
      <color theme="1"/>
      <name val="Arial"/>
      <family val="2"/>
    </font>
    <font>
      <b/>
      <sz val="9"/>
      <color rgb="FF9A6700"/>
      <name val="Arial"/>
      <family val="2"/>
    </font>
    <font>
      <i/>
      <sz val="9"/>
      <color rgb="FF62748A"/>
      <name val="Arial"/>
      <family val="2"/>
    </font>
  </fonts>
  <fills count="5">
    <fill>
      <patternFill patternType="none"/>
    </fill>
    <fill>
      <patternFill patternType="gray125"/>
    </fill>
    <fill>
      <patternFill patternType="solid">
        <fgColor rgb="FF102A43"/>
        <bgColor indexed="64"/>
      </patternFill>
    </fill>
    <fill>
      <patternFill patternType="solid">
        <fgColor rgb="FFFFFFFF"/>
        <bgColor indexed="64"/>
      </patternFill>
    </fill>
    <fill>
      <patternFill patternType="solid">
        <fgColor rgb="FFFFF4D6"/>
        <bgColor indexed="64"/>
      </patternFill>
    </fill>
  </fills>
  <borders count="3">
    <border>
      <left/>
      <right/>
      <top/>
      <bottom/>
      <diagonal/>
    </border>
    <border>
      <left style="thin">
        <color rgb="FFDCE3EC"/>
      </left>
      <right style="thin">
        <color rgb="FFDCE3EC"/>
      </right>
      <top style="thin">
        <color rgb="FFDCE3EC"/>
      </top>
      <bottom style="thin">
        <color rgb="FFDCE3E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vertical="top" wrapText="1"/>
    </xf>
    <xf numFmtId="0" fontId="3" fillId="2" borderId="0" xfId="0" applyFont="1" applyFill="1" applyAlignment="1">
      <alignment horizontal="left" vertical="center"/>
    </xf>
    <xf numFmtId="0" fontId="4" fillId="0" borderId="0" xfId="0" applyFont="1" applyAlignment="1">
      <alignment vertical="top" wrapText="1"/>
    </xf>
    <xf numFmtId="0" fontId="5" fillId="3" borderId="1" xfId="0" applyFont="1" applyFill="1" applyBorder="1" applyAlignment="1">
      <alignment vertical="top" wrapText="1"/>
    </xf>
    <xf numFmtId="0" fontId="6" fillId="2" borderId="2"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top" wrapText="1"/>
    </xf>
    <xf numFmtId="164" fontId="7" fillId="0" borderId="1" xfId="0" applyNumberFormat="1" applyFont="1" applyBorder="1" applyAlignment="1">
      <alignment horizontal="right"/>
    </xf>
    <xf numFmtId="165" fontId="8" fillId="0" borderId="1" xfId="0" applyNumberFormat="1" applyFont="1" applyBorder="1" applyAlignment="1">
      <alignment horizontal="right"/>
    </xf>
    <xf numFmtId="0" fontId="9" fillId="4" borderId="1" xfId="0" applyFont="1" applyFill="1" applyBorder="1" applyAlignment="1">
      <alignment horizontal="center"/>
    </xf>
    <xf numFmtId="0" fontId="10"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B2:J29"/>
  <sheetViews>
    <sheetView showGridLines="0" tabSelected="1" zoomScale="85" zoomScaleNormal="85"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2.7109375" customWidth="1"/>
    <col min="2" max="10" width="22.7109375" customWidth="1"/>
  </cols>
  <sheetData>
    <row r="2" spans="2:10">
      <c r="B2" s="1" t="s">
        <v>0</v>
      </c>
      <c r="C2" s="1"/>
      <c r="D2" s="1"/>
      <c r="E2" s="1"/>
      <c r="F2" s="1"/>
      <c r="G2" s="1"/>
      <c r="H2" s="1"/>
      <c r="I2" s="1"/>
      <c r="J2" s="1"/>
    </row>
    <row r="3" spans="2:10">
      <c r="B3" s="1"/>
      <c r="C3" s="1"/>
      <c r="D3" s="1"/>
      <c r="E3" s="1"/>
      <c r="F3" s="1"/>
      <c r="G3" s="1"/>
      <c r="H3" s="1"/>
      <c r="I3" s="1"/>
      <c r="J3" s="1"/>
    </row>
    <row r="4" spans="2:10">
      <c r="B4" s="2" t="s">
        <v>1</v>
      </c>
      <c r="C4" s="2"/>
      <c r="D4" s="2"/>
      <c r="E4" s="2"/>
      <c r="F4" s="2"/>
      <c r="G4" s="2"/>
      <c r="H4" s="2"/>
      <c r="I4" s="2"/>
      <c r="J4" s="2"/>
    </row>
    <row r="5" spans="2:10">
      <c r="B5" s="2"/>
      <c r="C5" s="2"/>
      <c r="D5" s="2"/>
      <c r="E5" s="2"/>
      <c r="F5" s="2"/>
      <c r="G5" s="2"/>
      <c r="H5" s="2"/>
      <c r="I5" s="2"/>
      <c r="J5" s="2"/>
    </row>
    <row r="7" spans="2:10">
      <c r="B7" s="3" t="s">
        <v>2</v>
      </c>
      <c r="C7" s="3"/>
      <c r="D7" s="3"/>
      <c r="E7" s="3"/>
      <c r="F7" s="3"/>
      <c r="G7" s="3"/>
      <c r="H7" s="3"/>
      <c r="I7" s="3"/>
      <c r="J7" s="3"/>
    </row>
    <row r="9" spans="2:10">
      <c r="B9" s="4" t="s">
        <v>3</v>
      </c>
      <c r="C9" s="4"/>
      <c r="D9" s="4"/>
      <c r="E9" s="4" t="s">
        <v>5</v>
      </c>
      <c r="F9" s="4"/>
      <c r="G9" s="4"/>
      <c r="H9" s="4" t="s">
        <v>7</v>
      </c>
      <c r="I9" s="4"/>
      <c r="J9" s="4"/>
    </row>
    <row r="10" spans="2:10">
      <c r="B10" s="5" t="s">
        <v>4</v>
      </c>
      <c r="C10" s="5"/>
      <c r="D10" s="5"/>
      <c r="E10" s="5" t="s">
        <v>6</v>
      </c>
      <c r="F10" s="5"/>
      <c r="G10" s="5"/>
      <c r="H10" s="5" t="s">
        <v>8</v>
      </c>
      <c r="I10" s="5"/>
      <c r="J10" s="5"/>
    </row>
    <row r="11" spans="2:10">
      <c r="B11" s="5"/>
      <c r="C11" s="5"/>
      <c r="D11" s="5"/>
      <c r="E11" s="5"/>
      <c r="F11" s="5"/>
      <c r="G11" s="5"/>
      <c r="H11" s="5"/>
      <c r="I11" s="5"/>
      <c r="J11" s="5"/>
    </row>
    <row r="12" spans="2:10">
      <c r="B12" s="5"/>
      <c r="C12" s="5"/>
      <c r="D12" s="5"/>
      <c r="E12" s="5"/>
      <c r="F12" s="5"/>
      <c r="G12" s="5"/>
      <c r="H12" s="5"/>
      <c r="I12" s="5"/>
      <c r="J12" s="5"/>
    </row>
    <row r="13" spans="2:10">
      <c r="B13" s="5"/>
      <c r="C13" s="5"/>
      <c r="D13" s="5"/>
      <c r="E13" s="5"/>
      <c r="F13" s="5"/>
      <c r="G13" s="5"/>
      <c r="H13" s="5"/>
      <c r="I13" s="5"/>
      <c r="J13" s="5"/>
    </row>
    <row r="14" spans="2:10">
      <c r="B14" s="5"/>
      <c r="C14" s="5"/>
      <c r="D14" s="5"/>
      <c r="E14" s="5"/>
      <c r="F14" s="5"/>
      <c r="G14" s="5"/>
      <c r="H14" s="5"/>
      <c r="I14" s="5"/>
      <c r="J14" s="5"/>
    </row>
    <row r="16" spans="2:10">
      <c r="B16" s="3" t="s">
        <v>9</v>
      </c>
      <c r="C16" s="3"/>
      <c r="D16" s="3"/>
      <c r="E16" s="3"/>
      <c r="F16" s="3"/>
      <c r="G16" s="3"/>
      <c r="H16" s="3"/>
      <c r="I16" s="3"/>
      <c r="J16" s="3"/>
    </row>
    <row r="18" spans="2:10">
      <c r="B18" s="5" t="s">
        <v>10</v>
      </c>
      <c r="C18" s="5"/>
      <c r="D18" s="5"/>
      <c r="E18" s="5"/>
      <c r="F18" s="5"/>
      <c r="G18" s="5"/>
      <c r="H18" s="5"/>
      <c r="I18" s="5"/>
      <c r="J18" s="5"/>
    </row>
    <row r="19" spans="2:10">
      <c r="B19" s="5"/>
      <c r="C19" s="5"/>
      <c r="D19" s="5"/>
      <c r="E19" s="5"/>
      <c r="F19" s="5"/>
      <c r="G19" s="5"/>
      <c r="H19" s="5"/>
      <c r="I19" s="5"/>
      <c r="J19" s="5"/>
    </row>
    <row r="20" spans="2:10">
      <c r="B20" s="5"/>
      <c r="C20" s="5"/>
      <c r="D20" s="5"/>
      <c r="E20" s="5"/>
      <c r="F20" s="5"/>
      <c r="G20" s="5"/>
      <c r="H20" s="5"/>
      <c r="I20" s="5"/>
      <c r="J20" s="5"/>
    </row>
    <row r="21" spans="2:10">
      <c r="B21" s="5"/>
      <c r="C21" s="5"/>
      <c r="D21" s="5"/>
      <c r="E21" s="5"/>
      <c r="F21" s="5"/>
      <c r="G21" s="5"/>
      <c r="H21" s="5"/>
      <c r="I21" s="5"/>
      <c r="J21" s="5"/>
    </row>
    <row r="22" spans="2:10">
      <c r="B22" s="5"/>
      <c r="C22" s="5"/>
      <c r="D22" s="5"/>
      <c r="E22" s="5"/>
      <c r="F22" s="5"/>
      <c r="G22" s="5"/>
      <c r="H22" s="5"/>
      <c r="I22" s="5"/>
      <c r="J22" s="5"/>
    </row>
    <row r="24" spans="2:10">
      <c r="B24" s="3" t="s">
        <v>11</v>
      </c>
      <c r="C24" s="3"/>
      <c r="D24" s="3"/>
      <c r="E24" s="3"/>
      <c r="F24" s="3"/>
      <c r="G24" s="3"/>
      <c r="H24" s="3"/>
      <c r="I24" s="3"/>
      <c r="J24" s="3"/>
    </row>
    <row r="26" spans="2:10">
      <c r="B26" s="5" t="s">
        <v>12</v>
      </c>
      <c r="C26" s="5"/>
      <c r="D26" s="5"/>
      <c r="E26" s="5"/>
      <c r="F26" s="5"/>
      <c r="G26" s="5"/>
      <c r="H26" s="5"/>
      <c r="I26" s="5"/>
      <c r="J26" s="5"/>
    </row>
    <row r="27" spans="2:10">
      <c r="B27" s="5"/>
      <c r="C27" s="5"/>
      <c r="D27" s="5"/>
      <c r="E27" s="5"/>
      <c r="F27" s="5"/>
      <c r="G27" s="5"/>
      <c r="H27" s="5"/>
      <c r="I27" s="5"/>
      <c r="J27" s="5"/>
    </row>
    <row r="28" spans="2:10">
      <c r="B28" s="5"/>
      <c r="C28" s="5"/>
      <c r="D28" s="5"/>
      <c r="E28" s="5"/>
      <c r="F28" s="5"/>
      <c r="G28" s="5"/>
      <c r="H28" s="5"/>
      <c r="I28" s="5"/>
      <c r="J28" s="5"/>
    </row>
    <row r="29" spans="2:10">
      <c r="B29" s="5"/>
      <c r="C29" s="5"/>
      <c r="D29" s="5"/>
      <c r="E29" s="5"/>
      <c r="F29" s="5"/>
      <c r="G29" s="5"/>
      <c r="H29" s="5"/>
      <c r="I29" s="5"/>
      <c r="J29" s="5"/>
    </row>
  </sheetData>
  <mergeCells count="13">
    <mergeCell ref="B2:J3"/>
    <mergeCell ref="B4:J5"/>
    <mergeCell ref="B7:J7"/>
    <mergeCell ref="B9:D9"/>
    <mergeCell ref="B10:D14"/>
    <mergeCell ref="E9:G9"/>
    <mergeCell ref="E10:G14"/>
    <mergeCell ref="H9:J9"/>
    <mergeCell ref="H10:J14"/>
    <mergeCell ref="B16:J16"/>
    <mergeCell ref="B18:J22"/>
    <mergeCell ref="B24:J24"/>
    <mergeCell ref="B26:J29"/>
  </mergeCells>
  <pageMargins left="0.3" right="0.3" top="0.4" bottom="0.4"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13</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14</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29</v>
      </c>
      <c r="D7" s="8" t="s">
        <v>30</v>
      </c>
      <c r="E7" s="8" t="s">
        <v>31</v>
      </c>
      <c r="F7" s="8" t="s">
        <v>32</v>
      </c>
      <c r="G7" s="9">
        <v>209.17</v>
      </c>
      <c r="H7" s="9">
        <v>259.23</v>
      </c>
      <c r="I7" s="10">
        <f>H7/G7-1</f>
        <v>0.23932686331691944</v>
      </c>
      <c r="J7" s="11" t="s">
        <v>33</v>
      </c>
      <c r="K7" s="8" t="s">
        <v>34</v>
      </c>
      <c r="L7" s="8" t="s">
        <v>35</v>
      </c>
      <c r="M7" s="7" t="s">
        <v>36</v>
      </c>
    </row>
    <row r="8" spans="1:13" ht="46" customHeight="1">
      <c r="A8" s="7">
        <v>2</v>
      </c>
      <c r="B8" s="7" t="s">
        <v>28</v>
      </c>
      <c r="C8" s="8" t="s">
        <v>37</v>
      </c>
      <c r="D8" s="8" t="s">
        <v>38</v>
      </c>
      <c r="E8" s="8" t="s">
        <v>31</v>
      </c>
      <c r="F8" s="8" t="s">
        <v>39</v>
      </c>
      <c r="G8" s="9">
        <v>442.08</v>
      </c>
      <c r="H8" s="9">
        <v>524.14</v>
      </c>
      <c r="I8" s="10">
        <f>H8/G8-1</f>
        <v>0.18562251176257694</v>
      </c>
      <c r="J8" s="11" t="s">
        <v>33</v>
      </c>
      <c r="K8" s="8" t="s">
        <v>34</v>
      </c>
      <c r="L8" s="8" t="s">
        <v>35</v>
      </c>
      <c r="M8" s="7" t="s">
        <v>36</v>
      </c>
    </row>
    <row r="9" spans="1:13" ht="46" customHeight="1">
      <c r="A9" s="7">
        <v>3</v>
      </c>
      <c r="B9" s="7" t="s">
        <v>28</v>
      </c>
      <c r="C9" s="8" t="s">
        <v>40</v>
      </c>
      <c r="D9" s="8" t="s">
        <v>41</v>
      </c>
      <c r="E9" s="8" t="s">
        <v>42</v>
      </c>
      <c r="F9" s="8" t="s">
        <v>43</v>
      </c>
      <c r="G9" s="9">
        <v>108.13</v>
      </c>
      <c r="H9" s="9">
        <v>122.11</v>
      </c>
      <c r="I9" s="10">
        <f>H9/G9-1</f>
        <v>0.12928881901414968</v>
      </c>
      <c r="J9" s="11" t="s">
        <v>33</v>
      </c>
      <c r="K9" s="8" t="s">
        <v>34</v>
      </c>
      <c r="L9" s="8" t="s">
        <v>44</v>
      </c>
      <c r="M9" s="7" t="s">
        <v>36</v>
      </c>
    </row>
    <row r="10" spans="1:13" ht="46" customHeight="1">
      <c r="A10" s="7">
        <v>4</v>
      </c>
      <c r="B10" s="7" t="s">
        <v>28</v>
      </c>
      <c r="C10" s="8" t="s">
        <v>45</v>
      </c>
      <c r="D10" s="8" t="s">
        <v>46</v>
      </c>
      <c r="E10" s="8" t="s">
        <v>47</v>
      </c>
      <c r="F10" s="8" t="s">
        <v>48</v>
      </c>
      <c r="G10" s="9">
        <v>549.9</v>
      </c>
      <c r="H10" s="9">
        <v>616.77</v>
      </c>
      <c r="I10" s="10">
        <f>H10/G10-1</f>
        <v>0.12160392798690678</v>
      </c>
      <c r="J10" s="11" t="s">
        <v>33</v>
      </c>
      <c r="K10" s="8" t="s">
        <v>34</v>
      </c>
      <c r="L10" s="8" t="s">
        <v>49</v>
      </c>
      <c r="M10" s="7" t="s">
        <v>36</v>
      </c>
    </row>
    <row r="11" spans="1:13" ht="46" customHeight="1">
      <c r="A11" s="7">
        <v>5</v>
      </c>
      <c r="B11" s="7" t="s">
        <v>28</v>
      </c>
      <c r="C11" s="8" t="s">
        <v>50</v>
      </c>
      <c r="D11" s="8" t="s">
        <v>51</v>
      </c>
      <c r="E11" s="8" t="s">
        <v>31</v>
      </c>
      <c r="F11" s="8" t="s">
        <v>39</v>
      </c>
      <c r="G11" s="9">
        <v>137.25</v>
      </c>
      <c r="H11" s="9">
        <v>152.38</v>
      </c>
      <c r="I11" s="10">
        <f>H11/G11-1</f>
        <v>0.11023679417122034</v>
      </c>
      <c r="J11" s="11" t="s">
        <v>33</v>
      </c>
      <c r="K11" s="8" t="s">
        <v>34</v>
      </c>
      <c r="L11" s="8" t="s">
        <v>35</v>
      </c>
      <c r="M11" s="7" t="s">
        <v>36</v>
      </c>
    </row>
    <row r="12" spans="1:13" ht="46" customHeight="1">
      <c r="A12" s="7">
        <v>6</v>
      </c>
      <c r="B12" s="7" t="s">
        <v>28</v>
      </c>
      <c r="C12" s="8" t="s">
        <v>52</v>
      </c>
      <c r="D12" s="8" t="s">
        <v>53</v>
      </c>
      <c r="E12" s="8" t="s">
        <v>31</v>
      </c>
      <c r="F12" s="8" t="s">
        <v>32</v>
      </c>
      <c r="G12" s="9">
        <v>191.95</v>
      </c>
      <c r="H12" s="9">
        <v>213.1</v>
      </c>
      <c r="I12" s="10">
        <f>H12/G12-1</f>
        <v>0.11018494399583223</v>
      </c>
      <c r="J12" s="11" t="s">
        <v>33</v>
      </c>
      <c r="K12" s="8" t="s">
        <v>34</v>
      </c>
      <c r="L12" s="8" t="s">
        <v>35</v>
      </c>
      <c r="M12" s="7" t="s">
        <v>36</v>
      </c>
    </row>
    <row r="13" spans="1:13" ht="46" customHeight="1">
      <c r="A13" s="7">
        <v>7</v>
      </c>
      <c r="B13" s="7" t="s">
        <v>28</v>
      </c>
      <c r="C13" s="8" t="s">
        <v>54</v>
      </c>
      <c r="D13" s="8" t="s">
        <v>55</v>
      </c>
      <c r="E13" s="8" t="s">
        <v>56</v>
      </c>
      <c r="F13" s="8" t="s">
        <v>57</v>
      </c>
      <c r="G13" s="9">
        <v>247.9</v>
      </c>
      <c r="H13" s="9">
        <v>275.09</v>
      </c>
      <c r="I13" s="10">
        <f>H13/G13-1</f>
        <v>0.1096813231141589</v>
      </c>
      <c r="J13" s="11" t="s">
        <v>33</v>
      </c>
      <c r="K13" s="8" t="s">
        <v>34</v>
      </c>
      <c r="L13" s="8" t="s">
        <v>58</v>
      </c>
      <c r="M13" s="7" t="s">
        <v>36</v>
      </c>
    </row>
    <row r="14" spans="1:13" ht="46" customHeight="1">
      <c r="A14" s="7">
        <v>8</v>
      </c>
      <c r="B14" s="7" t="s">
        <v>28</v>
      </c>
      <c r="C14" s="8" t="s">
        <v>59</v>
      </c>
      <c r="D14" s="8" t="s">
        <v>60</v>
      </c>
      <c r="E14" s="8" t="s">
        <v>31</v>
      </c>
      <c r="F14" s="8" t="s">
        <v>61</v>
      </c>
      <c r="G14" s="9">
        <v>67.14</v>
      </c>
      <c r="H14" s="9">
        <v>74.02</v>
      </c>
      <c r="I14" s="10">
        <f>H14/G14-1</f>
        <v>0.10247244563598445</v>
      </c>
      <c r="J14" s="11" t="s">
        <v>33</v>
      </c>
      <c r="K14" s="8" t="s">
        <v>34</v>
      </c>
      <c r="L14" s="8" t="s">
        <v>35</v>
      </c>
      <c r="M14" s="7" t="s">
        <v>36</v>
      </c>
    </row>
    <row r="15" spans="1:13" ht="46" customHeight="1">
      <c r="A15" s="7">
        <v>9</v>
      </c>
      <c r="B15" s="7" t="s">
        <v>28</v>
      </c>
      <c r="C15" s="8" t="s">
        <v>62</v>
      </c>
      <c r="D15" s="8" t="s">
        <v>63</v>
      </c>
      <c r="E15" s="8" t="s">
        <v>31</v>
      </c>
      <c r="F15" s="8" t="s">
        <v>32</v>
      </c>
      <c r="G15" s="9">
        <v>128.48</v>
      </c>
      <c r="H15" s="9">
        <v>141.26</v>
      </c>
      <c r="I15" s="10">
        <f>H15/G15-1</f>
        <v>0.09947073474470747</v>
      </c>
      <c r="J15" s="11" t="s">
        <v>33</v>
      </c>
      <c r="K15" s="8" t="s">
        <v>34</v>
      </c>
      <c r="L15" s="8" t="s">
        <v>35</v>
      </c>
      <c r="M15" s="7" t="s">
        <v>36</v>
      </c>
    </row>
    <row r="16" spans="1:13" ht="46" customHeight="1">
      <c r="A16" s="7">
        <v>10</v>
      </c>
      <c r="B16" s="7" t="s">
        <v>28</v>
      </c>
      <c r="C16" s="8" t="s">
        <v>64</v>
      </c>
      <c r="D16" s="8" t="s">
        <v>65</v>
      </c>
      <c r="E16" s="8" t="s">
        <v>31</v>
      </c>
      <c r="F16" s="8" t="s">
        <v>39</v>
      </c>
      <c r="G16" s="9">
        <v>29.71</v>
      </c>
      <c r="H16" s="9">
        <v>32.64</v>
      </c>
      <c r="I16" s="10">
        <f>H16/G16-1</f>
        <v>0.09861999326825988</v>
      </c>
      <c r="J16" s="11" t="s">
        <v>33</v>
      </c>
      <c r="K16" s="8" t="s">
        <v>34</v>
      </c>
      <c r="L16" s="8" t="s">
        <v>35</v>
      </c>
      <c r="M16" s="7" t="s">
        <v>36</v>
      </c>
    </row>
    <row r="17" spans="1:13" ht="46" customHeight="1">
      <c r="A17" s="7">
        <v>1</v>
      </c>
      <c r="B17" s="7" t="s">
        <v>66</v>
      </c>
      <c r="C17" s="8" t="s">
        <v>67</v>
      </c>
      <c r="D17" s="8" t="s">
        <v>68</v>
      </c>
      <c r="E17" s="8" t="s">
        <v>69</v>
      </c>
      <c r="F17" s="8" t="s">
        <v>69</v>
      </c>
      <c r="G17" s="9">
        <v>71.59</v>
      </c>
      <c r="H17" s="9">
        <v>56.77</v>
      </c>
      <c r="I17" s="10">
        <f>H17/G17-1</f>
        <v>-0.20701215253527028</v>
      </c>
      <c r="J17" s="11" t="s">
        <v>33</v>
      </c>
      <c r="K17" s="8" t="s">
        <v>70</v>
      </c>
      <c r="L17" s="8" t="s">
        <v>71</v>
      </c>
      <c r="M17" s="7" t="s">
        <v>36</v>
      </c>
    </row>
    <row r="18" spans="1:13" ht="46" customHeight="1">
      <c r="A18" s="7">
        <v>2</v>
      </c>
      <c r="B18" s="7" t="s">
        <v>66</v>
      </c>
      <c r="C18" s="8" t="s">
        <v>72</v>
      </c>
      <c r="D18" s="8" t="s">
        <v>73</v>
      </c>
      <c r="E18" s="8" t="s">
        <v>31</v>
      </c>
      <c r="F18" s="8" t="s">
        <v>32</v>
      </c>
      <c r="G18" s="9">
        <v>1172.67</v>
      </c>
      <c r="H18" s="9">
        <v>932.26</v>
      </c>
      <c r="I18" s="10">
        <f>H18/G18-1</f>
        <v>-0.2050107873485295</v>
      </c>
      <c r="J18" s="11" t="s">
        <v>33</v>
      </c>
      <c r="K18" s="8" t="s">
        <v>70</v>
      </c>
      <c r="L18" s="8" t="s">
        <v>74</v>
      </c>
      <c r="M18" s="7" t="s">
        <v>36</v>
      </c>
    </row>
    <row r="19" spans="1:13" ht="46" customHeight="1">
      <c r="A19" s="7">
        <v>3</v>
      </c>
      <c r="B19" s="7" t="s">
        <v>66</v>
      </c>
      <c r="C19" s="8" t="s">
        <v>75</v>
      </c>
      <c r="D19" s="8" t="s">
        <v>76</v>
      </c>
      <c r="E19" s="8" t="s">
        <v>31</v>
      </c>
      <c r="F19" s="8" t="s">
        <v>39</v>
      </c>
      <c r="G19" s="9">
        <v>395.79</v>
      </c>
      <c r="H19" s="9">
        <v>321</v>
      </c>
      <c r="I19" s="10">
        <f>H19/G19-1</f>
        <v>-0.18896384446297287</v>
      </c>
      <c r="J19" s="11" t="s">
        <v>33</v>
      </c>
      <c r="K19" s="8" t="s">
        <v>70</v>
      </c>
      <c r="L19" s="8" t="s">
        <v>74</v>
      </c>
      <c r="M19" s="7" t="s">
        <v>36</v>
      </c>
    </row>
    <row r="20" spans="1:13" ht="46" customHeight="1">
      <c r="A20" s="7">
        <v>4</v>
      </c>
      <c r="B20" s="7" t="s">
        <v>66</v>
      </c>
      <c r="C20" s="8" t="s">
        <v>77</v>
      </c>
      <c r="D20" s="8" t="s">
        <v>78</v>
      </c>
      <c r="E20" s="8" t="s">
        <v>69</v>
      </c>
      <c r="F20" s="8" t="s">
        <v>69</v>
      </c>
      <c r="G20" s="9">
        <v>17.6</v>
      </c>
      <c r="H20" s="9">
        <v>14.3</v>
      </c>
      <c r="I20" s="10">
        <f>H20/G20-1</f>
        <v>-0.1875</v>
      </c>
      <c r="J20" s="11" t="s">
        <v>33</v>
      </c>
      <c r="K20" s="8" t="s">
        <v>70</v>
      </c>
      <c r="L20" s="8" t="s">
        <v>71</v>
      </c>
      <c r="M20" s="7" t="s">
        <v>36</v>
      </c>
    </row>
    <row r="21" spans="1:13" ht="46" customHeight="1">
      <c r="A21" s="7">
        <v>5</v>
      </c>
      <c r="B21" s="7" t="s">
        <v>66</v>
      </c>
      <c r="C21" s="8" t="s">
        <v>79</v>
      </c>
      <c r="D21" s="8" t="s">
        <v>80</v>
      </c>
      <c r="E21" s="8" t="s">
        <v>81</v>
      </c>
      <c r="F21" s="8" t="s">
        <v>82</v>
      </c>
      <c r="G21" s="9">
        <v>627.75</v>
      </c>
      <c r="H21" s="9">
        <v>515.67</v>
      </c>
      <c r="I21" s="10">
        <f>H21/G21-1</f>
        <v>-0.1785424133811231</v>
      </c>
      <c r="J21" s="11" t="s">
        <v>33</v>
      </c>
      <c r="K21" s="8" t="s">
        <v>70</v>
      </c>
      <c r="L21" s="8" t="s">
        <v>83</v>
      </c>
      <c r="M21" s="7" t="s">
        <v>36</v>
      </c>
    </row>
    <row r="22" spans="1:13" ht="46" customHeight="1">
      <c r="A22" s="7">
        <v>6</v>
      </c>
      <c r="B22" s="7" t="s">
        <v>66</v>
      </c>
      <c r="C22" s="8" t="s">
        <v>84</v>
      </c>
      <c r="D22" s="8" t="s">
        <v>85</v>
      </c>
      <c r="E22" s="8" t="s">
        <v>86</v>
      </c>
      <c r="F22" s="8" t="s">
        <v>87</v>
      </c>
      <c r="G22" s="9">
        <v>121.07</v>
      </c>
      <c r="H22" s="9">
        <v>100.61</v>
      </c>
      <c r="I22" s="10">
        <f>H22/G22-1</f>
        <v>-0.16899314446188152</v>
      </c>
      <c r="J22" s="11" t="s">
        <v>33</v>
      </c>
      <c r="K22" s="8" t="s">
        <v>70</v>
      </c>
      <c r="L22" s="8" t="s">
        <v>88</v>
      </c>
      <c r="M22" s="7" t="s">
        <v>36</v>
      </c>
    </row>
    <row r="23" spans="1:13" ht="46" customHeight="1">
      <c r="A23" s="7">
        <v>7</v>
      </c>
      <c r="B23" s="7" t="s">
        <v>66</v>
      </c>
      <c r="C23" s="8" t="s">
        <v>89</v>
      </c>
      <c r="D23" s="8" t="s">
        <v>90</v>
      </c>
      <c r="E23" s="8" t="s">
        <v>31</v>
      </c>
      <c r="F23" s="8" t="s">
        <v>32</v>
      </c>
      <c r="G23" s="9">
        <v>253.825</v>
      </c>
      <c r="H23" s="9">
        <v>217.9</v>
      </c>
      <c r="I23" s="10">
        <f>H23/G23-1</f>
        <v>-0.14153452181621184</v>
      </c>
      <c r="J23" s="11" t="s">
        <v>33</v>
      </c>
      <c r="K23" s="8" t="s">
        <v>70</v>
      </c>
      <c r="L23" s="8" t="s">
        <v>74</v>
      </c>
      <c r="M23" s="7" t="s">
        <v>36</v>
      </c>
    </row>
    <row r="24" spans="1:13" ht="46" customHeight="1">
      <c r="A24" s="7">
        <v>8</v>
      </c>
      <c r="B24" s="7" t="s">
        <v>66</v>
      </c>
      <c r="C24" s="8" t="s">
        <v>91</v>
      </c>
      <c r="D24" s="8" t="s">
        <v>92</v>
      </c>
      <c r="E24" s="8" t="s">
        <v>93</v>
      </c>
      <c r="F24" s="8" t="s">
        <v>94</v>
      </c>
      <c r="G24" s="9">
        <v>106.69</v>
      </c>
      <c r="H24" s="9">
        <v>93.06</v>
      </c>
      <c r="I24" s="10">
        <f>H24/G24-1</f>
        <v>-0.1277533039647577</v>
      </c>
      <c r="J24" s="11" t="s">
        <v>33</v>
      </c>
      <c r="K24" s="8" t="s">
        <v>70</v>
      </c>
      <c r="L24" s="8" t="s">
        <v>95</v>
      </c>
      <c r="M24" s="7" t="s">
        <v>36</v>
      </c>
    </row>
    <row r="25" spans="1:13" ht="46" customHeight="1">
      <c r="A25" s="7">
        <v>9</v>
      </c>
      <c r="B25" s="7" t="s">
        <v>66</v>
      </c>
      <c r="C25" s="8" t="s">
        <v>96</v>
      </c>
      <c r="D25" s="8" t="s">
        <v>97</v>
      </c>
      <c r="E25" s="8" t="s">
        <v>93</v>
      </c>
      <c r="F25" s="8" t="s">
        <v>98</v>
      </c>
      <c r="G25" s="9">
        <v>58.48</v>
      </c>
      <c r="H25" s="9">
        <v>51.42</v>
      </c>
      <c r="I25" s="10">
        <f>H25/G25-1</f>
        <v>-0.12072503419972636</v>
      </c>
      <c r="J25" s="11" t="s">
        <v>33</v>
      </c>
      <c r="K25" s="8" t="s">
        <v>70</v>
      </c>
      <c r="L25" s="8" t="s">
        <v>95</v>
      </c>
      <c r="M25" s="7" t="s">
        <v>36</v>
      </c>
    </row>
    <row r="26" spans="1:13" ht="46" customHeight="1">
      <c r="A26" s="7">
        <v>10</v>
      </c>
      <c r="B26" s="7" t="s">
        <v>66</v>
      </c>
      <c r="C26" s="8" t="s">
        <v>99</v>
      </c>
      <c r="D26" s="8" t="s">
        <v>100</v>
      </c>
      <c r="E26" s="8" t="s">
        <v>101</v>
      </c>
      <c r="F26" s="8" t="s">
        <v>101</v>
      </c>
      <c r="G26" s="9">
        <v>143.25</v>
      </c>
      <c r="H26" s="9">
        <v>126.28</v>
      </c>
      <c r="I26" s="10">
        <f>H26/G26-1</f>
        <v>-0.1184642233856893</v>
      </c>
      <c r="J26" s="11" t="s">
        <v>33</v>
      </c>
      <c r="K26" s="8" t="s">
        <v>70</v>
      </c>
      <c r="L26" s="8" t="s">
        <v>102</v>
      </c>
      <c r="M26" s="7" t="s">
        <v>36</v>
      </c>
    </row>
    <row r="28" spans="1:13">
      <c r="A28" s="3" t="s">
        <v>103</v>
      </c>
      <c r="B28" s="3" t="s">
        <v>104</v>
      </c>
      <c r="C28" s="3"/>
      <c r="D28" s="3"/>
      <c r="E28" s="3"/>
      <c r="F28" s="3"/>
      <c r="G28" s="3"/>
      <c r="H28" s="3"/>
      <c r="I28" s="3"/>
      <c r="J28" s="3"/>
      <c r="K28" s="3"/>
      <c r="L28" s="3"/>
      <c r="M28" s="3"/>
    </row>
    <row r="30" spans="1:13">
      <c r="A30" s="5" t="s">
        <v>4</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105</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pageMargins left="0.25" right="0.25" top="0.4" bottom="0.4" header="0.3" footer="0.3"/>
  <pageSetup orientation="landscape"/>
</worksheet>
</file>

<file path=xl/worksheets/sheet3.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106</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107</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108</v>
      </c>
      <c r="D7" s="8" t="s">
        <v>109</v>
      </c>
      <c r="E7" s="8" t="s">
        <v>47</v>
      </c>
      <c r="F7" s="8" t="s">
        <v>48</v>
      </c>
      <c r="G7" s="9">
        <v>13.98</v>
      </c>
      <c r="H7" s="9">
        <v>22.1</v>
      </c>
      <c r="I7" s="10">
        <f>H7/G7-1</f>
        <v>0.5808297567954221</v>
      </c>
      <c r="J7" s="11" t="s">
        <v>33</v>
      </c>
      <c r="K7" s="8" t="s">
        <v>110</v>
      </c>
      <c r="L7" s="8" t="s">
        <v>49</v>
      </c>
      <c r="M7" s="7" t="s">
        <v>36</v>
      </c>
    </row>
    <row r="8" spans="1:13" ht="46" customHeight="1">
      <c r="A8" s="7">
        <v>2</v>
      </c>
      <c r="B8" s="7" t="s">
        <v>28</v>
      </c>
      <c r="C8" s="8" t="s">
        <v>111</v>
      </c>
      <c r="D8" s="8" t="s">
        <v>112</v>
      </c>
      <c r="E8" s="8" t="s">
        <v>31</v>
      </c>
      <c r="F8" s="8" t="s">
        <v>39</v>
      </c>
      <c r="G8" s="9">
        <v>102.3</v>
      </c>
      <c r="H8" s="9">
        <v>132.93</v>
      </c>
      <c r="I8" s="10">
        <f>H8/G8-1</f>
        <v>0.2994134897360705</v>
      </c>
      <c r="J8" s="11" t="s">
        <v>33</v>
      </c>
      <c r="K8" s="8" t="s">
        <v>110</v>
      </c>
      <c r="L8" s="8" t="s">
        <v>35</v>
      </c>
      <c r="M8" s="7" t="s">
        <v>36</v>
      </c>
    </row>
    <row r="9" spans="1:13" ht="46" customHeight="1">
      <c r="A9" s="7">
        <v>3</v>
      </c>
      <c r="B9" s="7" t="s">
        <v>28</v>
      </c>
      <c r="C9" s="8" t="s">
        <v>113</v>
      </c>
      <c r="D9" s="8" t="s">
        <v>114</v>
      </c>
      <c r="E9" s="8" t="s">
        <v>81</v>
      </c>
      <c r="F9" s="8" t="s">
        <v>82</v>
      </c>
      <c r="G9" s="9">
        <v>54.75</v>
      </c>
      <c r="H9" s="9">
        <v>64.47</v>
      </c>
      <c r="I9" s="10">
        <f>H9/G9-1</f>
        <v>0.17753424657534245</v>
      </c>
      <c r="J9" s="11" t="s">
        <v>33</v>
      </c>
      <c r="K9" s="8" t="s">
        <v>110</v>
      </c>
      <c r="L9" s="8" t="s">
        <v>115</v>
      </c>
      <c r="M9" s="7" t="s">
        <v>36</v>
      </c>
    </row>
    <row r="10" spans="1:13" ht="46" customHeight="1">
      <c r="A10" s="7">
        <v>4</v>
      </c>
      <c r="B10" s="7" t="s">
        <v>28</v>
      </c>
      <c r="C10" s="8" t="s">
        <v>116</v>
      </c>
      <c r="D10" s="8" t="s">
        <v>117</v>
      </c>
      <c r="E10" s="8" t="s">
        <v>31</v>
      </c>
      <c r="F10" s="8" t="s">
        <v>39</v>
      </c>
      <c r="G10" s="9">
        <v>126.3</v>
      </c>
      <c r="H10" s="9">
        <v>148.15</v>
      </c>
      <c r="I10" s="10">
        <f>H10/G10-1</f>
        <v>0.17300079176563754</v>
      </c>
      <c r="J10" s="11" t="s">
        <v>33</v>
      </c>
      <c r="K10" s="8" t="s">
        <v>110</v>
      </c>
      <c r="L10" s="8" t="s">
        <v>35</v>
      </c>
      <c r="M10" s="7" t="s">
        <v>36</v>
      </c>
    </row>
    <row r="11" spans="1:13" ht="46" customHeight="1">
      <c r="A11" s="7">
        <v>5</v>
      </c>
      <c r="B11" s="7" t="s">
        <v>28</v>
      </c>
      <c r="C11" s="8" t="s">
        <v>118</v>
      </c>
      <c r="D11" s="8" t="s">
        <v>119</v>
      </c>
      <c r="E11" s="8" t="s">
        <v>47</v>
      </c>
      <c r="F11" s="8" t="s">
        <v>48</v>
      </c>
      <c r="G11" s="9">
        <v>13.79</v>
      </c>
      <c r="H11" s="9">
        <v>16.16</v>
      </c>
      <c r="I11" s="10">
        <f>H11/G11-1</f>
        <v>0.17186366932559838</v>
      </c>
      <c r="J11" s="11" t="s">
        <v>33</v>
      </c>
      <c r="K11" s="8" t="s">
        <v>110</v>
      </c>
      <c r="L11" s="8" t="s">
        <v>49</v>
      </c>
      <c r="M11" s="7" t="s">
        <v>36</v>
      </c>
    </row>
    <row r="12" spans="1:13" ht="46" customHeight="1">
      <c r="A12" s="7">
        <v>6</v>
      </c>
      <c r="B12" s="7" t="s">
        <v>28</v>
      </c>
      <c r="C12" s="8" t="s">
        <v>120</v>
      </c>
      <c r="D12" s="8" t="s">
        <v>121</v>
      </c>
      <c r="E12" s="8" t="s">
        <v>47</v>
      </c>
      <c r="F12" s="8" t="s">
        <v>48</v>
      </c>
      <c r="G12" s="9">
        <v>40.54</v>
      </c>
      <c r="H12" s="9">
        <v>46.6</v>
      </c>
      <c r="I12" s="10">
        <f>H12/G12-1</f>
        <v>0.1494819930932414</v>
      </c>
      <c r="J12" s="11" t="s">
        <v>33</v>
      </c>
      <c r="K12" s="8" t="s">
        <v>110</v>
      </c>
      <c r="L12" s="8" t="s">
        <v>49</v>
      </c>
      <c r="M12" s="7" t="s">
        <v>36</v>
      </c>
    </row>
    <row r="13" spans="1:13" ht="46" customHeight="1">
      <c r="A13" s="7">
        <v>7</v>
      </c>
      <c r="B13" s="7" t="s">
        <v>28</v>
      </c>
      <c r="C13" s="8" t="s">
        <v>122</v>
      </c>
      <c r="D13" s="8" t="s">
        <v>123</v>
      </c>
      <c r="E13" s="8" t="s">
        <v>31</v>
      </c>
      <c r="F13" s="8" t="s">
        <v>39</v>
      </c>
      <c r="G13" s="9">
        <v>115.43</v>
      </c>
      <c r="H13" s="9">
        <v>132.24</v>
      </c>
      <c r="I13" s="10">
        <f>H13/G13-1</f>
        <v>0.14562938577492845</v>
      </c>
      <c r="J13" s="11" t="s">
        <v>33</v>
      </c>
      <c r="K13" s="8" t="s">
        <v>110</v>
      </c>
      <c r="L13" s="8" t="s">
        <v>35</v>
      </c>
      <c r="M13" s="7" t="s">
        <v>36</v>
      </c>
    </row>
    <row r="14" spans="1:13" ht="46" customHeight="1">
      <c r="A14" s="7">
        <v>8</v>
      </c>
      <c r="B14" s="7" t="s">
        <v>28</v>
      </c>
      <c r="C14" s="8" t="s">
        <v>124</v>
      </c>
      <c r="D14" s="8" t="s">
        <v>125</v>
      </c>
      <c r="E14" s="8" t="s">
        <v>42</v>
      </c>
      <c r="F14" s="8" t="s">
        <v>43</v>
      </c>
      <c r="G14" s="9">
        <v>13.7</v>
      </c>
      <c r="H14" s="9">
        <v>15.64</v>
      </c>
      <c r="I14" s="10">
        <f>H14/G14-1</f>
        <v>0.14160583941605842</v>
      </c>
      <c r="J14" s="11" t="s">
        <v>33</v>
      </c>
      <c r="K14" s="8" t="s">
        <v>110</v>
      </c>
      <c r="L14" s="8" t="s">
        <v>44</v>
      </c>
      <c r="M14" s="7" t="s">
        <v>36</v>
      </c>
    </row>
    <row r="15" spans="1:13" ht="46" customHeight="1">
      <c r="A15" s="7">
        <v>9</v>
      </c>
      <c r="B15" s="7" t="s">
        <v>28</v>
      </c>
      <c r="C15" s="8" t="s">
        <v>126</v>
      </c>
      <c r="D15" s="8" t="s">
        <v>127</v>
      </c>
      <c r="E15" s="8" t="s">
        <v>81</v>
      </c>
      <c r="F15" s="8" t="s">
        <v>82</v>
      </c>
      <c r="G15" s="9">
        <v>33.8</v>
      </c>
      <c r="H15" s="9">
        <v>38.38</v>
      </c>
      <c r="I15" s="10">
        <f>H15/G15-1</f>
        <v>0.13550295857988193</v>
      </c>
      <c r="J15" s="11" t="s">
        <v>33</v>
      </c>
      <c r="K15" s="8" t="s">
        <v>110</v>
      </c>
      <c r="L15" s="8" t="s">
        <v>115</v>
      </c>
      <c r="M15" s="7" t="s">
        <v>36</v>
      </c>
    </row>
    <row r="16" spans="1:13" ht="46" customHeight="1">
      <c r="A16" s="7">
        <v>10</v>
      </c>
      <c r="B16" s="7" t="s">
        <v>28</v>
      </c>
      <c r="C16" s="8" t="s">
        <v>128</v>
      </c>
      <c r="D16" s="8" t="s">
        <v>129</v>
      </c>
      <c r="E16" s="8" t="s">
        <v>93</v>
      </c>
      <c r="F16" s="8" t="s">
        <v>98</v>
      </c>
      <c r="G16" s="9">
        <v>38.83</v>
      </c>
      <c r="H16" s="9">
        <v>43.91</v>
      </c>
      <c r="I16" s="10">
        <f>H16/G16-1</f>
        <v>0.13082668040175127</v>
      </c>
      <c r="J16" s="11" t="s">
        <v>33</v>
      </c>
      <c r="K16" s="8" t="s">
        <v>110</v>
      </c>
      <c r="L16" s="8" t="s">
        <v>130</v>
      </c>
      <c r="M16" s="7" t="s">
        <v>36</v>
      </c>
    </row>
    <row r="17" spans="1:13" ht="46" customHeight="1">
      <c r="A17" s="7">
        <v>1</v>
      </c>
      <c r="B17" s="7" t="s">
        <v>66</v>
      </c>
      <c r="C17" s="8" t="s">
        <v>131</v>
      </c>
      <c r="D17" s="8" t="s">
        <v>132</v>
      </c>
      <c r="E17" s="8" t="s">
        <v>81</v>
      </c>
      <c r="F17" s="8" t="s">
        <v>82</v>
      </c>
      <c r="G17" s="9">
        <v>111.5</v>
      </c>
      <c r="H17" s="9">
        <v>88.75</v>
      </c>
      <c r="I17" s="10">
        <f>H17/G17-1</f>
        <v>-0.20403587443946192</v>
      </c>
      <c r="J17" s="11" t="s">
        <v>33</v>
      </c>
      <c r="K17" s="8" t="s">
        <v>133</v>
      </c>
      <c r="L17" s="8" t="s">
        <v>83</v>
      </c>
      <c r="M17" s="7" t="s">
        <v>36</v>
      </c>
    </row>
    <row r="18" spans="1:13" ht="46" customHeight="1">
      <c r="A18" s="7">
        <v>2</v>
      </c>
      <c r="B18" s="7" t="s">
        <v>66</v>
      </c>
      <c r="C18" s="8" t="s">
        <v>134</v>
      </c>
      <c r="D18" s="8" t="s">
        <v>135</v>
      </c>
      <c r="E18" s="8" t="s">
        <v>81</v>
      </c>
      <c r="F18" s="8" t="s">
        <v>82</v>
      </c>
      <c r="G18" s="9">
        <v>175.2</v>
      </c>
      <c r="H18" s="9">
        <v>145</v>
      </c>
      <c r="I18" s="10">
        <f>H18/G18-1</f>
        <v>-0.17237442922374424</v>
      </c>
      <c r="J18" s="11" t="s">
        <v>33</v>
      </c>
      <c r="K18" s="8" t="s">
        <v>133</v>
      </c>
      <c r="L18" s="8" t="s">
        <v>83</v>
      </c>
      <c r="M18" s="7" t="s">
        <v>36</v>
      </c>
    </row>
    <row r="19" spans="1:13" ht="46" customHeight="1">
      <c r="A19" s="7">
        <v>3</v>
      </c>
      <c r="B19" s="7" t="s">
        <v>66</v>
      </c>
      <c r="C19" s="8" t="s">
        <v>136</v>
      </c>
      <c r="D19" s="8" t="s">
        <v>137</v>
      </c>
      <c r="E19" s="8" t="s">
        <v>31</v>
      </c>
      <c r="F19" s="8" t="s">
        <v>61</v>
      </c>
      <c r="G19" s="9">
        <v>10.25</v>
      </c>
      <c r="H19" s="9">
        <v>8.68</v>
      </c>
      <c r="I19" s="10">
        <f>H19/G19-1</f>
        <v>-0.1531707317073171</v>
      </c>
      <c r="J19" s="11" t="s">
        <v>33</v>
      </c>
      <c r="K19" s="8" t="s">
        <v>133</v>
      </c>
      <c r="L19" s="8" t="s">
        <v>74</v>
      </c>
      <c r="M19" s="7" t="s">
        <v>36</v>
      </c>
    </row>
    <row r="20" spans="1:13" ht="46" customHeight="1">
      <c r="A20" s="7">
        <v>4</v>
      </c>
      <c r="B20" s="7" t="s">
        <v>66</v>
      </c>
      <c r="C20" s="8" t="s">
        <v>138</v>
      </c>
      <c r="D20" s="8" t="s">
        <v>139</v>
      </c>
      <c r="E20" s="8" t="s">
        <v>31</v>
      </c>
      <c r="F20" s="8" t="s">
        <v>61</v>
      </c>
      <c r="G20" s="9">
        <v>35.56</v>
      </c>
      <c r="H20" s="9">
        <v>30.96</v>
      </c>
      <c r="I20" s="10">
        <f>H20/G20-1</f>
        <v>-0.12935883014623173</v>
      </c>
      <c r="J20" s="11" t="s">
        <v>33</v>
      </c>
      <c r="K20" s="8" t="s">
        <v>133</v>
      </c>
      <c r="L20" s="8" t="s">
        <v>74</v>
      </c>
      <c r="M20" s="7" t="s">
        <v>36</v>
      </c>
    </row>
    <row r="21" spans="1:13" ht="46" customHeight="1">
      <c r="A21" s="7">
        <v>5</v>
      </c>
      <c r="B21" s="7" t="s">
        <v>66</v>
      </c>
      <c r="C21" s="8" t="s">
        <v>140</v>
      </c>
      <c r="D21" s="8" t="s">
        <v>141</v>
      </c>
      <c r="E21" s="8" t="s">
        <v>101</v>
      </c>
      <c r="F21" s="8" t="s">
        <v>101</v>
      </c>
      <c r="G21" s="9">
        <v>55.63</v>
      </c>
      <c r="H21" s="9">
        <v>48.86</v>
      </c>
      <c r="I21" s="10">
        <f>H21/G21-1</f>
        <v>-0.12169692611900063</v>
      </c>
      <c r="J21" s="11" t="s">
        <v>33</v>
      </c>
      <c r="K21" s="8" t="s">
        <v>133</v>
      </c>
      <c r="L21" s="8" t="s">
        <v>102</v>
      </c>
      <c r="M21" s="7" t="s">
        <v>36</v>
      </c>
    </row>
    <row r="22" spans="1:13" ht="46" customHeight="1">
      <c r="A22" s="7">
        <v>6</v>
      </c>
      <c r="B22" s="7" t="s">
        <v>66</v>
      </c>
      <c r="C22" s="8" t="s">
        <v>142</v>
      </c>
      <c r="D22" s="8" t="s">
        <v>143</v>
      </c>
      <c r="E22" s="8" t="s">
        <v>144</v>
      </c>
      <c r="F22" s="8" t="s">
        <v>144</v>
      </c>
      <c r="G22" s="9">
        <v>142.48</v>
      </c>
      <c r="H22" s="9">
        <v>125.36</v>
      </c>
      <c r="I22" s="10">
        <f>H22/G22-1</f>
        <v>-0.12015721504772592</v>
      </c>
      <c r="J22" s="11" t="s">
        <v>33</v>
      </c>
      <c r="K22" s="8" t="s">
        <v>133</v>
      </c>
      <c r="L22" s="8" t="s">
        <v>145</v>
      </c>
      <c r="M22" s="7" t="s">
        <v>36</v>
      </c>
    </row>
    <row r="23" spans="1:13" ht="46" customHeight="1">
      <c r="A23" s="7">
        <v>7</v>
      </c>
      <c r="B23" s="7" t="s">
        <v>66</v>
      </c>
      <c r="C23" s="8" t="s">
        <v>146</v>
      </c>
      <c r="D23" s="8" t="s">
        <v>147</v>
      </c>
      <c r="E23" s="8" t="s">
        <v>101</v>
      </c>
      <c r="F23" s="8" t="s">
        <v>101</v>
      </c>
      <c r="G23" s="9">
        <v>29.26</v>
      </c>
      <c r="H23" s="9">
        <v>25.8</v>
      </c>
      <c r="I23" s="10">
        <f>H23/G23-1</f>
        <v>-0.11825017088174983</v>
      </c>
      <c r="J23" s="11" t="s">
        <v>33</v>
      </c>
      <c r="K23" s="8" t="s">
        <v>133</v>
      </c>
      <c r="L23" s="8" t="s">
        <v>102</v>
      </c>
      <c r="M23" s="7" t="s">
        <v>36</v>
      </c>
    </row>
    <row r="24" spans="1:13" ht="46" customHeight="1">
      <c r="A24" s="7">
        <v>8</v>
      </c>
      <c r="B24" s="7" t="s">
        <v>66</v>
      </c>
      <c r="C24" s="8" t="s">
        <v>148</v>
      </c>
      <c r="D24" s="8" t="s">
        <v>149</v>
      </c>
      <c r="E24" s="8" t="s">
        <v>81</v>
      </c>
      <c r="F24" s="8" t="s">
        <v>82</v>
      </c>
      <c r="G24" s="9">
        <v>387.89</v>
      </c>
      <c r="H24" s="9">
        <v>348.2</v>
      </c>
      <c r="I24" s="10">
        <f>H24/G24-1</f>
        <v>-0.10232282348088373</v>
      </c>
      <c r="J24" s="11" t="s">
        <v>33</v>
      </c>
      <c r="K24" s="8" t="s">
        <v>133</v>
      </c>
      <c r="L24" s="8" t="s">
        <v>83</v>
      </c>
      <c r="M24" s="7" t="s">
        <v>36</v>
      </c>
    </row>
    <row r="25" spans="1:13" ht="46" customHeight="1">
      <c r="A25" s="7">
        <v>9</v>
      </c>
      <c r="B25" s="7" t="s">
        <v>66</v>
      </c>
      <c r="C25" s="8" t="s">
        <v>150</v>
      </c>
      <c r="D25" s="8" t="s">
        <v>151</v>
      </c>
      <c r="E25" s="8" t="s">
        <v>101</v>
      </c>
      <c r="F25" s="8" t="s">
        <v>101</v>
      </c>
      <c r="G25" s="9">
        <v>66.76000000000001</v>
      </c>
      <c r="H25" s="9">
        <v>60</v>
      </c>
      <c r="I25" s="10">
        <f>H25/G25-1</f>
        <v>-0.10125823846614745</v>
      </c>
      <c r="J25" s="11" t="s">
        <v>33</v>
      </c>
      <c r="K25" s="8" t="s">
        <v>133</v>
      </c>
      <c r="L25" s="8" t="s">
        <v>102</v>
      </c>
      <c r="M25" s="7" t="s">
        <v>36</v>
      </c>
    </row>
    <row r="26" spans="1:13" ht="46" customHeight="1">
      <c r="A26" s="7">
        <v>10</v>
      </c>
      <c r="B26" s="7" t="s">
        <v>66</v>
      </c>
      <c r="C26" s="8" t="s">
        <v>152</v>
      </c>
      <c r="D26" s="8" t="s">
        <v>153</v>
      </c>
      <c r="E26" s="8" t="s">
        <v>81</v>
      </c>
      <c r="F26" s="8" t="s">
        <v>82</v>
      </c>
      <c r="G26" s="9">
        <v>94.31</v>
      </c>
      <c r="H26" s="9">
        <v>85.19</v>
      </c>
      <c r="I26" s="10">
        <f>H26/G26-1</f>
        <v>-0.09670236454246639</v>
      </c>
      <c r="J26" s="11" t="s">
        <v>33</v>
      </c>
      <c r="K26" s="8" t="s">
        <v>133</v>
      </c>
      <c r="L26" s="8" t="s">
        <v>83</v>
      </c>
      <c r="M26" s="7" t="s">
        <v>36</v>
      </c>
    </row>
    <row r="28" spans="1:13">
      <c r="A28" s="3" t="s">
        <v>103</v>
      </c>
      <c r="B28" s="3" t="s">
        <v>154</v>
      </c>
      <c r="C28" s="3"/>
      <c r="D28" s="3"/>
      <c r="E28" s="3"/>
      <c r="F28" s="3"/>
      <c r="G28" s="3"/>
      <c r="H28" s="3"/>
      <c r="I28" s="3"/>
      <c r="J28" s="3"/>
      <c r="K28" s="3"/>
      <c r="L28" s="3"/>
      <c r="M28" s="3"/>
    </row>
    <row r="30" spans="1:13">
      <c r="A30" s="5" t="s">
        <v>6</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105</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pageMargins left="0.25" right="0.25" top="0.4" bottom="0.4" header="0.3" footer="0.3"/>
  <pageSetup orientation="landscape"/>
</worksheet>
</file>

<file path=xl/worksheets/sheet4.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155</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156</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157</v>
      </c>
      <c r="D7" s="8" t="s">
        <v>158</v>
      </c>
      <c r="E7" s="8" t="s">
        <v>31</v>
      </c>
      <c r="F7" s="8" t="s">
        <v>39</v>
      </c>
      <c r="G7" s="9">
        <v>128.8</v>
      </c>
      <c r="H7" s="9">
        <v>175.3999938964844</v>
      </c>
      <c r="I7" s="10">
        <f>H7/G7-1</f>
        <v>0.36180119484848117</v>
      </c>
      <c r="J7" s="11" t="s">
        <v>33</v>
      </c>
      <c r="K7" s="8" t="s">
        <v>110</v>
      </c>
      <c r="L7" s="8" t="s">
        <v>35</v>
      </c>
      <c r="M7" s="7" t="s">
        <v>36</v>
      </c>
    </row>
    <row r="8" spans="1:13" ht="46" customHeight="1">
      <c r="A8" s="7">
        <v>2</v>
      </c>
      <c r="B8" s="7" t="s">
        <v>28</v>
      </c>
      <c r="C8" s="8" t="s">
        <v>159</v>
      </c>
      <c r="D8" s="8" t="s">
        <v>160</v>
      </c>
      <c r="E8" s="8" t="s">
        <v>31</v>
      </c>
      <c r="F8" s="8" t="s">
        <v>61</v>
      </c>
      <c r="G8" s="9">
        <v>107.85</v>
      </c>
      <c r="H8" s="9">
        <v>143.3500061035156</v>
      </c>
      <c r="I8" s="10">
        <f>H8/G8-1</f>
        <v>0.3291609281735337</v>
      </c>
      <c r="J8" s="11" t="s">
        <v>33</v>
      </c>
      <c r="K8" s="8" t="s">
        <v>110</v>
      </c>
      <c r="L8" s="8" t="s">
        <v>35</v>
      </c>
      <c r="M8" s="7" t="s">
        <v>36</v>
      </c>
    </row>
    <row r="9" spans="1:13" ht="46" customHeight="1">
      <c r="A9" s="7">
        <v>3</v>
      </c>
      <c r="B9" s="7" t="s">
        <v>28</v>
      </c>
      <c r="C9" s="8" t="s">
        <v>161</v>
      </c>
      <c r="D9" s="8" t="s">
        <v>162</v>
      </c>
      <c r="E9" s="8" t="s">
        <v>101</v>
      </c>
      <c r="F9" s="8" t="s">
        <v>101</v>
      </c>
      <c r="G9" s="9">
        <v>13.585</v>
      </c>
      <c r="H9" s="9">
        <v>15.64999961853027</v>
      </c>
      <c r="I9" s="10">
        <f>H9/G9-1</f>
        <v>0.15200586076777833</v>
      </c>
      <c r="J9" s="11" t="s">
        <v>33</v>
      </c>
      <c r="K9" s="8" t="s">
        <v>110</v>
      </c>
      <c r="L9" s="8" t="s">
        <v>163</v>
      </c>
      <c r="M9" s="7" t="s">
        <v>36</v>
      </c>
    </row>
    <row r="10" spans="1:13" ht="46" customHeight="1">
      <c r="A10" s="7">
        <v>4</v>
      </c>
      <c r="B10" s="7" t="s">
        <v>28</v>
      </c>
      <c r="C10" s="8" t="s">
        <v>164</v>
      </c>
      <c r="D10" s="8" t="s">
        <v>165</v>
      </c>
      <c r="E10" s="8" t="s">
        <v>81</v>
      </c>
      <c r="F10" s="8" t="s">
        <v>82</v>
      </c>
      <c r="G10" s="9">
        <v>40.28</v>
      </c>
      <c r="H10" s="9">
        <v>45.29000091552734</v>
      </c>
      <c r="I10" s="10">
        <f>H10/G10-1</f>
        <v>0.12437936731696464</v>
      </c>
      <c r="J10" s="11" t="s">
        <v>33</v>
      </c>
      <c r="K10" s="8" t="s">
        <v>110</v>
      </c>
      <c r="L10" s="8" t="s">
        <v>115</v>
      </c>
      <c r="M10" s="7" t="s">
        <v>36</v>
      </c>
    </row>
    <row r="11" spans="1:13" ht="46" customHeight="1">
      <c r="A11" s="7">
        <v>5</v>
      </c>
      <c r="B11" s="7" t="s">
        <v>28</v>
      </c>
      <c r="C11" s="8" t="s">
        <v>166</v>
      </c>
      <c r="D11" s="8" t="s">
        <v>167</v>
      </c>
      <c r="E11" s="8" t="s">
        <v>31</v>
      </c>
      <c r="F11" s="8" t="s">
        <v>61</v>
      </c>
      <c r="G11" s="9">
        <v>54.16</v>
      </c>
      <c r="H11" s="9">
        <v>60.79000091552734</v>
      </c>
      <c r="I11" s="10">
        <f>H11/G11-1</f>
        <v>0.1224150833738431</v>
      </c>
      <c r="J11" s="11" t="s">
        <v>33</v>
      </c>
      <c r="K11" s="8" t="s">
        <v>110</v>
      </c>
      <c r="L11" s="8" t="s">
        <v>35</v>
      </c>
      <c r="M11" s="7" t="s">
        <v>36</v>
      </c>
    </row>
    <row r="12" spans="1:13" ht="46" customHeight="1">
      <c r="A12" s="7">
        <v>6</v>
      </c>
      <c r="B12" s="7" t="s">
        <v>28</v>
      </c>
      <c r="C12" s="8" t="s">
        <v>168</v>
      </c>
      <c r="D12" s="8" t="s">
        <v>169</v>
      </c>
      <c r="E12" s="8" t="s">
        <v>81</v>
      </c>
      <c r="F12" s="8" t="s">
        <v>82</v>
      </c>
      <c r="G12" s="9">
        <v>135.2534252319549</v>
      </c>
      <c r="H12" s="9">
        <v>150.4756481609423</v>
      </c>
      <c r="I12" s="10">
        <f>H12/G12-1</f>
        <v>0.11254593296163717</v>
      </c>
      <c r="J12" s="11" t="s">
        <v>33</v>
      </c>
      <c r="K12" s="8" t="s">
        <v>110</v>
      </c>
      <c r="L12" s="8" t="s">
        <v>115</v>
      </c>
      <c r="M12" s="7" t="s">
        <v>36</v>
      </c>
    </row>
    <row r="13" spans="1:13" ht="46" customHeight="1">
      <c r="A13" s="7">
        <v>7</v>
      </c>
      <c r="B13" s="7" t="s">
        <v>28</v>
      </c>
      <c r="C13" s="8" t="s">
        <v>170</v>
      </c>
      <c r="D13" s="8" t="s">
        <v>171</v>
      </c>
      <c r="E13" s="8" t="s">
        <v>81</v>
      </c>
      <c r="F13" s="8" t="s">
        <v>172</v>
      </c>
      <c r="G13" s="9">
        <v>74</v>
      </c>
      <c r="H13" s="9">
        <v>81.65000152587891</v>
      </c>
      <c r="I13" s="10">
        <f>H13/G13-1</f>
        <v>0.10337839899836365</v>
      </c>
      <c r="J13" s="11" t="s">
        <v>33</v>
      </c>
      <c r="K13" s="8" t="s">
        <v>110</v>
      </c>
      <c r="L13" s="8" t="s">
        <v>115</v>
      </c>
      <c r="M13" s="7" t="s">
        <v>36</v>
      </c>
    </row>
    <row r="14" spans="1:13" ht="46" customHeight="1">
      <c r="A14" s="7">
        <v>8</v>
      </c>
      <c r="B14" s="7" t="s">
        <v>28</v>
      </c>
      <c r="C14" s="8" t="s">
        <v>173</v>
      </c>
      <c r="D14" s="8" t="s">
        <v>174</v>
      </c>
      <c r="E14" s="8" t="s">
        <v>31</v>
      </c>
      <c r="F14" s="8" t="s">
        <v>61</v>
      </c>
      <c r="G14" s="9">
        <v>42.25</v>
      </c>
      <c r="H14" s="9">
        <v>46.61000061035156</v>
      </c>
      <c r="I14" s="10">
        <f>H14/G14-1</f>
        <v>0.10319528071838024</v>
      </c>
      <c r="J14" s="11" t="s">
        <v>33</v>
      </c>
      <c r="K14" s="8" t="s">
        <v>110</v>
      </c>
      <c r="L14" s="8" t="s">
        <v>35</v>
      </c>
      <c r="M14" s="7" t="s">
        <v>36</v>
      </c>
    </row>
    <row r="15" spans="1:13" ht="46" customHeight="1">
      <c r="A15" s="7">
        <v>9</v>
      </c>
      <c r="B15" s="7" t="s">
        <v>28</v>
      </c>
      <c r="C15" s="8" t="s">
        <v>175</v>
      </c>
      <c r="D15" s="8" t="s">
        <v>176</v>
      </c>
      <c r="E15" s="8" t="s">
        <v>86</v>
      </c>
      <c r="F15" s="8" t="s">
        <v>177</v>
      </c>
      <c r="G15" s="9">
        <v>73.81999999999999</v>
      </c>
      <c r="H15" s="9">
        <v>81.01999664306641</v>
      </c>
      <c r="I15" s="10">
        <f>H15/G15-1</f>
        <v>0.09753449800956937</v>
      </c>
      <c r="J15" s="11" t="s">
        <v>33</v>
      </c>
      <c r="K15" s="8" t="s">
        <v>110</v>
      </c>
      <c r="L15" s="8" t="s">
        <v>178</v>
      </c>
      <c r="M15" s="7" t="s">
        <v>36</v>
      </c>
    </row>
    <row r="16" spans="1:13" ht="46" customHeight="1">
      <c r="A16" s="7">
        <v>10</v>
      </c>
      <c r="B16" s="7" t="s">
        <v>28</v>
      </c>
      <c r="C16" s="8" t="s">
        <v>179</v>
      </c>
      <c r="D16" s="8" t="s">
        <v>180</v>
      </c>
      <c r="E16" s="8" t="s">
        <v>31</v>
      </c>
      <c r="F16" s="8" t="s">
        <v>32</v>
      </c>
      <c r="G16" s="9">
        <v>59.61294470638662</v>
      </c>
      <c r="H16" s="9">
        <v>65.23622242116345</v>
      </c>
      <c r="I16" s="10">
        <f>H16/G16-1</f>
        <v>0.0943298094478191</v>
      </c>
      <c r="J16" s="11" t="s">
        <v>33</v>
      </c>
      <c r="K16" s="8" t="s">
        <v>110</v>
      </c>
      <c r="L16" s="8" t="s">
        <v>35</v>
      </c>
      <c r="M16" s="7" t="s">
        <v>36</v>
      </c>
    </row>
    <row r="17" spans="1:13" ht="46" customHeight="1">
      <c r="A17" s="7">
        <v>1</v>
      </c>
      <c r="B17" s="7" t="s">
        <v>66</v>
      </c>
      <c r="C17" s="8" t="s">
        <v>181</v>
      </c>
      <c r="D17" s="8" t="s">
        <v>182</v>
      </c>
      <c r="E17" s="8" t="s">
        <v>81</v>
      </c>
      <c r="F17" s="8" t="s">
        <v>82</v>
      </c>
      <c r="G17" s="9">
        <v>18.492</v>
      </c>
      <c r="H17" s="9">
        <v>16.27000045776367</v>
      </c>
      <c r="I17" s="10">
        <f>H17/G17-1</f>
        <v>-0.12016004446443507</v>
      </c>
      <c r="J17" s="11" t="s">
        <v>33</v>
      </c>
      <c r="K17" s="8" t="s">
        <v>133</v>
      </c>
      <c r="L17" s="8" t="s">
        <v>83</v>
      </c>
      <c r="M17" s="7" t="s">
        <v>36</v>
      </c>
    </row>
    <row r="18" spans="1:13" ht="46" customHeight="1">
      <c r="A18" s="7">
        <v>2</v>
      </c>
      <c r="B18" s="7" t="s">
        <v>66</v>
      </c>
      <c r="C18" s="8" t="s">
        <v>183</v>
      </c>
      <c r="D18" s="8" t="s">
        <v>184</v>
      </c>
      <c r="E18" s="8" t="s">
        <v>93</v>
      </c>
      <c r="F18" s="8" t="s">
        <v>98</v>
      </c>
      <c r="G18" s="9">
        <v>69</v>
      </c>
      <c r="H18" s="9">
        <v>61.11999893188477</v>
      </c>
      <c r="I18" s="10">
        <f>H18/G18-1</f>
        <v>-0.11420291403065552</v>
      </c>
      <c r="J18" s="11" t="s">
        <v>33</v>
      </c>
      <c r="K18" s="8" t="s">
        <v>133</v>
      </c>
      <c r="L18" s="8" t="s">
        <v>95</v>
      </c>
      <c r="M18" s="7" t="s">
        <v>36</v>
      </c>
    </row>
    <row r="19" spans="1:13" ht="46" customHeight="1">
      <c r="A19" s="7">
        <v>3</v>
      </c>
      <c r="B19" s="7" t="s">
        <v>66</v>
      </c>
      <c r="C19" s="8" t="s">
        <v>185</v>
      </c>
      <c r="D19" s="8" t="s">
        <v>186</v>
      </c>
      <c r="E19" s="8" t="s">
        <v>93</v>
      </c>
      <c r="F19" s="8" t="s">
        <v>98</v>
      </c>
      <c r="G19" s="9">
        <v>9878.372076337109</v>
      </c>
      <c r="H19" s="9">
        <v>8774.576987538578</v>
      </c>
      <c r="I19" s="10">
        <f>H19/G19-1</f>
        <v>-0.11173856180641228</v>
      </c>
      <c r="J19" s="11" t="s">
        <v>33</v>
      </c>
      <c r="K19" s="8" t="s">
        <v>133</v>
      </c>
      <c r="L19" s="8" t="s">
        <v>95</v>
      </c>
      <c r="M19" s="7" t="s">
        <v>36</v>
      </c>
    </row>
    <row r="20" spans="1:13" ht="46" customHeight="1">
      <c r="A20" s="7">
        <v>4</v>
      </c>
      <c r="B20" s="7" t="s">
        <v>66</v>
      </c>
      <c r="C20" s="8" t="s">
        <v>187</v>
      </c>
      <c r="D20" s="8" t="s">
        <v>188</v>
      </c>
      <c r="E20" s="8" t="s">
        <v>81</v>
      </c>
      <c r="F20" s="8" t="s">
        <v>82</v>
      </c>
      <c r="G20" s="9">
        <v>10.06108585512907</v>
      </c>
      <c r="H20" s="9">
        <v>9.008128980776743</v>
      </c>
      <c r="I20" s="10">
        <f>H20/G20-1</f>
        <v>-0.10465638495824359</v>
      </c>
      <c r="J20" s="11" t="s">
        <v>33</v>
      </c>
      <c r="K20" s="8" t="s">
        <v>133</v>
      </c>
      <c r="L20" s="8" t="s">
        <v>83</v>
      </c>
      <c r="M20" s="7" t="s">
        <v>36</v>
      </c>
    </row>
    <row r="21" spans="1:13" ht="46" customHeight="1">
      <c r="A21" s="7">
        <v>5</v>
      </c>
      <c r="B21" s="7" t="s">
        <v>66</v>
      </c>
      <c r="C21" s="8" t="s">
        <v>189</v>
      </c>
      <c r="D21" s="8" t="s">
        <v>190</v>
      </c>
      <c r="E21" s="8" t="s">
        <v>81</v>
      </c>
      <c r="F21" s="8" t="s">
        <v>82</v>
      </c>
      <c r="G21" s="9">
        <v>6.195070724389198</v>
      </c>
      <c r="H21" s="9">
        <v>5.575367223024844</v>
      </c>
      <c r="I21" s="10">
        <f>H21/G21-1</f>
        <v>-0.10003170729345523</v>
      </c>
      <c r="J21" s="11" t="s">
        <v>33</v>
      </c>
      <c r="K21" s="8" t="s">
        <v>133</v>
      </c>
      <c r="L21" s="8" t="s">
        <v>83</v>
      </c>
      <c r="M21" s="7" t="s">
        <v>36</v>
      </c>
    </row>
    <row r="22" spans="1:13" ht="46" customHeight="1">
      <c r="A22" s="7">
        <v>6</v>
      </c>
      <c r="B22" s="7" t="s">
        <v>66</v>
      </c>
      <c r="C22" s="8" t="s">
        <v>191</v>
      </c>
      <c r="D22" s="8" t="s">
        <v>192</v>
      </c>
      <c r="E22" s="8" t="s">
        <v>42</v>
      </c>
      <c r="F22" s="8" t="s">
        <v>43</v>
      </c>
      <c r="G22" s="9">
        <v>15.22</v>
      </c>
      <c r="H22" s="9">
        <v>13.69999980926514</v>
      </c>
      <c r="I22" s="10">
        <f>H22/G22-1</f>
        <v>-0.09986860648717877</v>
      </c>
      <c r="J22" s="11" t="s">
        <v>33</v>
      </c>
      <c r="K22" s="8" t="s">
        <v>133</v>
      </c>
      <c r="L22" s="8" t="s">
        <v>193</v>
      </c>
      <c r="M22" s="7" t="s">
        <v>36</v>
      </c>
    </row>
    <row r="23" spans="1:13" ht="46" customHeight="1">
      <c r="A23" s="7">
        <v>7</v>
      </c>
      <c r="B23" s="7" t="s">
        <v>66</v>
      </c>
      <c r="C23" s="8" t="s">
        <v>194</v>
      </c>
      <c r="D23" s="8" t="s">
        <v>195</v>
      </c>
      <c r="E23" s="8" t="s">
        <v>81</v>
      </c>
      <c r="F23" s="8" t="s">
        <v>82</v>
      </c>
      <c r="G23" s="9">
        <v>57.97982062991807</v>
      </c>
      <c r="H23" s="9">
        <v>52.23263778098206</v>
      </c>
      <c r="I23" s="10">
        <f>H23/G23-1</f>
        <v>-0.099123846650371</v>
      </c>
      <c r="J23" s="11" t="s">
        <v>33</v>
      </c>
      <c r="K23" s="8" t="s">
        <v>133</v>
      </c>
      <c r="L23" s="8" t="s">
        <v>83</v>
      </c>
      <c r="M23" s="7" t="s">
        <v>36</v>
      </c>
    </row>
    <row r="24" spans="1:13" ht="46" customHeight="1">
      <c r="A24" s="7">
        <v>8</v>
      </c>
      <c r="B24" s="7" t="s">
        <v>66</v>
      </c>
      <c r="C24" s="8" t="s">
        <v>196</v>
      </c>
      <c r="D24" s="8" t="s">
        <v>197</v>
      </c>
      <c r="E24" s="8" t="s">
        <v>81</v>
      </c>
      <c r="F24" s="8" t="s">
        <v>198</v>
      </c>
      <c r="G24" s="9">
        <v>244.0476130054511</v>
      </c>
      <c r="H24" s="9">
        <v>220.0287627402163</v>
      </c>
      <c r="I24" s="10">
        <f>H24/G24-1</f>
        <v>-0.09841870596250535</v>
      </c>
      <c r="J24" s="11" t="s">
        <v>33</v>
      </c>
      <c r="K24" s="8" t="s">
        <v>133</v>
      </c>
      <c r="L24" s="8" t="s">
        <v>83</v>
      </c>
      <c r="M24" s="7" t="s">
        <v>36</v>
      </c>
    </row>
    <row r="25" spans="1:13" ht="46" customHeight="1">
      <c r="A25" s="7">
        <v>9</v>
      </c>
      <c r="B25" s="7" t="s">
        <v>66</v>
      </c>
      <c r="C25" s="8" t="s">
        <v>199</v>
      </c>
      <c r="D25" s="8" t="s">
        <v>200</v>
      </c>
      <c r="E25" s="8" t="s">
        <v>81</v>
      </c>
      <c r="F25" s="8" t="s">
        <v>82</v>
      </c>
      <c r="G25" s="9">
        <v>12.64145092156022</v>
      </c>
      <c r="H25" s="9">
        <v>11.4163389237036</v>
      </c>
      <c r="I25" s="10">
        <f>H25/G25-1</f>
        <v>-0.09691229317413008</v>
      </c>
      <c r="J25" s="11" t="s">
        <v>33</v>
      </c>
      <c r="K25" s="8" t="s">
        <v>133</v>
      </c>
      <c r="L25" s="8" t="s">
        <v>83</v>
      </c>
      <c r="M25" s="7" t="s">
        <v>36</v>
      </c>
    </row>
    <row r="26" spans="1:13" ht="46" customHeight="1">
      <c r="A26" s="7">
        <v>10</v>
      </c>
      <c r="B26" s="7" t="s">
        <v>66</v>
      </c>
      <c r="C26" s="8" t="s">
        <v>201</v>
      </c>
      <c r="D26" s="8" t="s">
        <v>202</v>
      </c>
      <c r="E26" s="8" t="s">
        <v>86</v>
      </c>
      <c r="F26" s="8" t="s">
        <v>87</v>
      </c>
      <c r="G26" s="9">
        <v>89.06</v>
      </c>
      <c r="H26" s="9">
        <v>80.54000091552734</v>
      </c>
      <c r="I26" s="10">
        <f>H26/G26-1</f>
        <v>-0.09566583297184661</v>
      </c>
      <c r="J26" s="11" t="s">
        <v>33</v>
      </c>
      <c r="K26" s="8" t="s">
        <v>133</v>
      </c>
      <c r="L26" s="8" t="s">
        <v>88</v>
      </c>
      <c r="M26" s="7" t="s">
        <v>36</v>
      </c>
    </row>
    <row r="28" spans="1:13">
      <c r="A28" s="3" t="s">
        <v>103</v>
      </c>
      <c r="B28" s="3" t="s">
        <v>203</v>
      </c>
      <c r="C28" s="3"/>
      <c r="D28" s="3"/>
      <c r="E28" s="3"/>
      <c r="F28" s="3"/>
      <c r="G28" s="3"/>
      <c r="H28" s="3"/>
      <c r="I28" s="3"/>
      <c r="J28" s="3"/>
      <c r="K28" s="3"/>
      <c r="L28" s="3"/>
      <c r="M28" s="3"/>
    </row>
    <row r="30" spans="1:13">
      <c r="A30" s="5" t="s">
        <v>8</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2" t="s">
        <v>105</v>
      </c>
      <c r="B35" s="12"/>
      <c r="C35" s="12"/>
      <c r="D35" s="12"/>
      <c r="E35" s="12"/>
      <c r="F35" s="12"/>
      <c r="G35" s="12"/>
      <c r="H35" s="12"/>
      <c r="I35" s="12"/>
      <c r="J35" s="12"/>
      <c r="K35" s="12"/>
      <c r="L35" s="12"/>
      <c r="M35" s="12"/>
    </row>
    <row r="36" spans="1:13">
      <c r="A36" s="12"/>
      <c r="B36" s="12"/>
      <c r="C36" s="12"/>
      <c r="D36" s="12"/>
      <c r="E36" s="12"/>
      <c r="F36" s="12"/>
      <c r="G36" s="12"/>
      <c r="H36" s="12"/>
      <c r="I36" s="12"/>
      <c r="J36" s="12"/>
      <c r="K36" s="12"/>
      <c r="L36" s="12"/>
      <c r="M36" s="12"/>
    </row>
    <row r="37" spans="1:13">
      <c r="A37" s="12"/>
      <c r="B37" s="12"/>
      <c r="C37" s="12"/>
      <c r="D37" s="12"/>
      <c r="E37" s="12"/>
      <c r="F37" s="12"/>
      <c r="G37" s="12"/>
      <c r="H37" s="12"/>
      <c r="I37" s="12"/>
      <c r="J37" s="12"/>
      <c r="K37" s="12"/>
      <c r="L37" s="12"/>
      <c r="M37" s="12"/>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pageMargins left="0.25" right="0.25" top="0.4" bottom="0.4" header="0.3" footer="0.3"/>
  <pageSetup orientation="landscape"/>
</worksheet>
</file>

<file path=xl/worksheets/sheet5.xml><?xml version="1.0" encoding="utf-8"?>
<worksheet xmlns="http://schemas.openxmlformats.org/spreadsheetml/2006/main" xmlns:r="http://schemas.openxmlformats.org/officeDocument/2006/relationships">
  <sheetPr>
    <pageSetUpPr fitToPage="1"/>
  </sheetPr>
  <dimension ref="B2:C14"/>
  <sheetViews>
    <sheetView showGridLines="0" workbookViewId="0"/>
  </sheetViews>
  <sheetFormatPr defaultRowHeight="15"/>
  <cols>
    <col min="1" max="1" width="3.7109375" customWidth="1"/>
    <col min="2" max="2" width="25.7109375" customWidth="1"/>
    <col min="3" max="3" width="100.7109375" customWidth="1"/>
  </cols>
  <sheetData>
    <row r="2" spans="2:3">
      <c r="B2" s="1" t="s">
        <v>204</v>
      </c>
      <c r="C2" s="1"/>
    </row>
    <row r="3" spans="2:3">
      <c r="B3" s="1"/>
      <c r="C3" s="1"/>
    </row>
    <row r="5" spans="2:3">
      <c r="B5" s="6" t="s">
        <v>205</v>
      </c>
      <c r="C5" s="6" t="s">
        <v>206</v>
      </c>
    </row>
    <row r="6" spans="2:3" ht="48" customHeight="1">
      <c r="B6" s="8" t="s">
        <v>207</v>
      </c>
      <c r="C6" s="8" t="s">
        <v>208</v>
      </c>
    </row>
    <row r="7" spans="2:3" ht="48" customHeight="1">
      <c r="B7" s="8" t="s">
        <v>209</v>
      </c>
      <c r="C7" s="8" t="s">
        <v>210</v>
      </c>
    </row>
    <row r="8" spans="2:3" ht="48" customHeight="1">
      <c r="B8" s="8" t="s">
        <v>211</v>
      </c>
      <c r="C8" s="8" t="s">
        <v>212</v>
      </c>
    </row>
    <row r="9" spans="2:3" ht="48" customHeight="1">
      <c r="B9" s="8" t="s">
        <v>213</v>
      </c>
      <c r="C9" s="8" t="s">
        <v>214</v>
      </c>
    </row>
    <row r="10" spans="2:3" ht="48" customHeight="1">
      <c r="B10" s="8" t="s">
        <v>215</v>
      </c>
      <c r="C10" s="8" t="s">
        <v>216</v>
      </c>
    </row>
    <row r="11" spans="2:3" ht="48" customHeight="1">
      <c r="B11" s="8" t="s">
        <v>217</v>
      </c>
      <c r="C11" s="8" t="s">
        <v>218</v>
      </c>
    </row>
    <row r="12" spans="2:3" ht="48" customHeight="1">
      <c r="B12" s="8" t="s">
        <v>219</v>
      </c>
      <c r="C12" s="8" t="s">
        <v>220</v>
      </c>
    </row>
    <row r="14" spans="2:3">
      <c r="B14" s="6" t="s">
        <v>27</v>
      </c>
      <c r="C14" s="6" t="s">
        <v>221</v>
      </c>
    </row>
  </sheetData>
  <mergeCells count="1">
    <mergeCell ref="B2:C3"/>
  </mergeCell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Summary</vt:lpstr>
      <vt:lpstr>US_SPX</vt:lpstr>
      <vt:lpstr>China_CSI300</vt:lpstr>
      <vt:lpstr>Europe_STOXX600</vt:lpstr>
      <vt:lpstr>Methodology</vt:lpstr>
      <vt:lpstr>China_CSI300!Print_Area</vt:lpstr>
      <vt:lpstr>Europe_STOXX600!Print_Area</vt:lpstr>
      <vt:lpstr>Methodology!Print_Area</vt:lpstr>
      <vt:lpstr>Summary!Print_Area</vt:lpstr>
      <vt:lpstr>US_SPX!Print_Area</vt:lpstr>
      <vt:lpstr>China_CSI300!Print_Titles</vt:lpstr>
      <vt:lpstr>Europe_STOXX600!Print_Titles</vt:lpstr>
      <vt:lpstr>US_SPX!Print_Titles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S&amp;P 500·CSI 300·STOXX Europe 600 최근 10거래일 상·하위 종목</dc:title>
  <dc:subject>BQuant 주가수익률 및 촉매·테마 분석</dc:subject>
  <dc:creator>OpenAI Codex</dc:creator>
  <dc:description>Returns are simple local-currency price returns, excluding dividends.</dc:description>
  <cp:lastModifiedBy>OpenAI Codex</cp:lastModifiedBy>
  <dcterms:created xsi:type="dcterms:W3CDTF">2026-09-08T09:41:44Z</dcterms:created>
  <dcterms:modified xsi:type="dcterms:W3CDTF">2026-09-08T09:41:44Z</dcterms:modified>
</cp:coreProperties>
</file>